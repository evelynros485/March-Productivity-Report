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pple2/Documents/Remote Imaging Consultants/April AR2026/"/>
    </mc:Choice>
  </mc:AlternateContent>
  <xr:revisionPtr revIDLastSave="0" documentId="8_{E2105A7C-87E7-FA43-BDF2-00AE8DED0837}" xr6:coauthVersionLast="47" xr6:coauthVersionMax="47" xr10:uidLastSave="{00000000-0000-0000-0000-000000000000}"/>
  <bookViews>
    <workbookView xWindow="1300" yWindow="2580" windowWidth="28800" windowHeight="16180" xr2:uid="{00000000-000D-0000-FFFF-FFFF00000000}"/>
  </bookViews>
  <sheets>
    <sheet name="March Export" sheetId="1" r:id="rId1"/>
  </sheets>
  <definedNames>
    <definedName name="_xlnm._FilterDatabase" localSheetId="0" hidden="1">'March Export'!$A$1:$S$3855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tPdbzomGW19EzQsNgz/ad+DsrcTgbM4BHqa/bxm6YY="/>
    </ext>
  </extLst>
</workbook>
</file>

<file path=xl/calcChain.xml><?xml version="1.0" encoding="utf-8"?>
<calcChain xmlns="http://schemas.openxmlformats.org/spreadsheetml/2006/main">
  <c r="L3773" i="1" l="1"/>
  <c r="M3773" i="1" s="1"/>
  <c r="N3773" i="1" s="1"/>
  <c r="N3756" i="1"/>
  <c r="M3756" i="1"/>
  <c r="L3756" i="1"/>
  <c r="K3742" i="1"/>
  <c r="L3741" i="1"/>
  <c r="M3741" i="1" s="1"/>
  <c r="N3741" i="1" s="1"/>
  <c r="K3741" i="1"/>
  <c r="N3735" i="1"/>
  <c r="M3735" i="1"/>
  <c r="L3735" i="1"/>
  <c r="N3728" i="1"/>
  <c r="M3728" i="1"/>
  <c r="L3728" i="1"/>
  <c r="L3717" i="1"/>
  <c r="M3717" i="1" s="1"/>
  <c r="N3717" i="1" s="1"/>
  <c r="K3717" i="1"/>
  <c r="L3708" i="1"/>
  <c r="M3708" i="1" s="1"/>
  <c r="N3708" i="1" s="1"/>
  <c r="L3698" i="1"/>
  <c r="M3698" i="1" s="1"/>
  <c r="N3698" i="1" s="1"/>
  <c r="L3687" i="1"/>
  <c r="M3687" i="1" s="1"/>
  <c r="N3687" i="1" s="1"/>
  <c r="M3677" i="1"/>
  <c r="N3677" i="1" s="1"/>
  <c r="L3677" i="1"/>
  <c r="L3654" i="1"/>
  <c r="M3654" i="1" s="1"/>
  <c r="N3654" i="1" s="1"/>
  <c r="K3638" i="1"/>
  <c r="N3637" i="1"/>
  <c r="M3637" i="1"/>
  <c r="L3637" i="1"/>
  <c r="K3637" i="1"/>
  <c r="L3628" i="1"/>
  <c r="M3628" i="1" s="1"/>
  <c r="N3628" i="1" s="1"/>
  <c r="M3624" i="1"/>
  <c r="N3624" i="1" s="1"/>
  <c r="L3624" i="1"/>
  <c r="L3621" i="1"/>
  <c r="M3621" i="1" s="1"/>
  <c r="N3621" i="1" s="1"/>
  <c r="K3621" i="1"/>
  <c r="M3608" i="1"/>
  <c r="N3608" i="1" s="1"/>
  <c r="L3608" i="1"/>
  <c r="L3584" i="1"/>
  <c r="M3584" i="1" s="1"/>
  <c r="N3584" i="1" s="1"/>
  <c r="L3567" i="1"/>
  <c r="M3567" i="1" s="1"/>
  <c r="N3567" i="1" s="1"/>
  <c r="M3549" i="1"/>
  <c r="N3549" i="1" s="1"/>
  <c r="L3549" i="1"/>
  <c r="M3532" i="1"/>
  <c r="N3532" i="1" s="1"/>
  <c r="L3532" i="1"/>
  <c r="K3518" i="1"/>
  <c r="L3517" i="1"/>
  <c r="M3517" i="1" s="1"/>
  <c r="N3517" i="1" s="1"/>
  <c r="K3517" i="1"/>
  <c r="L3513" i="1"/>
  <c r="M3513" i="1" s="1"/>
  <c r="N3513" i="1" s="1"/>
  <c r="L3500" i="1"/>
  <c r="M3500" i="1" s="1"/>
  <c r="N3500" i="1" s="1"/>
  <c r="L3493" i="1"/>
  <c r="M3493" i="1" s="1"/>
  <c r="N3493" i="1" s="1"/>
  <c r="M3477" i="1"/>
  <c r="N3477" i="1" s="1"/>
  <c r="L3477" i="1"/>
  <c r="K3477" i="1"/>
  <c r="M3468" i="1"/>
  <c r="N3468" i="1" s="1"/>
  <c r="L3468" i="1"/>
  <c r="M3459" i="1"/>
  <c r="N3459" i="1" s="1"/>
  <c r="L3459" i="1"/>
  <c r="L3438" i="1"/>
  <c r="M3438" i="1" s="1"/>
  <c r="N3438" i="1" s="1"/>
  <c r="L3418" i="1"/>
  <c r="M3418" i="1" s="1"/>
  <c r="N3418" i="1" s="1"/>
  <c r="M3404" i="1"/>
  <c r="N3404" i="1" s="1"/>
  <c r="L3404" i="1"/>
  <c r="M3379" i="1"/>
  <c r="N3379" i="1" s="1"/>
  <c r="L3379" i="1"/>
  <c r="K3379" i="1"/>
  <c r="L3369" i="1"/>
  <c r="M3369" i="1" s="1"/>
  <c r="N3369" i="1" s="1"/>
  <c r="M3364" i="1"/>
  <c r="N3364" i="1" s="1"/>
  <c r="L3364" i="1"/>
  <c r="N3352" i="1"/>
  <c r="M3352" i="1"/>
  <c r="L3352" i="1"/>
  <c r="K3352" i="1"/>
  <c r="M3344" i="1"/>
  <c r="N3344" i="1" s="1"/>
  <c r="L3344" i="1"/>
  <c r="M3328" i="1"/>
  <c r="N3328" i="1" s="1"/>
  <c r="L3328" i="1"/>
  <c r="L3318" i="1"/>
  <c r="M3318" i="1" s="1"/>
  <c r="N3318" i="1" s="1"/>
  <c r="L3303" i="1"/>
  <c r="M3303" i="1" s="1"/>
  <c r="N3303" i="1" s="1"/>
  <c r="M3287" i="1"/>
  <c r="N3287" i="1" s="1"/>
  <c r="L3287" i="1"/>
  <c r="M3259" i="1"/>
  <c r="N3259" i="1" s="1"/>
  <c r="L3259" i="1"/>
  <c r="K3259" i="1"/>
  <c r="M3251" i="1"/>
  <c r="N3251" i="1" s="1"/>
  <c r="L3251" i="1"/>
  <c r="M3248" i="1"/>
  <c r="N3248" i="1" s="1"/>
  <c r="L3248" i="1"/>
  <c r="L3242" i="1"/>
  <c r="M3242" i="1" s="1"/>
  <c r="N3242" i="1" s="1"/>
  <c r="K3242" i="1"/>
  <c r="M3225" i="1"/>
  <c r="N3225" i="1" s="1"/>
  <c r="L3225" i="1"/>
  <c r="N3211" i="1"/>
  <c r="M3211" i="1"/>
  <c r="L3211" i="1"/>
  <c r="L3178" i="1"/>
  <c r="M3178" i="1" s="1"/>
  <c r="N3178" i="1" s="1"/>
  <c r="L3171" i="1"/>
  <c r="M3171" i="1" s="1"/>
  <c r="N3171" i="1" s="1"/>
  <c r="M3141" i="1"/>
  <c r="N3141" i="1" s="1"/>
  <c r="L3141" i="1"/>
  <c r="N3122" i="1"/>
  <c r="M3122" i="1"/>
  <c r="L3122" i="1"/>
  <c r="K3122" i="1"/>
  <c r="M3114" i="1"/>
  <c r="N3114" i="1" s="1"/>
  <c r="L3114" i="1"/>
  <c r="M3103" i="1"/>
  <c r="N3103" i="1" s="1"/>
  <c r="L3103" i="1"/>
  <c r="L3089" i="1"/>
  <c r="M3089" i="1" s="1"/>
  <c r="N3089" i="1" s="1"/>
  <c r="K3089" i="1"/>
  <c r="M3067" i="1"/>
  <c r="N3067" i="1" s="1"/>
  <c r="L3067" i="1"/>
  <c r="L3060" i="1"/>
  <c r="M3060" i="1" s="1"/>
  <c r="N3060" i="1" s="1"/>
  <c r="L3045" i="1"/>
  <c r="M3045" i="1" s="1"/>
  <c r="N3045" i="1" s="1"/>
  <c r="M3023" i="1"/>
  <c r="N3023" i="1" s="1"/>
  <c r="L3023" i="1"/>
  <c r="M3006" i="1"/>
  <c r="N3006" i="1" s="1"/>
  <c r="L3006" i="1"/>
  <c r="L2979" i="1"/>
  <c r="M2979" i="1" s="1"/>
  <c r="N2979" i="1" s="1"/>
  <c r="K2979" i="1"/>
  <c r="M2973" i="1"/>
  <c r="N2973" i="1" s="1"/>
  <c r="L2973" i="1"/>
  <c r="N2965" i="1"/>
  <c r="M2965" i="1"/>
  <c r="L2965" i="1"/>
  <c r="L2954" i="1"/>
  <c r="M2954" i="1" s="1"/>
  <c r="N2954" i="1" s="1"/>
  <c r="K2954" i="1"/>
  <c r="M2941" i="1"/>
  <c r="N2941" i="1" s="1"/>
  <c r="L2941" i="1"/>
  <c r="L2930" i="1"/>
  <c r="M2930" i="1" s="1"/>
  <c r="N2930" i="1" s="1"/>
  <c r="L2905" i="1"/>
  <c r="M2905" i="1" s="1"/>
  <c r="N2905" i="1" s="1"/>
  <c r="M2893" i="1"/>
  <c r="N2893" i="1" s="1"/>
  <c r="L2893" i="1"/>
  <c r="M2869" i="1"/>
  <c r="N2869" i="1" s="1"/>
  <c r="L2869" i="1"/>
  <c r="L2845" i="1"/>
  <c r="M2845" i="1" s="1"/>
  <c r="N2845" i="1" s="1"/>
  <c r="K2845" i="1"/>
  <c r="M2837" i="1"/>
  <c r="N2837" i="1" s="1"/>
  <c r="L2837" i="1"/>
  <c r="L2832" i="1"/>
  <c r="M2832" i="1" s="1"/>
  <c r="N2832" i="1" s="1"/>
  <c r="L2829" i="1"/>
  <c r="M2829" i="1" s="1"/>
  <c r="N2829" i="1" s="1"/>
  <c r="K2829" i="1"/>
  <c r="N2819" i="1"/>
  <c r="M2819" i="1"/>
  <c r="L2819" i="1"/>
  <c r="L2800" i="1"/>
  <c r="M2800" i="1" s="1"/>
  <c r="N2800" i="1" s="1"/>
  <c r="L2778" i="1"/>
  <c r="M2778" i="1" s="1"/>
  <c r="N2778" i="1" s="1"/>
  <c r="M2756" i="1"/>
  <c r="N2756" i="1" s="1"/>
  <c r="L2756" i="1"/>
  <c r="N2722" i="1"/>
  <c r="M2722" i="1"/>
  <c r="L2722" i="1"/>
  <c r="L2696" i="1"/>
  <c r="M2696" i="1" s="1"/>
  <c r="N2696" i="1" s="1"/>
  <c r="K2696" i="1"/>
  <c r="M2689" i="1"/>
  <c r="N2689" i="1" s="1"/>
  <c r="L2689" i="1"/>
  <c r="L2681" i="1"/>
  <c r="M2681" i="1" s="1"/>
  <c r="N2681" i="1" s="1"/>
  <c r="L2672" i="1"/>
  <c r="M2672" i="1" s="1"/>
  <c r="N2672" i="1" s="1"/>
  <c r="K2672" i="1"/>
  <c r="L2660" i="1"/>
  <c r="M2660" i="1" s="1"/>
  <c r="N2660" i="1" s="1"/>
  <c r="L2646" i="1"/>
  <c r="M2646" i="1" s="1"/>
  <c r="N2646" i="1" s="1"/>
  <c r="M2629" i="1"/>
  <c r="N2629" i="1" s="1"/>
  <c r="L2629" i="1"/>
  <c r="M2608" i="1"/>
  <c r="N2608" i="1" s="1"/>
  <c r="L2608" i="1"/>
  <c r="L2590" i="1"/>
  <c r="M2590" i="1" s="1"/>
  <c r="N2590" i="1" s="1"/>
  <c r="L2566" i="1"/>
  <c r="M2566" i="1" s="1"/>
  <c r="N2566" i="1" s="1"/>
  <c r="K2566" i="1"/>
  <c r="N2554" i="1"/>
  <c r="M2554" i="1"/>
  <c r="L2554" i="1"/>
  <c r="L2543" i="1"/>
  <c r="M2543" i="1" s="1"/>
  <c r="N2543" i="1" s="1"/>
  <c r="L2532" i="1"/>
  <c r="M2532" i="1" s="1"/>
  <c r="N2532" i="1" s="1"/>
  <c r="K2532" i="1"/>
  <c r="L2519" i="1"/>
  <c r="M2519" i="1" s="1"/>
  <c r="N2519" i="1" s="1"/>
  <c r="L2510" i="1"/>
  <c r="M2510" i="1" s="1"/>
  <c r="N2510" i="1" s="1"/>
  <c r="L2483" i="1"/>
  <c r="M2483" i="1" s="1"/>
  <c r="N2483" i="1" s="1"/>
  <c r="M2470" i="1"/>
  <c r="N2470" i="1" s="1"/>
  <c r="L2470" i="1"/>
  <c r="L2437" i="1"/>
  <c r="M2437" i="1" s="1"/>
  <c r="N2437" i="1" s="1"/>
  <c r="L2425" i="1"/>
  <c r="M2425" i="1" s="1"/>
  <c r="N2425" i="1" s="1"/>
  <c r="K2425" i="1"/>
  <c r="L2410" i="1"/>
  <c r="M2410" i="1" s="1"/>
  <c r="N2410" i="1" s="1"/>
  <c r="L2400" i="1"/>
  <c r="M2400" i="1" s="1"/>
  <c r="N2400" i="1" s="1"/>
  <c r="M2388" i="1"/>
  <c r="N2388" i="1" s="1"/>
  <c r="L2388" i="1"/>
  <c r="K2388" i="1"/>
  <c r="L2381" i="1"/>
  <c r="M2381" i="1" s="1"/>
  <c r="N2381" i="1" s="1"/>
  <c r="L2361" i="1"/>
  <c r="M2361" i="1" s="1"/>
  <c r="N2361" i="1" s="1"/>
  <c r="M2342" i="1"/>
  <c r="N2342" i="1" s="1"/>
  <c r="L2342" i="1"/>
  <c r="N2314" i="1"/>
  <c r="M2314" i="1"/>
  <c r="L2314" i="1"/>
  <c r="L2303" i="1"/>
  <c r="M2303" i="1" s="1"/>
  <c r="N2303" i="1" s="1"/>
  <c r="L2284" i="1"/>
  <c r="M2284" i="1" s="1"/>
  <c r="N2284" i="1" s="1"/>
  <c r="K2284" i="1"/>
  <c r="L2276" i="1"/>
  <c r="M2276" i="1" s="1"/>
  <c r="N2276" i="1" s="1"/>
  <c r="L2268" i="1"/>
  <c r="M2268" i="1" s="1"/>
  <c r="N2268" i="1" s="1"/>
  <c r="L2257" i="1"/>
  <c r="M2257" i="1" s="1"/>
  <c r="N2257" i="1" s="1"/>
  <c r="K2257" i="1"/>
  <c r="L2241" i="1"/>
  <c r="M2241" i="1" s="1"/>
  <c r="N2241" i="1" s="1"/>
  <c r="M2227" i="1"/>
  <c r="N2227" i="1" s="1"/>
  <c r="L2227" i="1"/>
  <c r="M2202" i="1"/>
  <c r="N2202" i="1" s="1"/>
  <c r="L2202" i="1"/>
  <c r="L2178" i="1"/>
  <c r="M2178" i="1" s="1"/>
  <c r="N2178" i="1" s="1"/>
  <c r="L2157" i="1"/>
  <c r="M2157" i="1" s="1"/>
  <c r="N2157" i="1" s="1"/>
  <c r="M2145" i="1"/>
  <c r="N2145" i="1" s="1"/>
  <c r="L2145" i="1"/>
  <c r="K2145" i="1"/>
  <c r="L2144" i="1"/>
  <c r="M2144" i="1" s="1"/>
  <c r="N2144" i="1" s="1"/>
  <c r="L2133" i="1"/>
  <c r="M2133" i="1" s="1"/>
  <c r="N2133" i="1" s="1"/>
  <c r="M2119" i="1"/>
  <c r="N2119" i="1" s="1"/>
  <c r="L2119" i="1"/>
  <c r="K2119" i="1"/>
  <c r="L2112" i="1"/>
  <c r="M2112" i="1" s="1"/>
  <c r="N2112" i="1" s="1"/>
  <c r="L2102" i="1"/>
  <c r="M2102" i="1" s="1"/>
  <c r="N2102" i="1" s="1"/>
  <c r="M2083" i="1"/>
  <c r="N2083" i="1" s="1"/>
  <c r="L2083" i="1"/>
  <c r="L2061" i="1"/>
  <c r="M2061" i="1" s="1"/>
  <c r="N2061" i="1" s="1"/>
  <c r="L2044" i="1"/>
  <c r="M2044" i="1" s="1"/>
  <c r="N2044" i="1" s="1"/>
  <c r="L2021" i="1"/>
  <c r="M2021" i="1" s="1"/>
  <c r="N2021" i="1" s="1"/>
  <c r="K2021" i="1"/>
  <c r="L2017" i="1"/>
  <c r="M2017" i="1" s="1"/>
  <c r="N2017" i="1" s="1"/>
  <c r="M2012" i="1"/>
  <c r="N2012" i="1" s="1"/>
  <c r="L2012" i="1"/>
  <c r="M2005" i="1"/>
  <c r="N2005" i="1" s="1"/>
  <c r="L2005" i="1"/>
  <c r="K2005" i="1"/>
  <c r="L1993" i="1"/>
  <c r="M1993" i="1" s="1"/>
  <c r="N1993" i="1" s="1"/>
  <c r="M1976" i="1"/>
  <c r="N1976" i="1" s="1"/>
  <c r="L1976" i="1"/>
  <c r="N1965" i="1"/>
  <c r="M1965" i="1"/>
  <c r="L1965" i="1"/>
  <c r="L1956" i="1"/>
  <c r="M1956" i="1" s="1"/>
  <c r="N1956" i="1" s="1"/>
  <c r="L1931" i="1"/>
  <c r="M1931" i="1" s="1"/>
  <c r="N1931" i="1" s="1"/>
  <c r="K1919" i="1"/>
  <c r="L1918" i="1"/>
  <c r="M1918" i="1" s="1"/>
  <c r="N1918" i="1" s="1"/>
  <c r="K1918" i="1"/>
  <c r="M1907" i="1"/>
  <c r="N1907" i="1" s="1"/>
  <c r="L1907" i="1"/>
  <c r="L1898" i="1"/>
  <c r="M1898" i="1" s="1"/>
  <c r="N1898" i="1" s="1"/>
  <c r="L1892" i="1"/>
  <c r="M1892" i="1" s="1"/>
  <c r="N1892" i="1" s="1"/>
  <c r="K1892" i="1"/>
  <c r="N1889" i="1"/>
  <c r="M1889" i="1"/>
  <c r="L1889" i="1"/>
  <c r="L1873" i="1"/>
  <c r="M1873" i="1" s="1"/>
  <c r="N1873" i="1" s="1"/>
  <c r="L1858" i="1"/>
  <c r="M1858" i="1" s="1"/>
  <c r="N1858" i="1" s="1"/>
  <c r="M1837" i="1"/>
  <c r="N1837" i="1" s="1"/>
  <c r="L1837" i="1"/>
  <c r="N1825" i="1"/>
  <c r="M1825" i="1"/>
  <c r="L1825" i="1"/>
  <c r="K1804" i="1"/>
  <c r="L1803" i="1"/>
  <c r="M1803" i="1" s="1"/>
  <c r="N1803" i="1" s="1"/>
  <c r="K1803" i="1"/>
  <c r="L1791" i="1"/>
  <c r="M1791" i="1" s="1"/>
  <c r="N1791" i="1" s="1"/>
  <c r="M1784" i="1"/>
  <c r="N1784" i="1" s="1"/>
  <c r="L1784" i="1"/>
  <c r="M1777" i="1"/>
  <c r="N1777" i="1" s="1"/>
  <c r="L1777" i="1"/>
  <c r="K1777" i="1"/>
  <c r="L1765" i="1"/>
  <c r="M1765" i="1" s="1"/>
  <c r="N1765" i="1" s="1"/>
  <c r="M1755" i="1"/>
  <c r="N1755" i="1" s="1"/>
  <c r="L1755" i="1"/>
  <c r="N1741" i="1"/>
  <c r="M1741" i="1"/>
  <c r="L1741" i="1"/>
  <c r="L1723" i="1"/>
  <c r="M1723" i="1" s="1"/>
  <c r="N1723" i="1" s="1"/>
  <c r="L1707" i="1"/>
  <c r="M1707" i="1" s="1"/>
  <c r="N1707" i="1" s="1"/>
  <c r="K1690" i="1"/>
  <c r="L1689" i="1"/>
  <c r="M1689" i="1" s="1"/>
  <c r="N1689" i="1" s="1"/>
  <c r="K1689" i="1"/>
  <c r="M1678" i="1"/>
  <c r="N1678" i="1" s="1"/>
  <c r="L1678" i="1"/>
  <c r="L1670" i="1"/>
  <c r="M1670" i="1" s="1"/>
  <c r="N1670" i="1" s="1"/>
  <c r="L1661" i="1"/>
  <c r="M1661" i="1" s="1"/>
  <c r="N1661" i="1" s="1"/>
  <c r="K1661" i="1"/>
  <c r="N1648" i="1"/>
  <c r="M1648" i="1"/>
  <c r="L1648" i="1"/>
  <c r="L1636" i="1"/>
  <c r="M1636" i="1" s="1"/>
  <c r="N1636" i="1" s="1"/>
  <c r="L1624" i="1"/>
  <c r="M1624" i="1" s="1"/>
  <c r="N1624" i="1" s="1"/>
  <c r="M1600" i="1"/>
  <c r="N1600" i="1" s="1"/>
  <c r="L1600" i="1"/>
  <c r="N1578" i="1"/>
  <c r="M1578" i="1"/>
  <c r="L1578" i="1"/>
  <c r="L1565" i="1"/>
  <c r="M1565" i="1" s="1"/>
  <c r="N1565" i="1" s="1"/>
  <c r="K1565" i="1"/>
  <c r="M1553" i="1"/>
  <c r="N1553" i="1" s="1"/>
  <c r="L1553" i="1"/>
  <c r="L1546" i="1"/>
  <c r="M1546" i="1" s="1"/>
  <c r="N1546" i="1" s="1"/>
  <c r="L1540" i="1"/>
  <c r="M1540" i="1" s="1"/>
  <c r="N1540" i="1" s="1"/>
  <c r="K1540" i="1"/>
  <c r="L1533" i="1"/>
  <c r="M1533" i="1" s="1"/>
  <c r="N1533" i="1" s="1"/>
  <c r="L1517" i="1"/>
  <c r="M1517" i="1" s="1"/>
  <c r="N1517" i="1" s="1"/>
  <c r="M1500" i="1"/>
  <c r="N1500" i="1" s="1"/>
  <c r="L1500" i="1"/>
  <c r="M1474" i="1"/>
  <c r="N1474" i="1" s="1"/>
  <c r="L1474" i="1"/>
  <c r="L1459" i="1"/>
  <c r="M1459" i="1" s="1"/>
  <c r="N1459" i="1" s="1"/>
  <c r="L1435" i="1"/>
  <c r="M1435" i="1" s="1"/>
  <c r="N1435" i="1" s="1"/>
  <c r="K1435" i="1"/>
  <c r="N1431" i="1"/>
  <c r="M1431" i="1"/>
  <c r="L1431" i="1"/>
  <c r="L1424" i="1"/>
  <c r="M1424" i="1" s="1"/>
  <c r="N1424" i="1" s="1"/>
  <c r="L1417" i="1"/>
  <c r="M1417" i="1" s="1"/>
  <c r="N1417" i="1" s="1"/>
  <c r="K1417" i="1"/>
  <c r="L1407" i="1"/>
  <c r="M1407" i="1" s="1"/>
  <c r="N1407" i="1" s="1"/>
  <c r="L1394" i="1"/>
  <c r="M1394" i="1" s="1"/>
  <c r="N1394" i="1" s="1"/>
  <c r="L1372" i="1"/>
  <c r="M1372" i="1" s="1"/>
  <c r="N1372" i="1" s="1"/>
  <c r="M1355" i="1"/>
  <c r="N1355" i="1" s="1"/>
  <c r="L1355" i="1"/>
  <c r="L1344" i="1"/>
  <c r="M1344" i="1" s="1"/>
  <c r="N1344" i="1" s="1"/>
  <c r="L1325" i="1"/>
  <c r="M1325" i="1" s="1"/>
  <c r="N1325" i="1" s="1"/>
  <c r="K1325" i="1"/>
  <c r="L1317" i="1"/>
  <c r="M1317" i="1" s="1"/>
  <c r="N1317" i="1" s="1"/>
  <c r="L1313" i="1"/>
  <c r="M1313" i="1" s="1"/>
  <c r="N1313" i="1" s="1"/>
  <c r="M1306" i="1"/>
  <c r="N1306" i="1" s="1"/>
  <c r="L1306" i="1"/>
  <c r="K1306" i="1"/>
  <c r="N1294" i="1"/>
  <c r="M1294" i="1"/>
  <c r="L1294" i="1"/>
  <c r="L1278" i="1"/>
  <c r="M1278" i="1" s="1"/>
  <c r="N1278" i="1" s="1"/>
  <c r="M1258" i="1"/>
  <c r="N1258" i="1" s="1"/>
  <c r="L1258" i="1"/>
  <c r="N1236" i="1"/>
  <c r="M1236" i="1"/>
  <c r="L1236" i="1"/>
  <c r="N1225" i="1"/>
  <c r="M1225" i="1"/>
  <c r="L1225" i="1"/>
  <c r="L1203" i="1"/>
  <c r="M1203" i="1" s="1"/>
  <c r="N1203" i="1" s="1"/>
  <c r="K1203" i="1"/>
  <c r="L1198" i="1"/>
  <c r="M1198" i="1" s="1"/>
  <c r="N1198" i="1" s="1"/>
  <c r="L1190" i="1"/>
  <c r="M1190" i="1" s="1"/>
  <c r="N1190" i="1" s="1"/>
  <c r="K1190" i="1"/>
  <c r="L1178" i="1"/>
  <c r="M1178" i="1" s="1"/>
  <c r="N1178" i="1" s="1"/>
  <c r="L1154" i="1"/>
  <c r="M1154" i="1" s="1"/>
  <c r="N1154" i="1" s="1"/>
  <c r="M1127" i="1"/>
  <c r="N1127" i="1" s="1"/>
  <c r="L1127" i="1"/>
  <c r="M1113" i="1"/>
  <c r="N1113" i="1" s="1"/>
  <c r="L1113" i="1"/>
  <c r="L1084" i="1"/>
  <c r="M1084" i="1" s="1"/>
  <c r="N1084" i="1" s="1"/>
  <c r="K1069" i="1"/>
  <c r="M1068" i="1"/>
  <c r="N1068" i="1" s="1"/>
  <c r="L1068" i="1"/>
  <c r="K1068" i="1"/>
  <c r="L1061" i="1"/>
  <c r="M1061" i="1" s="1"/>
  <c r="N1061" i="1" s="1"/>
  <c r="L1055" i="1"/>
  <c r="M1055" i="1" s="1"/>
  <c r="N1055" i="1" s="1"/>
  <c r="M1044" i="1"/>
  <c r="N1044" i="1" s="1"/>
  <c r="L1044" i="1"/>
  <c r="K1044" i="1"/>
  <c r="M1027" i="1"/>
  <c r="N1027" i="1" s="1"/>
  <c r="L1027" i="1"/>
  <c r="M1011" i="1"/>
  <c r="N1011" i="1" s="1"/>
  <c r="L1011" i="1"/>
  <c r="L988" i="1"/>
  <c r="M988" i="1" s="1"/>
  <c r="N988" i="1" s="1"/>
  <c r="L971" i="1"/>
  <c r="M971" i="1" s="1"/>
  <c r="N971" i="1" s="1"/>
  <c r="M964" i="1"/>
  <c r="N964" i="1" s="1"/>
  <c r="L964" i="1"/>
  <c r="M950" i="1"/>
  <c r="N950" i="1" s="1"/>
  <c r="L950" i="1"/>
  <c r="K950" i="1"/>
  <c r="L949" i="1"/>
  <c r="M949" i="1" s="1"/>
  <c r="N949" i="1" s="1"/>
  <c r="M945" i="1"/>
  <c r="N945" i="1" s="1"/>
  <c r="L945" i="1"/>
  <c r="N940" i="1"/>
  <c r="M940" i="1"/>
  <c r="L940" i="1"/>
  <c r="L936" i="1"/>
  <c r="M936" i="1" s="1"/>
  <c r="N936" i="1" s="1"/>
  <c r="L933" i="1"/>
  <c r="M933" i="1" s="1"/>
  <c r="N933" i="1" s="1"/>
  <c r="M930" i="1"/>
  <c r="N930" i="1" s="1"/>
  <c r="L930" i="1"/>
  <c r="N927" i="1"/>
  <c r="M927" i="1"/>
  <c r="L927" i="1"/>
  <c r="K927" i="1"/>
  <c r="L911" i="1"/>
  <c r="M911" i="1" s="1"/>
  <c r="N911" i="1" s="1"/>
  <c r="M904" i="1"/>
  <c r="N904" i="1" s="1"/>
  <c r="L904" i="1"/>
  <c r="L903" i="1"/>
  <c r="M903" i="1" s="1"/>
  <c r="N903" i="1" s="1"/>
  <c r="K903" i="1"/>
  <c r="M890" i="1"/>
  <c r="N890" i="1" s="1"/>
  <c r="L890" i="1"/>
  <c r="L874" i="1"/>
  <c r="M874" i="1" s="1"/>
  <c r="N874" i="1" s="1"/>
  <c r="L861" i="1"/>
  <c r="M861" i="1" s="1"/>
  <c r="N861" i="1" s="1"/>
  <c r="M852" i="1"/>
  <c r="N852" i="1" s="1"/>
  <c r="L852" i="1"/>
  <c r="M839" i="1"/>
  <c r="N839" i="1" s="1"/>
  <c r="L839" i="1"/>
  <c r="L824" i="1"/>
  <c r="M824" i="1" s="1"/>
  <c r="N824" i="1" s="1"/>
  <c r="K824" i="1"/>
  <c r="M821" i="1"/>
  <c r="N821" i="1" s="1"/>
  <c r="L821" i="1"/>
  <c r="N818" i="1"/>
  <c r="M818" i="1"/>
  <c r="L818" i="1"/>
  <c r="L814" i="1"/>
  <c r="M814" i="1" s="1"/>
  <c r="N814" i="1" s="1"/>
  <c r="L813" i="1"/>
  <c r="M813" i="1" s="1"/>
  <c r="N813" i="1" s="1"/>
  <c r="M809" i="1"/>
  <c r="N809" i="1" s="1"/>
  <c r="L809" i="1"/>
  <c r="N805" i="1"/>
  <c r="M805" i="1"/>
  <c r="L805" i="1"/>
  <c r="K805" i="1"/>
  <c r="L803" i="1"/>
  <c r="M803" i="1" s="1"/>
  <c r="N803" i="1" s="1"/>
  <c r="M798" i="1"/>
  <c r="N798" i="1" s="1"/>
  <c r="L798" i="1"/>
  <c r="L792" i="1"/>
  <c r="M792" i="1" s="1"/>
  <c r="N792" i="1" s="1"/>
  <c r="L786" i="1"/>
  <c r="M786" i="1" s="1"/>
  <c r="N786" i="1" s="1"/>
  <c r="K786" i="1"/>
  <c r="L770" i="1"/>
  <c r="M770" i="1" s="1"/>
  <c r="N770" i="1" s="1"/>
  <c r="L759" i="1"/>
  <c r="M759" i="1" s="1"/>
  <c r="N759" i="1" s="1"/>
  <c r="M739" i="1"/>
  <c r="N739" i="1" s="1"/>
  <c r="L739" i="1"/>
  <c r="M729" i="1"/>
  <c r="N729" i="1" s="1"/>
  <c r="L729" i="1"/>
  <c r="L719" i="1"/>
  <c r="M719" i="1" s="1"/>
  <c r="N719" i="1" s="1"/>
  <c r="K719" i="1"/>
  <c r="M708" i="1"/>
  <c r="N708" i="1" s="1"/>
  <c r="L708" i="1"/>
  <c r="N701" i="1"/>
  <c r="M701" i="1"/>
  <c r="L701" i="1"/>
  <c r="L691" i="1"/>
  <c r="M691" i="1" s="1"/>
  <c r="N691" i="1" s="1"/>
  <c r="K691" i="1"/>
  <c r="M681" i="1"/>
  <c r="N681" i="1" s="1"/>
  <c r="L681" i="1"/>
  <c r="L670" i="1"/>
  <c r="M670" i="1" s="1"/>
  <c r="N670" i="1" s="1"/>
  <c r="L644" i="1"/>
  <c r="M644" i="1" s="1"/>
  <c r="N644" i="1" s="1"/>
  <c r="L619" i="1"/>
  <c r="M619" i="1" s="1"/>
  <c r="N619" i="1" s="1"/>
  <c r="M608" i="1"/>
  <c r="N608" i="1" s="1"/>
  <c r="L608" i="1"/>
  <c r="L591" i="1"/>
  <c r="M591" i="1" s="1"/>
  <c r="N591" i="1" s="1"/>
  <c r="K591" i="1"/>
  <c r="M586" i="1"/>
  <c r="N586" i="1" s="1"/>
  <c r="L586" i="1"/>
  <c r="L574" i="1"/>
  <c r="M574" i="1" s="1"/>
  <c r="N574" i="1" s="1"/>
  <c r="L564" i="1"/>
  <c r="M564" i="1" s="1"/>
  <c r="N564" i="1" s="1"/>
  <c r="K564" i="1"/>
  <c r="N563" i="1"/>
  <c r="M563" i="1"/>
  <c r="L563" i="1"/>
  <c r="L552" i="1"/>
  <c r="M552" i="1" s="1"/>
  <c r="N552" i="1" s="1"/>
  <c r="L543" i="1"/>
  <c r="M543" i="1" s="1"/>
  <c r="N543" i="1" s="1"/>
  <c r="M525" i="1"/>
  <c r="N525" i="1" s="1"/>
  <c r="L525" i="1"/>
  <c r="N518" i="1"/>
  <c r="M518" i="1"/>
  <c r="L518" i="1"/>
  <c r="L496" i="1"/>
  <c r="M496" i="1" s="1"/>
  <c r="N496" i="1" s="1"/>
  <c r="L476" i="1"/>
  <c r="M476" i="1" s="1"/>
  <c r="N476" i="1" s="1"/>
  <c r="K476" i="1"/>
  <c r="L472" i="1"/>
  <c r="M472" i="1" s="1"/>
  <c r="N472" i="1" s="1"/>
  <c r="L465" i="1"/>
  <c r="M465" i="1" s="1"/>
  <c r="N465" i="1" s="1"/>
  <c r="L460" i="1"/>
  <c r="M460" i="1" s="1"/>
  <c r="N460" i="1" s="1"/>
  <c r="K460" i="1"/>
  <c r="N459" i="1"/>
  <c r="M459" i="1"/>
  <c r="L459" i="1"/>
  <c r="M454" i="1"/>
  <c r="N454" i="1" s="1"/>
  <c r="L454" i="1"/>
  <c r="M453" i="1"/>
  <c r="N453" i="1" s="1"/>
  <c r="L453" i="1"/>
  <c r="L444" i="1"/>
  <c r="M444" i="1" s="1"/>
  <c r="N444" i="1" s="1"/>
  <c r="N438" i="1"/>
  <c r="M438" i="1"/>
  <c r="L438" i="1"/>
  <c r="M437" i="1"/>
  <c r="N437" i="1" s="1"/>
  <c r="L437" i="1"/>
  <c r="M435" i="1"/>
  <c r="N435" i="1" s="1"/>
  <c r="L435" i="1"/>
  <c r="L428" i="1"/>
  <c r="M428" i="1" s="1"/>
  <c r="N428" i="1" s="1"/>
  <c r="N419" i="1"/>
  <c r="M419" i="1"/>
  <c r="L419" i="1"/>
  <c r="M408" i="1"/>
  <c r="N408" i="1" s="1"/>
  <c r="L408" i="1"/>
  <c r="M391" i="1"/>
  <c r="N391" i="1" s="1"/>
  <c r="L391" i="1"/>
  <c r="L377" i="1"/>
  <c r="M377" i="1" s="1"/>
  <c r="N377" i="1" s="1"/>
  <c r="N362" i="1"/>
  <c r="M362" i="1"/>
  <c r="L362" i="1"/>
  <c r="K362" i="1"/>
  <c r="N355" i="1"/>
  <c r="M355" i="1"/>
  <c r="L355" i="1"/>
  <c r="L345" i="1"/>
  <c r="M345" i="1" s="1"/>
  <c r="N345" i="1" s="1"/>
  <c r="L339" i="1"/>
  <c r="M339" i="1" s="1"/>
  <c r="N339" i="1" s="1"/>
  <c r="K339" i="1"/>
  <c r="L335" i="1"/>
  <c r="M335" i="1" s="1"/>
  <c r="N335" i="1" s="1"/>
  <c r="L331" i="1"/>
  <c r="M331" i="1" s="1"/>
  <c r="N331" i="1" s="1"/>
  <c r="L326" i="1"/>
  <c r="M326" i="1" s="1"/>
  <c r="N326" i="1" s="1"/>
  <c r="M321" i="1"/>
  <c r="N321" i="1" s="1"/>
  <c r="L321" i="1"/>
  <c r="L319" i="1"/>
  <c r="M319" i="1" s="1"/>
  <c r="N319" i="1" s="1"/>
  <c r="L317" i="1"/>
  <c r="M317" i="1" s="1"/>
  <c r="N317" i="1" s="1"/>
  <c r="K317" i="1"/>
  <c r="L309" i="1"/>
  <c r="M309" i="1" s="1"/>
  <c r="N309" i="1" s="1"/>
  <c r="N300" i="1"/>
  <c r="M300" i="1"/>
  <c r="L300" i="1"/>
  <c r="M288" i="1"/>
  <c r="N288" i="1" s="1"/>
  <c r="L288" i="1"/>
  <c r="M268" i="1"/>
  <c r="N268" i="1" s="1"/>
  <c r="L268" i="1"/>
  <c r="L255" i="1"/>
  <c r="M255" i="1" s="1"/>
  <c r="N255" i="1" s="1"/>
  <c r="N242" i="1"/>
  <c r="M242" i="1"/>
  <c r="L242" i="1"/>
  <c r="K242" i="1"/>
  <c r="N237" i="1"/>
  <c r="M237" i="1"/>
  <c r="L237" i="1"/>
  <c r="L234" i="1"/>
  <c r="M234" i="1" s="1"/>
  <c r="N234" i="1" s="1"/>
  <c r="L221" i="1"/>
  <c r="M221" i="1" s="1"/>
  <c r="N221" i="1" s="1"/>
  <c r="N216" i="1"/>
  <c r="M216" i="1"/>
  <c r="L216" i="1"/>
  <c r="N205" i="1"/>
  <c r="M205" i="1"/>
  <c r="L205" i="1"/>
  <c r="L193" i="1"/>
  <c r="M193" i="1" s="1"/>
  <c r="N193" i="1" s="1"/>
  <c r="L181" i="1"/>
  <c r="M181" i="1" s="1"/>
  <c r="N181" i="1" s="1"/>
  <c r="N159" i="1"/>
  <c r="M159" i="1"/>
  <c r="L159" i="1"/>
  <c r="N149" i="1"/>
  <c r="M149" i="1"/>
  <c r="L149" i="1"/>
  <c r="K149" i="1"/>
  <c r="L145" i="1"/>
  <c r="M145" i="1" s="1"/>
  <c r="N145" i="1" s="1"/>
  <c r="M142" i="1"/>
  <c r="N142" i="1" s="1"/>
  <c r="L142" i="1"/>
  <c r="L139" i="1"/>
  <c r="M139" i="1" s="1"/>
  <c r="N139" i="1" s="1"/>
  <c r="L135" i="1"/>
  <c r="M135" i="1" s="1"/>
  <c r="N135" i="1" s="1"/>
  <c r="L130" i="1"/>
  <c r="M130" i="1" s="1"/>
  <c r="N130" i="1" s="1"/>
  <c r="M125" i="1"/>
  <c r="N125" i="1" s="1"/>
  <c r="L125" i="1"/>
  <c r="K125" i="1"/>
  <c r="M124" i="1"/>
  <c r="N124" i="1" s="1"/>
  <c r="L124" i="1"/>
  <c r="M115" i="1"/>
  <c r="N115" i="1" s="1"/>
  <c r="L115" i="1"/>
  <c r="L112" i="1"/>
  <c r="M112" i="1" s="1"/>
  <c r="N112" i="1" s="1"/>
  <c r="K112" i="1"/>
  <c r="N110" i="1"/>
  <c r="M110" i="1"/>
  <c r="L110" i="1"/>
  <c r="N104" i="1"/>
  <c r="M104" i="1"/>
  <c r="L104" i="1"/>
  <c r="L101" i="1"/>
  <c r="M101" i="1" s="1"/>
  <c r="N101" i="1" s="1"/>
  <c r="L95" i="1"/>
  <c r="M95" i="1" s="1"/>
  <c r="N95" i="1" s="1"/>
  <c r="N91" i="1"/>
  <c r="M91" i="1"/>
  <c r="L91" i="1"/>
  <c r="N87" i="1"/>
  <c r="M87" i="1"/>
  <c r="L87" i="1"/>
  <c r="K87" i="1"/>
  <c r="L46" i="1"/>
  <c r="M46" i="1" s="1"/>
  <c r="N46" i="1" s="1"/>
  <c r="M28" i="1"/>
  <c r="N28" i="1" s="1"/>
  <c r="L28" i="1"/>
  <c r="L10" i="1"/>
  <c r="M10" i="1" s="1"/>
  <c r="N10" i="1" s="1"/>
  <c r="L2" i="1"/>
  <c r="M2" i="1" s="1"/>
  <c r="K2" i="1"/>
  <c r="O2" i="1" l="1"/>
  <c r="R2" i="1" s="1"/>
  <c r="N2" i="1"/>
  <c r="P2" i="1" l="1"/>
  <c r="S2" i="1" s="1"/>
  <c r="Q2" i="1"/>
</calcChain>
</file>

<file path=xl/sharedStrings.xml><?xml version="1.0" encoding="utf-8"?>
<sst xmlns="http://schemas.openxmlformats.org/spreadsheetml/2006/main" count="19289" uniqueCount="4187">
  <si>
    <t>institution_acronym</t>
  </si>
  <si>
    <t>study_date</t>
  </si>
  <si>
    <t>sign_date</t>
  </si>
  <si>
    <t>Sign Date</t>
  </si>
  <si>
    <t>Sign Time</t>
  </si>
  <si>
    <t>accession</t>
  </si>
  <si>
    <t>modality</t>
  </si>
  <si>
    <t>procedure</t>
  </si>
  <si>
    <t>reading_name</t>
  </si>
  <si>
    <t>procedure_rvu</t>
  </si>
  <si>
    <t>TOTAL SHIFT RVU</t>
  </si>
  <si>
    <t>Hourly wRVU Total</t>
  </si>
  <si>
    <t>wRVU Rate</t>
  </si>
  <si>
    <t>Total</t>
  </si>
  <si>
    <t>wRVU Rate Total</t>
  </si>
  <si>
    <t>Hourly Rate Total</t>
  </si>
  <si>
    <t>SUM Total</t>
  </si>
  <si>
    <t>Total Billed wRVU</t>
  </si>
  <si>
    <t>Total Billed Hours</t>
  </si>
  <si>
    <t>CHL</t>
  </si>
  <si>
    <t>NHL2603010008255CHL</t>
  </si>
  <si>
    <t>CT</t>
  </si>
  <si>
    <t>CT BRAIN HEAD WO CONTRAST</t>
  </si>
  <si>
    <t>MITSUNAGA, MYLES</t>
  </si>
  <si>
    <t>CFC</t>
  </si>
  <si>
    <t>CFC2603010008157CFC</t>
  </si>
  <si>
    <t>US</t>
  </si>
  <si>
    <t>VAS DPLX LOWER EXT VEIN BILATERAL (DVT) (VSC)</t>
  </si>
  <si>
    <t>CLC</t>
  </si>
  <si>
    <t>LLA2603010008241CLC</t>
  </si>
  <si>
    <t>LLA2603010008244CLC</t>
  </si>
  <si>
    <t>CT HIP RIGHT WO CONTRAST</t>
  </si>
  <si>
    <t>NHL2603010008510CHL</t>
  </si>
  <si>
    <t>CSP</t>
  </si>
  <si>
    <t>LWP2603010008528CSP</t>
  </si>
  <si>
    <t>CODE STROKE CT ANGIO HEAD NECK W OR W/WO CONTRAST</t>
  </si>
  <si>
    <t>LLA2603010008540CLC</t>
  </si>
  <si>
    <t>VAS DPLX SCAN LOWER EXT VEIN RIGHT (VSC)</t>
  </si>
  <si>
    <t>LLA2603010008624CLC</t>
  </si>
  <si>
    <t>CTA CHEST PULMONARY EMBOLISM PROTOCOL W CONTRAST</t>
  </si>
  <si>
    <t>CFC2603010008479CFC</t>
  </si>
  <si>
    <t>CT ABDOMEN PELVIS W CONTRAST</t>
  </si>
  <si>
    <t>WHOSP</t>
  </si>
  <si>
    <t>R005639408WHOSP</t>
  </si>
  <si>
    <t>XR</t>
  </si>
  <si>
    <t>XR CHEST 1 VIEW</t>
  </si>
  <si>
    <t>CCS</t>
  </si>
  <si>
    <t>NCS2603010008476CCS</t>
  </si>
  <si>
    <t>XR CHEST 2 VIEWS</t>
  </si>
  <si>
    <t>R005639412WHOSP</t>
  </si>
  <si>
    <t>XR PORTABLE CHEST W/ABDOMEN NEWBORN</t>
  </si>
  <si>
    <t>CFC2603010008628CFC</t>
  </si>
  <si>
    <t>CT CERVICAL SPINE WO CONTRAST</t>
  </si>
  <si>
    <t>CFC2603010008627CFC</t>
  </si>
  <si>
    <t>CODE STROKE CT HEAD WO CONTRAST</t>
  </si>
  <si>
    <t>R005639411WHOSP</t>
  </si>
  <si>
    <t>US OB TRANSVAGINAL</t>
  </si>
  <si>
    <t>BHS</t>
  </si>
  <si>
    <t>A10000271191BHS</t>
  </si>
  <si>
    <t>CT HEAD/BRAIN WO CON</t>
  </si>
  <si>
    <t>CFC2603010008582CFC</t>
  </si>
  <si>
    <t>CODE STROKE CTA HEAD NECK W OR W/WO CON VIZ.AI</t>
  </si>
  <si>
    <t>NBE2603010008617CHL</t>
  </si>
  <si>
    <t>CMC</t>
  </si>
  <si>
    <t>CT26000553CMC</t>
  </si>
  <si>
    <t>CT CHEST W CONTRAST PE PROTOCOL</t>
  </si>
  <si>
    <t>CT26000552CMC</t>
  </si>
  <si>
    <t>CT ABD PELVIS W CONTRAST</t>
  </si>
  <si>
    <t>LWP2603010008675CSP</t>
  </si>
  <si>
    <t>CFC2603010008650CFC</t>
  </si>
  <si>
    <t>NCS2603010008888CCS</t>
  </si>
  <si>
    <t>CT CHEST WO CONTRAST</t>
  </si>
  <si>
    <t>LLA2603010008881CLC</t>
  </si>
  <si>
    <t>R005639406WHOSP</t>
  </si>
  <si>
    <t>CFC2603010008866CFC</t>
  </si>
  <si>
    <t>R005639418WHOSP</t>
  </si>
  <si>
    <t>US FETAL BIOPHYSICAL PROFILE WO NON STRESS TESTING</t>
  </si>
  <si>
    <t>R005639413WHOSP</t>
  </si>
  <si>
    <t>US RENAL COMPLETE</t>
  </si>
  <si>
    <t>CFC2603010008142CFC</t>
  </si>
  <si>
    <t>US RENAL KIDNEY</t>
  </si>
  <si>
    <t>R005639426WHOSP</t>
  </si>
  <si>
    <t>US SOFT TISSUE EXTREMITY/GROIN</t>
  </si>
  <si>
    <t>NHL2603010009007CHL</t>
  </si>
  <si>
    <t>NHL2603010009009CHL</t>
  </si>
  <si>
    <t>LWP2603010008776CSP</t>
  </si>
  <si>
    <t>VAS DPLX SCAN LOWER EXT VEIN LEFT  (VSC)</t>
  </si>
  <si>
    <t>CFC2603010008862CFC</t>
  </si>
  <si>
    <t>CFC2603010008863CFC</t>
  </si>
  <si>
    <t>NBE2603010008891CHL</t>
  </si>
  <si>
    <t>US PELVIS/TRANSVAG</t>
  </si>
  <si>
    <t>LLA2603010008861CLC</t>
  </si>
  <si>
    <t>76815 US OB LIMITED</t>
  </si>
  <si>
    <t>LLA2603010009036CLC</t>
  </si>
  <si>
    <t>CFC2603010008873CFC</t>
  </si>
  <si>
    <t>OLOL</t>
  </si>
  <si>
    <t>2630419470OLOL</t>
  </si>
  <si>
    <t>CT ABDOMEN PELVIS W IV CONTRAST</t>
  </si>
  <si>
    <t>R005639428WHOSP</t>
  </si>
  <si>
    <t>XR SHOULDER 2+ VIEWS RIGHT</t>
  </si>
  <si>
    <t>CFC2603010009013CFC</t>
  </si>
  <si>
    <t>CT ABDOMEN PELVIS WO CONTRAST</t>
  </si>
  <si>
    <t>2630419486OLOL</t>
  </si>
  <si>
    <t>CT UPPER EXTREMITY LEFT WO CONTRAST</t>
  </si>
  <si>
    <t>2630419439OLOL</t>
  </si>
  <si>
    <t>CT ANGIOGRAM HEAD AND NECK</t>
  </si>
  <si>
    <t>R005639427WHOSP</t>
  </si>
  <si>
    <t>2699419483OLOL</t>
  </si>
  <si>
    <t>CT ABDOMEN PELVIS WO IV CONTRAST</t>
  </si>
  <si>
    <t>2630419512OLOL</t>
  </si>
  <si>
    <t>CT HEAD WO CONTRAST</t>
  </si>
  <si>
    <t>NBE2603010009051CHL</t>
  </si>
  <si>
    <t>MPH</t>
  </si>
  <si>
    <t>MPCA134734MPH</t>
  </si>
  <si>
    <t>74176-CT ABD AND PELVIS; WITHOUT CONTRAST</t>
  </si>
  <si>
    <t>NBE2603010009221CHL</t>
  </si>
  <si>
    <t>MPCA134731MPH</t>
  </si>
  <si>
    <t>70450-CT HEAD/BRAIN; W/O CONTRAST</t>
  </si>
  <si>
    <t>2630419511OLOL</t>
  </si>
  <si>
    <t>MPCA134732MPH</t>
  </si>
  <si>
    <t>72125-CT CERVICAL SPINE; W/O CONTRAST</t>
  </si>
  <si>
    <t>NBE2603010009060CHL</t>
  </si>
  <si>
    <t>MPCA134733MPH</t>
  </si>
  <si>
    <t>71250-CT CHEST W/O CONTRAST</t>
  </si>
  <si>
    <t>R005639430WHOSP</t>
  </si>
  <si>
    <t>US OB LIMITED</t>
  </si>
  <si>
    <t>2699419590OLOL</t>
  </si>
  <si>
    <t>CFC2603010009237CFC</t>
  </si>
  <si>
    <t>US OB 1ST TRIMESTER</t>
  </si>
  <si>
    <t>2630419502OLOL</t>
  </si>
  <si>
    <t>2630419514OLOL</t>
  </si>
  <si>
    <t>LLA2603020000300CLC</t>
  </si>
  <si>
    <t>A10000271250BHS</t>
  </si>
  <si>
    <t>CT LUMBAR SPINE WO CON</t>
  </si>
  <si>
    <t>NHL2603020000333CHL</t>
  </si>
  <si>
    <t>NHL2603020000334CHL</t>
  </si>
  <si>
    <t>2630419501OLOL</t>
  </si>
  <si>
    <t>2630419667OLOL</t>
  </si>
  <si>
    <t>R005639431WHOSP</t>
  </si>
  <si>
    <t>R005639433WHOSP</t>
  </si>
  <si>
    <t>XR PORTABLE CHEST 1 VIEW PEDIATRIC</t>
  </si>
  <si>
    <t>CFC2603020000352CFC</t>
  </si>
  <si>
    <t>CT MAXILLOFACIAL WO CONTRAST</t>
  </si>
  <si>
    <t>CFC2603020000351CFC</t>
  </si>
  <si>
    <t>CFC2603020000349CFC</t>
  </si>
  <si>
    <t>2630419624OLOL</t>
  </si>
  <si>
    <t>NHL2603020000431CHL</t>
  </si>
  <si>
    <t>CFC2603020000379CFC</t>
  </si>
  <si>
    <t>WFH</t>
  </si>
  <si>
    <t>E289305220260302WFH</t>
  </si>
  <si>
    <t>CTA CHEST</t>
  </si>
  <si>
    <t>E289305320260302WFH</t>
  </si>
  <si>
    <t>CTA ABDOMEN</t>
  </si>
  <si>
    <t>2630419706OLOL</t>
  </si>
  <si>
    <t>CT ANGIOGRAM PULMONARY</t>
  </si>
  <si>
    <t>2630419707OLOL</t>
  </si>
  <si>
    <t>R005639432WHOSP</t>
  </si>
  <si>
    <t>US OB &lt; 14 WEEKS EARLY</t>
  </si>
  <si>
    <t>NHL2603010009135CHL</t>
  </si>
  <si>
    <t>LLA2603020000520CLC</t>
  </si>
  <si>
    <t>LWP2603020000524CSP</t>
  </si>
  <si>
    <t>NHL2603020000570CHL</t>
  </si>
  <si>
    <t>VAS LOWER EXTREMITY ARTERIES RIGHT (VSC)</t>
  </si>
  <si>
    <t>LLA2603020000642CLC</t>
  </si>
  <si>
    <t>LWP2603020000662CSP</t>
  </si>
  <si>
    <t>CFC2603010008218CFC</t>
  </si>
  <si>
    <t>GABE, MICHAEL</t>
  </si>
  <si>
    <t>LWP2603010008392CSP</t>
  </si>
  <si>
    <t>LWP2603010008524CSP</t>
  </si>
  <si>
    <t>LLA2603010008580CLC</t>
  </si>
  <si>
    <t>CFC2603010008333CFC</t>
  </si>
  <si>
    <t>R005639410WHOSP</t>
  </si>
  <si>
    <t>US PELVIC ULTRASOUND TRANSVAG / LIMITED TRANSABDOMINAL</t>
  </si>
  <si>
    <t>CFC2603010008596CFC</t>
  </si>
  <si>
    <t>CFC2603010008755CFC</t>
  </si>
  <si>
    <t>CT SHOULDER RIGHT WO CONTRAST</t>
  </si>
  <si>
    <t>CFC2603010008774CFC</t>
  </si>
  <si>
    <t>CFC2603010008860CFC</t>
  </si>
  <si>
    <t>2630419444OLOL</t>
  </si>
  <si>
    <t>2630419385OLOL</t>
  </si>
  <si>
    <t>MR</t>
  </si>
  <si>
    <t>MRI BRAIN W WO CONTRAST</t>
  </si>
  <si>
    <t>2699419433OLOL</t>
  </si>
  <si>
    <t>CT PELVIS W IV CONTRAST</t>
  </si>
  <si>
    <t>LLA2603010008243CLC</t>
  </si>
  <si>
    <t>XR CHEST XRAY 1 VW</t>
  </si>
  <si>
    <t>2699419482OLOL</t>
  </si>
  <si>
    <t>NHL2603010009089CHL</t>
  </si>
  <si>
    <t>2630419577OLOL</t>
  </si>
  <si>
    <t>CT SINUS / FACIAL BONES WO CONTRAST</t>
  </si>
  <si>
    <t>CFC2603020000288CFC</t>
  </si>
  <si>
    <t>A10000271251BHS</t>
  </si>
  <si>
    <t>CT LE LT WO CON</t>
  </si>
  <si>
    <t>CFC2603020000289CFC</t>
  </si>
  <si>
    <t>NHL2603010009134CHL</t>
  </si>
  <si>
    <t>CFC2603020000350CFC</t>
  </si>
  <si>
    <t>NHL2603020000345CHL</t>
  </si>
  <si>
    <t>NHL2603010009217CHL</t>
  </si>
  <si>
    <t>CT WRIST LEFT WO CONTRAST</t>
  </si>
  <si>
    <t>CFC2603020000588CFC</t>
  </si>
  <si>
    <t>CFC2603020000706CFC</t>
  </si>
  <si>
    <t>R005639434WHOSP</t>
  </si>
  <si>
    <t>US GALLBLADDER</t>
  </si>
  <si>
    <t>LWP2603020000816CSP</t>
  </si>
  <si>
    <t>LWP2603020000763CSP</t>
  </si>
  <si>
    <t>US RIGHT UPPER QUADRANT</t>
  </si>
  <si>
    <t>2630419792OLOL</t>
  </si>
  <si>
    <t>2630419793OLOL</t>
  </si>
  <si>
    <t>2630419821OLOL</t>
  </si>
  <si>
    <t>2699419796OLOL</t>
  </si>
  <si>
    <t>2630419839OLOL</t>
  </si>
  <si>
    <t>NHL2603020000970CHL</t>
  </si>
  <si>
    <t>LWP2603020000985CSP</t>
  </si>
  <si>
    <t>2699419863OLOL</t>
  </si>
  <si>
    <t>2630419892OLOL</t>
  </si>
  <si>
    <t>LLA2603020023452CLC</t>
  </si>
  <si>
    <t>CT LUMBAR SPINE WO CONTRAST</t>
  </si>
  <si>
    <t>R005641978WHOSP</t>
  </si>
  <si>
    <t>CFC2603020023445CFC</t>
  </si>
  <si>
    <t>R005641977WHOSP</t>
  </si>
  <si>
    <t>MR ABDOMEN WO CONTRAST</t>
  </si>
  <si>
    <t>LLA2603020023763CLC</t>
  </si>
  <si>
    <t>CFC2603020023451CFC</t>
  </si>
  <si>
    <t>CFC2603020023653CFC</t>
  </si>
  <si>
    <t>R005641982WHOSP</t>
  </si>
  <si>
    <t>CT CHEST PULMONARY EMBOLISM W IV CONTRAST</t>
  </si>
  <si>
    <t>R005641985WHOSP</t>
  </si>
  <si>
    <t>CT HEAD WO IV CONTRAST</t>
  </si>
  <si>
    <t>R005641984WHOSP</t>
  </si>
  <si>
    <t>R005642001WHOSP</t>
  </si>
  <si>
    <t>BBH</t>
  </si>
  <si>
    <t>380656420260302BBH</t>
  </si>
  <si>
    <t>&lt;OBR.4.2&gt;&lt;OBR.4.2.1&gt;CT ABD &lt;/OBR.4.2.1&gt;&lt;OBR.4.2.2&gt; PELVIS WO&lt;/OBR.4.2.2&gt;&lt;/OBR.4.2&gt;</t>
  </si>
  <si>
    <t>LWP2603020023682CSP</t>
  </si>
  <si>
    <t>R005642002WHOSP</t>
  </si>
  <si>
    <t>2630427717OLOL</t>
  </si>
  <si>
    <t>CT ABDOMEN PELVIS W WO IV CONTRAST</t>
  </si>
  <si>
    <t>R005642011WHOSP</t>
  </si>
  <si>
    <t>CFC2603020024829CFC</t>
  </si>
  <si>
    <t>2630427829OLOL</t>
  </si>
  <si>
    <t>2630427830OLOL</t>
  </si>
  <si>
    <t>NHL2603030000211CHL</t>
  </si>
  <si>
    <t>R005642019WHOSP</t>
  </si>
  <si>
    <t>NHL2603030000450CHL</t>
  </si>
  <si>
    <t>2630427969OLOL</t>
  </si>
  <si>
    <t>2630428034OLOL</t>
  </si>
  <si>
    <t>R005641975WHOSP</t>
  </si>
  <si>
    <t>CFC2603020023168CFC</t>
  </si>
  <si>
    <t>CT ANGIOGRAM ABDOMEN PELVIS W OR W/ WO CONTRAST</t>
  </si>
  <si>
    <t>R005641976WHOSP</t>
  </si>
  <si>
    <t>NHL2603020023214CHL</t>
  </si>
  <si>
    <t>US SCROTUM AND TESTICLES</t>
  </si>
  <si>
    <t>LLA2603020022844CLC</t>
  </si>
  <si>
    <t>NBE2603020023440CHL</t>
  </si>
  <si>
    <t>LLA2603020023823CLC</t>
  </si>
  <si>
    <t>NHL2603020023790CHL</t>
  </si>
  <si>
    <t>CFC2603020023218CFC</t>
  </si>
  <si>
    <t>E289309820260302WFH</t>
  </si>
  <si>
    <t>CT HEAD/BRAIN W/O</t>
  </si>
  <si>
    <t>CFC2603020023761CFC</t>
  </si>
  <si>
    <t>CT MAXILLOFACIAL W CONTRAST</t>
  </si>
  <si>
    <t>LLA2603020023949CLC</t>
  </si>
  <si>
    <t>CFC2603020023759CFC</t>
  </si>
  <si>
    <t>CFC2603020023489CFC</t>
  </si>
  <si>
    <t>CFC2603020023890CFC</t>
  </si>
  <si>
    <t>MPCA134758MPH</t>
  </si>
  <si>
    <t>71275-CT ANGIO CHEST</t>
  </si>
  <si>
    <t>LWP2603020023935CSP</t>
  </si>
  <si>
    <t>CT SOFT TISSUE NECK W CONTRAST</t>
  </si>
  <si>
    <t>R005641983WHOSP</t>
  </si>
  <si>
    <t>LWP2603020023944CSP</t>
  </si>
  <si>
    <t>LLA2603020023903CLC</t>
  </si>
  <si>
    <t>LLA2603020023900CLC</t>
  </si>
  <si>
    <t>CFC2603020023882CFC</t>
  </si>
  <si>
    <t>CFC2603020023883CFC</t>
  </si>
  <si>
    <t>LLA2603020024054CLC</t>
  </si>
  <si>
    <t>CT ABD/PEL W CONTRAST (IV ONLY)</t>
  </si>
  <si>
    <t>CFC2603020023166CFC</t>
  </si>
  <si>
    <t>LWP2603020023945CSP</t>
  </si>
  <si>
    <t>CFC2603020024144CFC</t>
  </si>
  <si>
    <t>CFC2603020024172CFC</t>
  </si>
  <si>
    <t>CT ANGIO HEAD NECK W OR W/WO CONTRAST</t>
  </si>
  <si>
    <t>R005641988WHOSP</t>
  </si>
  <si>
    <t>CFC2603020023543CFC</t>
  </si>
  <si>
    <t>VAS LOWER EXTREMITY ARTERIES BILATERAL (VSC)</t>
  </si>
  <si>
    <t>R005641986WHOSP</t>
  </si>
  <si>
    <t>CFC2603020023536CFC</t>
  </si>
  <si>
    <t>VAS UPPER EXTREMITY ARTERIES BILATERAL (VSC)</t>
  </si>
  <si>
    <t>A10000271374BHS</t>
  </si>
  <si>
    <t>US OB &lt;= 14 WEEKS FETUS</t>
  </si>
  <si>
    <t>LLA2603020024155CLC</t>
  </si>
  <si>
    <t>2630427747OLOL</t>
  </si>
  <si>
    <t>NBE2603020024308CHL</t>
  </si>
  <si>
    <t>2630427681OLOL</t>
  </si>
  <si>
    <t>NHL2603020024432CHL</t>
  </si>
  <si>
    <t>2630427749OLOL</t>
  </si>
  <si>
    <t>NHL2603020024339CHL</t>
  </si>
  <si>
    <t>NHL2603020024108CHL</t>
  </si>
  <si>
    <t>2699427786OLOL</t>
  </si>
  <si>
    <t>NHL2603020024431CHL</t>
  </si>
  <si>
    <t>R005642003WHOSP</t>
  </si>
  <si>
    <t>MR BRAIN WO CONTRAST</t>
  </si>
  <si>
    <t>A10000271378BHS</t>
  </si>
  <si>
    <t>CT ABDOMEN PELVIS W CON</t>
  </si>
  <si>
    <t>CFC2603020024319CFC</t>
  </si>
  <si>
    <t>CFC2603020024317CFC</t>
  </si>
  <si>
    <t>CT TIBIA FIBULA RIGHT WO CONTRAST</t>
  </si>
  <si>
    <t>2630427813OLOL</t>
  </si>
  <si>
    <t>CFC2603020024316CFC</t>
  </si>
  <si>
    <t>LWP2603020024834CSP</t>
  </si>
  <si>
    <t>R005642010WHOSP</t>
  </si>
  <si>
    <t>CT26000569CMC</t>
  </si>
  <si>
    <t>R005642012WHOSP</t>
  </si>
  <si>
    <t>CFC2603020023187CFC</t>
  </si>
  <si>
    <t>NBE2603020024821CHL</t>
  </si>
  <si>
    <t>VAS DPLX SCAN LOWER EXT VEIN BILATERAL (VSC)</t>
  </si>
  <si>
    <t>2630427926OLOL</t>
  </si>
  <si>
    <t>2699427916OLOL</t>
  </si>
  <si>
    <t>LWP2603030000278CSP</t>
  </si>
  <si>
    <t>CT26000571CMC</t>
  </si>
  <si>
    <t>CT THORACIC SPINE</t>
  </si>
  <si>
    <t>2630427828OLOL</t>
  </si>
  <si>
    <t>380656820260303BBH</t>
  </si>
  <si>
    <t>CT PELVIS WO</t>
  </si>
  <si>
    <t>2630427943OLOL</t>
  </si>
  <si>
    <t>2630427949OLOL</t>
  </si>
  <si>
    <t>NBE2603030000379CHL</t>
  </si>
  <si>
    <t>R005642018WHOSP</t>
  </si>
  <si>
    <t>LWP2603030000433CSP</t>
  </si>
  <si>
    <t>2699427988OLOL</t>
  </si>
  <si>
    <t>NBE2603030000692CHL</t>
  </si>
  <si>
    <t>2630427978OLOL</t>
  </si>
  <si>
    <t>LWP2603030000445CSP</t>
  </si>
  <si>
    <t>2630427972OLOL</t>
  </si>
  <si>
    <t>LLA2603030000797CLC</t>
  </si>
  <si>
    <t>MPCA134765MPH</t>
  </si>
  <si>
    <t>MPCA134763MPH</t>
  </si>
  <si>
    <t>CFC2603030000533CFC</t>
  </si>
  <si>
    <t>LWP2603030000808CSP</t>
  </si>
  <si>
    <t>LWP2603030000807CSP</t>
  </si>
  <si>
    <t>2630428043OLOL</t>
  </si>
  <si>
    <t>2630428033OLOL</t>
  </si>
  <si>
    <t>2630428068OLOL</t>
  </si>
  <si>
    <t>2699428052OLOL</t>
  </si>
  <si>
    <t>US PELVIS LIMITED</t>
  </si>
  <si>
    <t>MPCA134764MPH</t>
  </si>
  <si>
    <t>LWP2603030000803CSP</t>
  </si>
  <si>
    <t>NHL2603030000798CHL</t>
  </si>
  <si>
    <t>2630428066OLOL</t>
  </si>
  <si>
    <t>2699428102OLOL</t>
  </si>
  <si>
    <t>LLA2603030001025CLC</t>
  </si>
  <si>
    <t>NCS2603030001086CCS</t>
  </si>
  <si>
    <t>2630428131OLOL</t>
  </si>
  <si>
    <t>CFC2603030000851CFC</t>
  </si>
  <si>
    <t>CFC2603030001092CFC</t>
  </si>
  <si>
    <t>CFC2603030001260CFC</t>
  </si>
  <si>
    <t>CFC2603030001372CFC</t>
  </si>
  <si>
    <t>LLA2603030023673CLC</t>
  </si>
  <si>
    <t>LLA2603030023454CLC</t>
  </si>
  <si>
    <t>LWP2603030023828CSP</t>
  </si>
  <si>
    <t>NHL2603030021970CHL</t>
  </si>
  <si>
    <t>NHL2603030023271CHL</t>
  </si>
  <si>
    <t>LLA2603030023560CLC</t>
  </si>
  <si>
    <t>CFC2603030016260CFC</t>
  </si>
  <si>
    <t>NM</t>
  </si>
  <si>
    <t>NM HIDA SCAN</t>
  </si>
  <si>
    <t>NBE2603030023743CHL</t>
  </si>
  <si>
    <t>CFC2603030023152CFC</t>
  </si>
  <si>
    <t>LWP2603030023876CSP</t>
  </si>
  <si>
    <t>LWP2603030024127CSP</t>
  </si>
  <si>
    <t>NCS2603030024167CCS</t>
  </si>
  <si>
    <t>NCS2603030024271CCS</t>
  </si>
  <si>
    <t>CFC2603030023576CFC</t>
  </si>
  <si>
    <t>CFC2603030023568CFC</t>
  </si>
  <si>
    <t>R005644999WHOSP</t>
  </si>
  <si>
    <t>R005644998WHOSP</t>
  </si>
  <si>
    <t>CFC2603030023885CFC</t>
  </si>
  <si>
    <t>CFC2603030024534CFC</t>
  </si>
  <si>
    <t>NHL2603030024240CHL</t>
  </si>
  <si>
    <t>CFC2603030024537CFC</t>
  </si>
  <si>
    <t>R005645000WHOSP</t>
  </si>
  <si>
    <t>R005645006WHOSP</t>
  </si>
  <si>
    <t>CFC2603030024189CFC</t>
  </si>
  <si>
    <t>CFC2603030024533CFC</t>
  </si>
  <si>
    <t>CFC2603030024014CFC</t>
  </si>
  <si>
    <t>MRI LUMBAR SPINE W WO CONTRAST</t>
  </si>
  <si>
    <t>CFC2603030024015CFC</t>
  </si>
  <si>
    <t>MRI CERVICAL SPINE W WO CONTRAST</t>
  </si>
  <si>
    <t>CFC2603030024011CFC</t>
  </si>
  <si>
    <t>MRI THORACIC SPINE W WO CONTRAST</t>
  </si>
  <si>
    <t>R005645011WHOSP</t>
  </si>
  <si>
    <t>US PELVIS</t>
  </si>
  <si>
    <t>CFC2603030023931CFC</t>
  </si>
  <si>
    <t>CFC2603030024535CFC</t>
  </si>
  <si>
    <t>NHL2603030024631CHL</t>
  </si>
  <si>
    <t>NHL2603030024888CHL</t>
  </si>
  <si>
    <t>R005645007WHOSP</t>
  </si>
  <si>
    <t>CT ABDOMEN PELVIS W AND WO IV CONTRAST</t>
  </si>
  <si>
    <t>CFC2603030023569CFC</t>
  </si>
  <si>
    <t>CT ANGIO CHEST ABDOMEN PELVIS W OR W/WO CONTRAST (ENTIRE AORTA)</t>
  </si>
  <si>
    <t>R005645027WHOSP</t>
  </si>
  <si>
    <t>2630435705OLOL</t>
  </si>
  <si>
    <t>CFC2603030025314CFC</t>
  </si>
  <si>
    <t>CFC2603030025357CFC</t>
  </si>
  <si>
    <t>R005645028WHOSP</t>
  </si>
  <si>
    <t>2699435816OLOL</t>
  </si>
  <si>
    <t>LWP2603030025313CSP</t>
  </si>
  <si>
    <t>NHL2603030023844CHL</t>
  </si>
  <si>
    <t>NHL2603030025376CHL</t>
  </si>
  <si>
    <t>CT CHEST ABDOMEN PELVIS W CONTRAST</t>
  </si>
  <si>
    <t>2630435815OLOL</t>
  </si>
  <si>
    <t>2699435793OLOL</t>
  </si>
  <si>
    <t>CT LOWER EXTREMITY RIGHT WO CONTRAST</t>
  </si>
  <si>
    <t>R005645030WHOSP</t>
  </si>
  <si>
    <t>NHL2603030025511CHL</t>
  </si>
  <si>
    <t>LLA2603030025398CLC</t>
  </si>
  <si>
    <t>NBE2603030025130CHL</t>
  </si>
  <si>
    <t>US ABDOMEN COMPLETE</t>
  </si>
  <si>
    <t>2630435844OLOL</t>
  </si>
  <si>
    <t>NHL2603040000197CHL</t>
  </si>
  <si>
    <t>NBE2603030024485CHL</t>
  </si>
  <si>
    <t>NBE2603030024486CHL</t>
  </si>
  <si>
    <t>2630435894OLOL</t>
  </si>
  <si>
    <t>2699435817OLOL</t>
  </si>
  <si>
    <t>CT ANGIOGRAM CHEST ABDOMEN PELVIS</t>
  </si>
  <si>
    <t>2699435762OLOL</t>
  </si>
  <si>
    <t>NCS2603040000235CCS</t>
  </si>
  <si>
    <t>NHL2603040000219CHL</t>
  </si>
  <si>
    <t>NHL2603040000284CHL</t>
  </si>
  <si>
    <t>2699435839OLOL</t>
  </si>
  <si>
    <t>2699435837OLOL</t>
  </si>
  <si>
    <t>2699435907OLOL</t>
  </si>
  <si>
    <t>2699435908OLOL</t>
  </si>
  <si>
    <t>2630435938OLOL</t>
  </si>
  <si>
    <t>2630436034OLOL</t>
  </si>
  <si>
    <t>CT CHEST W CONTRAST</t>
  </si>
  <si>
    <t>A10000271624BHS</t>
  </si>
  <si>
    <t>2699435665OLOL</t>
  </si>
  <si>
    <t>2699436018OLOL</t>
  </si>
  <si>
    <t>CFC2603040000331CFC</t>
  </si>
  <si>
    <t>CT ANGIO ABD WITH BILATERAL RUNOFF W CONTRAST</t>
  </si>
  <si>
    <t>CFC2603040000410CFC</t>
  </si>
  <si>
    <t>CT26000575CMC</t>
  </si>
  <si>
    <t>2630436075OLOL</t>
  </si>
  <si>
    <t>NHL2603040000502CHL</t>
  </si>
  <si>
    <t>380665020260304BBH</t>
  </si>
  <si>
    <t>CHEST 1 VIEW</t>
  </si>
  <si>
    <t>A10000271574BHS</t>
  </si>
  <si>
    <t>CT SOFT TISSUE NECK WO CON</t>
  </si>
  <si>
    <t>NHL2603030023602CHL</t>
  </si>
  <si>
    <t>CFC2603030023395CFC</t>
  </si>
  <si>
    <t>CFC2603030024190CFC</t>
  </si>
  <si>
    <t>CFC2603030024185CFC</t>
  </si>
  <si>
    <t>NBE2603030024749CHL</t>
  </si>
  <si>
    <t>CT ANGIOGRAM CHEST (AORTA)  W OR W/WO CONTRAST</t>
  </si>
  <si>
    <t>LLA2603030025182CLC</t>
  </si>
  <si>
    <t>LLA2603030025371CLC</t>
  </si>
  <si>
    <t>CFC2603030025316CFC</t>
  </si>
  <si>
    <t>2630435771OLOL</t>
  </si>
  <si>
    <t>LWP2603030025503CSP</t>
  </si>
  <si>
    <t>CT PELVIS W  CONTRAST</t>
  </si>
  <si>
    <t>NBE2603030025129CHL</t>
  </si>
  <si>
    <t>2630435813OLOL</t>
  </si>
  <si>
    <t>LLA2603040000222CLC</t>
  </si>
  <si>
    <t>CT SHOULDER LEFT WO CONTRAST</t>
  </si>
  <si>
    <t>2699435909OLOL</t>
  </si>
  <si>
    <t>LWP2603040000225CSP</t>
  </si>
  <si>
    <t>CT CHEST ABDOMEN PELVIS WO CONTRAST</t>
  </si>
  <si>
    <t>2699435982OLOL</t>
  </si>
  <si>
    <t>LLA2603040000455CLC</t>
  </si>
  <si>
    <t>CFC2603040000408CFC</t>
  </si>
  <si>
    <t>CFC2603040000333CFC</t>
  </si>
  <si>
    <t>NHL2603040000627CHL</t>
  </si>
  <si>
    <t>NBE2603040000678CHL</t>
  </si>
  <si>
    <t>2699436114OLOL</t>
  </si>
  <si>
    <t>2699436156OLOL</t>
  </si>
  <si>
    <t>2630436161OLOL</t>
  </si>
  <si>
    <t>2630436173OLOL</t>
  </si>
  <si>
    <t>NHL2603040000634CHL</t>
  </si>
  <si>
    <t>2699436157OLOL</t>
  </si>
  <si>
    <t>2699436201OLOL</t>
  </si>
  <si>
    <t>2630436215OLOL</t>
  </si>
  <si>
    <t>NHL2603040000750CHL</t>
  </si>
  <si>
    <t>NBE2603040000858CHL</t>
  </si>
  <si>
    <t>2630436230OLOL</t>
  </si>
  <si>
    <t>CT UPPER EXTREMITY RIGHT W CONTRAST</t>
  </si>
  <si>
    <t>NBE2603040000857CHL</t>
  </si>
  <si>
    <t>NHL2603040000795CHL</t>
  </si>
  <si>
    <t>CT LOWER EXTREMITY W CONTRAST RIGHT</t>
  </si>
  <si>
    <t>CFC2603040000539CFC</t>
  </si>
  <si>
    <t>CFC2603040000888CFC</t>
  </si>
  <si>
    <t>LWP2603040000886CSP</t>
  </si>
  <si>
    <t>R005645047WHOSP</t>
  </si>
  <si>
    <t>2630436285OLOL</t>
  </si>
  <si>
    <t>R005645051WHOSP</t>
  </si>
  <si>
    <t>NHL2603040000917CHL</t>
  </si>
  <si>
    <t>R005645050WHOSP</t>
  </si>
  <si>
    <t>XR PORTABLE ABDOMEN NEWBORN</t>
  </si>
  <si>
    <t>NHL2603040000922CHL</t>
  </si>
  <si>
    <t>R005645058WHOSP</t>
  </si>
  <si>
    <t>LWP2603040024912CSP</t>
  </si>
  <si>
    <t>CFC2603040024674CFC</t>
  </si>
  <si>
    <t>CFC2603040024683CFC</t>
  </si>
  <si>
    <t>CFC2603040024208CFC</t>
  </si>
  <si>
    <t>MRI LUMBAR SPINE WO CONTRAST</t>
  </si>
  <si>
    <t>CFC2603040024209CFC</t>
  </si>
  <si>
    <t>MRI THORACIC SPINE WO CONTRAST</t>
  </si>
  <si>
    <t>E289316120260304WFH</t>
  </si>
  <si>
    <t>E289316220260304WFH</t>
  </si>
  <si>
    <t>CT C-SPINE WITHOUT CONTRAST</t>
  </si>
  <si>
    <t>E289316320260304WFH</t>
  </si>
  <si>
    <t>CT T-SPINE WITHOUT CONTRAST</t>
  </si>
  <si>
    <t>CFC2603040017238CFC</t>
  </si>
  <si>
    <t>NM LUNG SCAN (QUANTITATIVE - VENT T PERF)</t>
  </si>
  <si>
    <t>E289316520260304WFH</t>
  </si>
  <si>
    <t>CT LUMBAR SPINE WITHOUT CONTRAST</t>
  </si>
  <si>
    <t>CFC2603040024964CFC</t>
  </si>
  <si>
    <t>NHL2603040025101CHL</t>
  </si>
  <si>
    <t>A10000271751BHS</t>
  </si>
  <si>
    <t>R005647443WHOSP</t>
  </si>
  <si>
    <t>CFC2603040025176CFC</t>
  </si>
  <si>
    <t>LWP2603040024997CSP</t>
  </si>
  <si>
    <t>LLA2603040025266CLC</t>
  </si>
  <si>
    <t>CT ABDOMEN PELVIS W WO CONTRAST</t>
  </si>
  <si>
    <t>NHL2603040025190CHL</t>
  </si>
  <si>
    <t>R005647446WHOSP</t>
  </si>
  <si>
    <t>CFC2603040024791CFC</t>
  </si>
  <si>
    <t>NBE2603040025077CHL</t>
  </si>
  <si>
    <t>R005647456WHOSP</t>
  </si>
  <si>
    <t>CFC2603040025033CFC</t>
  </si>
  <si>
    <t>CT SOFT TISSUE NECK WO CONTRAST</t>
  </si>
  <si>
    <t>R005647444WHOSP</t>
  </si>
  <si>
    <t>CFC2603040025041CFC</t>
  </si>
  <si>
    <t>R005647471WHOSP</t>
  </si>
  <si>
    <t>NHL2603040025294CHL</t>
  </si>
  <si>
    <t>NHL2603040025296CHL</t>
  </si>
  <si>
    <t>R005647472WHOSP</t>
  </si>
  <si>
    <t>CFC2603040025345CFC</t>
  </si>
  <si>
    <t>2630443899OLOL</t>
  </si>
  <si>
    <t>CFC2603040025377CFC</t>
  </si>
  <si>
    <t>CFC2603040025588CFC</t>
  </si>
  <si>
    <t>LLA2603040025788CLC</t>
  </si>
  <si>
    <t>NBE2603040025632CHL</t>
  </si>
  <si>
    <t>R005647479WHOSP</t>
  </si>
  <si>
    <t>NBE2603040025793CHL</t>
  </si>
  <si>
    <t>2630443877OLOL</t>
  </si>
  <si>
    <t>2630443944OLOL</t>
  </si>
  <si>
    <t>2630443911OLOL</t>
  </si>
  <si>
    <t>2630443914OLOL</t>
  </si>
  <si>
    <t>LLA2603040025835CLC</t>
  </si>
  <si>
    <t>2630443913OLOL</t>
  </si>
  <si>
    <t>CT PELVIS WO IV CONTRAST</t>
  </si>
  <si>
    <t>LLA2603040025836CLC</t>
  </si>
  <si>
    <t>2630443943OLOL</t>
  </si>
  <si>
    <t>2630443915OLOL</t>
  </si>
  <si>
    <t>CFC2603040025359CFC</t>
  </si>
  <si>
    <t>CFC2603040025362CFC</t>
  </si>
  <si>
    <t>LWP2603040026040CSP</t>
  </si>
  <si>
    <t>2699443951OLOL</t>
  </si>
  <si>
    <t>2699443948OLOL</t>
  </si>
  <si>
    <t>CFC2603040026022CFC</t>
  </si>
  <si>
    <t>LLA2603040026064CLC</t>
  </si>
  <si>
    <t>2699444002OLOL</t>
  </si>
  <si>
    <t>CFC2603040026023CFC</t>
  </si>
  <si>
    <t>CT26000581CMC</t>
  </si>
  <si>
    <t>CFC2603040025729CFC</t>
  </si>
  <si>
    <t>CFC2603040025817CFC</t>
  </si>
  <si>
    <t>NHL2603050000240CHL</t>
  </si>
  <si>
    <t>2699444091OLOL</t>
  </si>
  <si>
    <t>CFC2603040024600CFC</t>
  </si>
  <si>
    <t>NHL2603050000347CHL</t>
  </si>
  <si>
    <t>2699444113OLOL</t>
  </si>
  <si>
    <t>2630444110OLOL</t>
  </si>
  <si>
    <t>2630444082OLOL</t>
  </si>
  <si>
    <t>CFC2603040026049CFC</t>
  </si>
  <si>
    <t>R005647480WHOSP</t>
  </si>
  <si>
    <t>CFC2603050000482CFC</t>
  </si>
  <si>
    <t>2699444147OLOL</t>
  </si>
  <si>
    <t>CFC2603050000520CFC</t>
  </si>
  <si>
    <t>LWP2603050000585CSP</t>
  </si>
  <si>
    <t>A10000271824BHS</t>
  </si>
  <si>
    <t>2699444150OLOL</t>
  </si>
  <si>
    <t>CFC2603040024698CFC</t>
  </si>
  <si>
    <t>THAYIL, NEIL</t>
  </si>
  <si>
    <t>LWP2603040024993CSP</t>
  </si>
  <si>
    <t>CFC2603040024795CFC</t>
  </si>
  <si>
    <t>NBE2603040024959CHL</t>
  </si>
  <si>
    <t>CFC2603040024652CFC</t>
  </si>
  <si>
    <t>CFC2603040024673CFC</t>
  </si>
  <si>
    <t>LLA2603040024688CLC</t>
  </si>
  <si>
    <t>CFC2603040025379CFC</t>
  </si>
  <si>
    <t>CFC2603040025696CFC</t>
  </si>
  <si>
    <t>LLA2603040025519CLC</t>
  </si>
  <si>
    <t>LWP2603040025702CSP</t>
  </si>
  <si>
    <t>CFC2603040025686CFC</t>
  </si>
  <si>
    <t>NBE2603040024943CHL</t>
  </si>
  <si>
    <t>2630443958OLOL</t>
  </si>
  <si>
    <t>2630443959OLOL</t>
  </si>
  <si>
    <t>CT THORACIC SPINE WO CONTRAST</t>
  </si>
  <si>
    <t>2699444030OLOL</t>
  </si>
  <si>
    <t>CFC2603040025731CFC</t>
  </si>
  <si>
    <t>NBE2603050000289CHL</t>
  </si>
  <si>
    <t>CFC2603040024871CFC</t>
  </si>
  <si>
    <t>XR LUMBAR SPINE 2 OR 3 VIEWS</t>
  </si>
  <si>
    <t>A10000271986BHS</t>
  </si>
  <si>
    <t>A10000271984BHS</t>
  </si>
  <si>
    <t>XR CHEST 1V</t>
  </si>
  <si>
    <t>NHL2603050024856CHL</t>
  </si>
  <si>
    <t>CFC2603050024473CFC</t>
  </si>
  <si>
    <t>LLA2603050025052CLC</t>
  </si>
  <si>
    <t>CFC2603050025353CFC</t>
  </si>
  <si>
    <t>LWP2603050000622CSP</t>
  </si>
  <si>
    <t>LWP2603050000623CSP</t>
  </si>
  <si>
    <t>CFC2603050000628CFC</t>
  </si>
  <si>
    <t>NHL2603050000727CHL</t>
  </si>
  <si>
    <t>NHL2603050000728CHL</t>
  </si>
  <si>
    <t>CFC2603050000700CFC</t>
  </si>
  <si>
    <t>CFC2603050000754CFC</t>
  </si>
  <si>
    <t>CFC2603050000755CFC</t>
  </si>
  <si>
    <t>CFC2603050000756CFC</t>
  </si>
  <si>
    <t>CT PELVIS WO CONTRAST</t>
  </si>
  <si>
    <t>CFC2603050000811CFC</t>
  </si>
  <si>
    <t>LWP2603050000815CSP</t>
  </si>
  <si>
    <t>LWP2603050000858CSP</t>
  </si>
  <si>
    <t>2699444288OLOL</t>
  </si>
  <si>
    <t>LWP2603050000985CSP</t>
  </si>
  <si>
    <t>R005647485WHOSP</t>
  </si>
  <si>
    <t>LLA2603050001105CLC</t>
  </si>
  <si>
    <t>CFC2603050024693CFC</t>
  </si>
  <si>
    <t>CFC2603050024694CFC</t>
  </si>
  <si>
    <t>NHL2603050025041CHL</t>
  </si>
  <si>
    <t>CFC2603050024948CFC</t>
  </si>
  <si>
    <t>CFC2603050024573CFC</t>
  </si>
  <si>
    <t>CFC2603050024947CFC</t>
  </si>
  <si>
    <t>E289320820260305WFH</t>
  </si>
  <si>
    <t>CT ABDOMEN T PELVIS W CONTRAST</t>
  </si>
  <si>
    <t>NBE2603050025163CHL</t>
  </si>
  <si>
    <t>CFC2603050024952CFC</t>
  </si>
  <si>
    <t>NHL2603050025090CHL</t>
  </si>
  <si>
    <t>NHL2603050024900CHL</t>
  </si>
  <si>
    <t>NHL2603050025150CHL</t>
  </si>
  <si>
    <t>NHL2603050025154CHL</t>
  </si>
  <si>
    <t>NHL2603050025153CHL</t>
  </si>
  <si>
    <t>E289320920260305WFH</t>
  </si>
  <si>
    <t>NHL2603050024898CHL</t>
  </si>
  <si>
    <t>R005650592WHOSP</t>
  </si>
  <si>
    <t>R005650582WHOSP</t>
  </si>
  <si>
    <t>A10000271980BHS</t>
  </si>
  <si>
    <t>CT SOFT TISSUE NECK W CON</t>
  </si>
  <si>
    <t>CFC2603050024840CFC</t>
  </si>
  <si>
    <t>VAS DPLX SCAN UPPER EXTREMITY VENOUS LEFT (VSC)</t>
  </si>
  <si>
    <t>R005650567WHOSP</t>
  </si>
  <si>
    <t>R005650594WHOSP</t>
  </si>
  <si>
    <t>US ABDOMEN</t>
  </si>
  <si>
    <t>A10000271987BHS</t>
  </si>
  <si>
    <t>A10000271988BHS</t>
  </si>
  <si>
    <t>CT KIDNEY STONE PROTOCOL</t>
  </si>
  <si>
    <t>CFC2603050024949CFC</t>
  </si>
  <si>
    <t>CFC2603050025386CFC</t>
  </si>
  <si>
    <t>A10000271991BHS</t>
  </si>
  <si>
    <t>LWP2603050025387CSP</t>
  </si>
  <si>
    <t>CFC2603050025213CFC</t>
  </si>
  <si>
    <t>CT ANGIOGRAM UPPER EXTREMITY LEFT W OR W/ WO CONTRAST</t>
  </si>
  <si>
    <t>R005650596WHOSP</t>
  </si>
  <si>
    <t>US PELVIS APPENDIX</t>
  </si>
  <si>
    <t>R005650595WHOSP</t>
  </si>
  <si>
    <t>CFC2603050024570CFC</t>
  </si>
  <si>
    <t>NBE2603050025452CHL</t>
  </si>
  <si>
    <t>NHL2603050025409CHL</t>
  </si>
  <si>
    <t>CFC2603050024567CFC</t>
  </si>
  <si>
    <t>NCS2603050025468CCS</t>
  </si>
  <si>
    <t>CFC2603050025511CFC</t>
  </si>
  <si>
    <t>CFC2603050025308CFC</t>
  </si>
  <si>
    <t>CFC2603050025309CFC</t>
  </si>
  <si>
    <t>LWP2603050025422CSP</t>
  </si>
  <si>
    <t>LWP2603050024169CSP</t>
  </si>
  <si>
    <t>CFC2603050025619CFC</t>
  </si>
  <si>
    <t>NHL2603050025177CHL</t>
  </si>
  <si>
    <t>CFC2603050024944CFC</t>
  </si>
  <si>
    <t>NCS2603050023313CCS</t>
  </si>
  <si>
    <t>NCS2603050023314CCS</t>
  </si>
  <si>
    <t>CFC2603050024941CFC</t>
  </si>
  <si>
    <t>NHL2603050025399CHL</t>
  </si>
  <si>
    <t>NHL2603050025398CHL</t>
  </si>
  <si>
    <t>CFC2603050025596CFC</t>
  </si>
  <si>
    <t>CFC2603050024955CFC</t>
  </si>
  <si>
    <t>A10000271979BHS</t>
  </si>
  <si>
    <t>CT ABDOMEN PELVIS WO CON</t>
  </si>
  <si>
    <t>CFC2603050025625CFC</t>
  </si>
  <si>
    <t>A10000271992BHS</t>
  </si>
  <si>
    <t>LLA2603050025727CLC</t>
  </si>
  <si>
    <t>CFC2603050025488CFC</t>
  </si>
  <si>
    <t>LWP2603050025504CSP</t>
  </si>
  <si>
    <t>LWP2603050025726CSP</t>
  </si>
  <si>
    <t>A10000271995BHS</t>
  </si>
  <si>
    <t>2699451792OLOL</t>
  </si>
  <si>
    <t>2699451775OLOL</t>
  </si>
  <si>
    <t>2699451749OLOL</t>
  </si>
  <si>
    <t>CFC2603050025668CFC</t>
  </si>
  <si>
    <t>NHL2603050025644CHL</t>
  </si>
  <si>
    <t>CFC2603050025791CFC</t>
  </si>
  <si>
    <t>CFC2603050025733CFC</t>
  </si>
  <si>
    <t>CFC2603050025789CFC</t>
  </si>
  <si>
    <t>2630451755OLOL</t>
  </si>
  <si>
    <t>2630451768OLOL</t>
  </si>
  <si>
    <t>2699451794OLOL</t>
  </si>
  <si>
    <t>NHL2603050025913CHL</t>
  </si>
  <si>
    <t>2630451804OLOL</t>
  </si>
  <si>
    <t>CT HEAD PERFUSION W CONTRAST</t>
  </si>
  <si>
    <t>A10000271998BHS</t>
  </si>
  <si>
    <t>CT CERVICAL SPINE WO CON</t>
  </si>
  <si>
    <t>A10000271997BHS</t>
  </si>
  <si>
    <t>CT ANGIO CHEST PE PROTOCOL</t>
  </si>
  <si>
    <t>NHL2603050025891CHL</t>
  </si>
  <si>
    <t>R005650600WHOSP</t>
  </si>
  <si>
    <t>CFC2603060000240CFC</t>
  </si>
  <si>
    <t>2630451843OLOL</t>
  </si>
  <si>
    <t>CFC2603060000245CFC</t>
  </si>
  <si>
    <t>CFC2603060000246CFC</t>
  </si>
  <si>
    <t>2630451922OLOL</t>
  </si>
  <si>
    <t>LLA2603060000457CLC</t>
  </si>
  <si>
    <t>CFC2603060000249CFC</t>
  </si>
  <si>
    <t>LLA2603060000517CLC</t>
  </si>
  <si>
    <t>CFC2603060000276CFC</t>
  </si>
  <si>
    <t>CFC2603060000488CFC</t>
  </si>
  <si>
    <t>CFC2603060000248CFC</t>
  </si>
  <si>
    <t>CFC2603060000250CFC</t>
  </si>
  <si>
    <t>2699452031OLOL</t>
  </si>
  <si>
    <t>R005650606WHOSP</t>
  </si>
  <si>
    <t>2630452037OLOL</t>
  </si>
  <si>
    <t>2630452039OLOL</t>
  </si>
  <si>
    <t>2630452040OLOL</t>
  </si>
  <si>
    <t>NHL2603060000787CHL</t>
  </si>
  <si>
    <t>2630452008OLOL</t>
  </si>
  <si>
    <t>CT LOWER EXTREMITY LEFT WO CONTRAST</t>
  </si>
  <si>
    <t>CFC2603060000833CFC</t>
  </si>
  <si>
    <t>2630452091OLOL</t>
  </si>
  <si>
    <t>NHL2603060000848CHL</t>
  </si>
  <si>
    <t>2699452087OLOL</t>
  </si>
  <si>
    <t>CT ANGIOGRAM ABDOMEN PELVIS</t>
  </si>
  <si>
    <t>2630452103OLOL</t>
  </si>
  <si>
    <t>CFC2603060000877CFC</t>
  </si>
  <si>
    <t>LWP2603060000836CSP</t>
  </si>
  <si>
    <t>CFC2603060000884CFC</t>
  </si>
  <si>
    <t>2699452142OLOL</t>
  </si>
  <si>
    <t>CFC2603060000885CFC</t>
  </si>
  <si>
    <t>R005650607WHOSP</t>
  </si>
  <si>
    <t>2699452089OLOL</t>
  </si>
  <si>
    <t>NHL2603060000887CHL</t>
  </si>
  <si>
    <t>LWP2603060000910CSP</t>
  </si>
  <si>
    <t>LLA2603060000937CLC</t>
  </si>
  <si>
    <t>2630452190OLOL</t>
  </si>
  <si>
    <t>CFC2603060001116CFC</t>
  </si>
  <si>
    <t>CFC2603060001112CFC</t>
  </si>
  <si>
    <t>A10000272054BHS</t>
  </si>
  <si>
    <t>2630452247OLOL</t>
  </si>
  <si>
    <t>A10000272160BHS</t>
  </si>
  <si>
    <t>A10000272161BHS</t>
  </si>
  <si>
    <t>CT SACRUM/COCCYX</t>
  </si>
  <si>
    <t>R005652793WHOSP</t>
  </si>
  <si>
    <t>NHL2603060020433CHL</t>
  </si>
  <si>
    <t>LWP2603060020395CSP</t>
  </si>
  <si>
    <t>CFC2603060020140CFC</t>
  </si>
  <si>
    <t>CFC2603060019981CFC</t>
  </si>
  <si>
    <t>LWP2603060020465CSP</t>
  </si>
  <si>
    <t>NHL2603060019810CHL</t>
  </si>
  <si>
    <t>NHL2603060020437CHL</t>
  </si>
  <si>
    <t>CFC2603060019706CFC</t>
  </si>
  <si>
    <t>US NON-OB TRANSVAGINAL</t>
  </si>
  <si>
    <t>R005652795WHOSP</t>
  </si>
  <si>
    <t>R005652796WHOSP</t>
  </si>
  <si>
    <t>NBE2603060020451CHL</t>
  </si>
  <si>
    <t>NBE2603060020446CHL</t>
  </si>
  <si>
    <t>NBE2603060020450CHL</t>
  </si>
  <si>
    <t>LWP2603060020602CSP</t>
  </si>
  <si>
    <t>LWP2603060020603CSP</t>
  </si>
  <si>
    <t>CFC2603060020722CFC</t>
  </si>
  <si>
    <t>R005652798WHOSP</t>
  </si>
  <si>
    <t>R005652801WHOSP</t>
  </si>
  <si>
    <t>CFC2603060020745CFC</t>
  </si>
  <si>
    <t>CFC2603060020746CFC</t>
  </si>
  <si>
    <t>NHL2603060020564CHL</t>
  </si>
  <si>
    <t>CFC2603060020653CFC</t>
  </si>
  <si>
    <t>CFC2603060020793CFC</t>
  </si>
  <si>
    <t>NBE2603060020787CHL</t>
  </si>
  <si>
    <t>NBE2603060020744CHL</t>
  </si>
  <si>
    <t>R005652803WHOSP</t>
  </si>
  <si>
    <t>BI US BREAST LIMITED LEFT</t>
  </si>
  <si>
    <t>NHL2603060020948CHL</t>
  </si>
  <si>
    <t>E289324920260306WFH</t>
  </si>
  <si>
    <t>CHEST SINGLE VIEW OR PORTABLE</t>
  </si>
  <si>
    <t>NHL2603060020704CHL</t>
  </si>
  <si>
    <t>CFC2603060020942CFC</t>
  </si>
  <si>
    <t>CFC2603060020943CFC</t>
  </si>
  <si>
    <t>LWP2603060020512CSP</t>
  </si>
  <si>
    <t>2699458264OLOL</t>
  </si>
  <si>
    <t>CFC2603060020944CFC</t>
  </si>
  <si>
    <t>CFC2603060020945CFC</t>
  </si>
  <si>
    <t>CFC2603060020941CFC</t>
  </si>
  <si>
    <t>NHL2603060020873CHL</t>
  </si>
  <si>
    <t>NBE2603060020678CHL</t>
  </si>
  <si>
    <t>2699457670OLOL</t>
  </si>
  <si>
    <t>2699457673OLOL</t>
  </si>
  <si>
    <t>LWP2603060020108CSP</t>
  </si>
  <si>
    <t>2699457672OLOL</t>
  </si>
  <si>
    <t>2699457674OLOL</t>
  </si>
  <si>
    <t>2699458304OLOL</t>
  </si>
  <si>
    <t>LWP2603060020725CSP</t>
  </si>
  <si>
    <t>CFC2603060021239CFC</t>
  </si>
  <si>
    <t>R005652811WHOSP</t>
  </si>
  <si>
    <t>NBE2603060021207CHL</t>
  </si>
  <si>
    <t>2699458312OLOL</t>
  </si>
  <si>
    <t>2630458321OLOL</t>
  </si>
  <si>
    <t>CT SINUS / FACIAL BONES W CONTRAST</t>
  </si>
  <si>
    <t>LLA2603060020695CLC</t>
  </si>
  <si>
    <t>CFC2603060021386CFC</t>
  </si>
  <si>
    <t>CFC2603060021238CFC</t>
  </si>
  <si>
    <t>US LIVER</t>
  </si>
  <si>
    <t>CFC2603060021431CFC</t>
  </si>
  <si>
    <t>CFC2603060021243CFC</t>
  </si>
  <si>
    <t>LLA2603060021194CLC</t>
  </si>
  <si>
    <t>CFC2603060020650CFC</t>
  </si>
  <si>
    <t>2630458332OLOL</t>
  </si>
  <si>
    <t>LLA2603060020608CLC</t>
  </si>
  <si>
    <t>R005652817WHOSP</t>
  </si>
  <si>
    <t>R005652816WHOSP</t>
  </si>
  <si>
    <t>NHL2603060021378CHL</t>
  </si>
  <si>
    <t>NHL2603060021313CHL</t>
  </si>
  <si>
    <t>R005652814WHOSP</t>
  </si>
  <si>
    <t>2630458366OLOL</t>
  </si>
  <si>
    <t>CFC2603070000065CFC</t>
  </si>
  <si>
    <t>R005652815WHOSP</t>
  </si>
  <si>
    <t>2630458365OLOL</t>
  </si>
  <si>
    <t>NBE2603060021359CHL</t>
  </si>
  <si>
    <t>LWP2603060021360CSP</t>
  </si>
  <si>
    <t>NBE2603060021029CHL</t>
  </si>
  <si>
    <t>NBE2603060021030CHL</t>
  </si>
  <si>
    <t>CFC2603070000050CFC</t>
  </si>
  <si>
    <t>NHL2603070000115CHL</t>
  </si>
  <si>
    <t>2630458442OLOL</t>
  </si>
  <si>
    <t>2630458424OLOL</t>
  </si>
  <si>
    <t>LWP2603070000176CSP</t>
  </si>
  <si>
    <t>LLA2603060021339CLC</t>
  </si>
  <si>
    <t>NHL2603070000193CHL</t>
  </si>
  <si>
    <t>R005652820WHOSP</t>
  </si>
  <si>
    <t>LWP2603070000177CSP</t>
  </si>
  <si>
    <t>R005652822WHOSP</t>
  </si>
  <si>
    <t>XR HUMERUS LEFT</t>
  </si>
  <si>
    <t>R005652818WHOSP</t>
  </si>
  <si>
    <t>XR CERVICAL SPINE 2-3 VIEWS</t>
  </si>
  <si>
    <t>LWP2603070000265CSP</t>
  </si>
  <si>
    <t>2630458459OLOL</t>
  </si>
  <si>
    <t>2630458486OLOL</t>
  </si>
  <si>
    <t>CFC2603070000336CFC</t>
  </si>
  <si>
    <t>LWP2603070000361CSP</t>
  </si>
  <si>
    <t>R005652821WHOSP</t>
  </si>
  <si>
    <t>LWP2603070000415CSP</t>
  </si>
  <si>
    <t>LWP2603070000416CSP</t>
  </si>
  <si>
    <t>NBE2603070000379CHL</t>
  </si>
  <si>
    <t>2699458522OLOL</t>
  </si>
  <si>
    <t>2630458561OLOL</t>
  </si>
  <si>
    <t>LWP2603070000509CSP</t>
  </si>
  <si>
    <t>2699458567OLOL</t>
  </si>
  <si>
    <t>2699458570OLOL</t>
  </si>
  <si>
    <t>2699458572OLOL</t>
  </si>
  <si>
    <t>CT CHEST/ABD/PELVIS W CONTRAST</t>
  </si>
  <si>
    <t>CFC2603070000559CFC</t>
  </si>
  <si>
    <t>2630458470OLOL</t>
  </si>
  <si>
    <t>A10000272172BHS</t>
  </si>
  <si>
    <t>CT UE RT WO CON</t>
  </si>
  <si>
    <t>R005652825WHOSP</t>
  </si>
  <si>
    <t>2630458541OLOL</t>
  </si>
  <si>
    <t>R005652826WHOSP</t>
  </si>
  <si>
    <t>CT MAXILLOFACIAL BONES WO IV CONTRAST</t>
  </si>
  <si>
    <t>2630458586OLOL</t>
  </si>
  <si>
    <t>R005652828WHOSP</t>
  </si>
  <si>
    <t>R005652827WHOSP</t>
  </si>
  <si>
    <t>2630458650OLOL</t>
  </si>
  <si>
    <t>LWP2603070000822CSP</t>
  </si>
  <si>
    <t>A10000272173BHS</t>
  </si>
  <si>
    <t>CFC2603070000769CFC</t>
  </si>
  <si>
    <t>R005652829WHOSP</t>
  </si>
  <si>
    <t>R005652831WHOSP</t>
  </si>
  <si>
    <t>R005652830WHOSP</t>
  </si>
  <si>
    <t>2630458668OLOL</t>
  </si>
  <si>
    <t>2630458682OLOL</t>
  </si>
  <si>
    <t>2630458681OLOL</t>
  </si>
  <si>
    <t>CFC2603070000911CFC</t>
  </si>
  <si>
    <t>CFC2603070000912CFC</t>
  </si>
  <si>
    <t>CFC2603070000913CFC</t>
  </si>
  <si>
    <t>2630458723OLOL</t>
  </si>
  <si>
    <t>2630458720OLOL</t>
  </si>
  <si>
    <t>XR ABDOMEN FLAT</t>
  </si>
  <si>
    <t>R005652834WHOSP</t>
  </si>
  <si>
    <t>LWP2603070001015CSP</t>
  </si>
  <si>
    <t>MPCA134814MPH</t>
  </si>
  <si>
    <t>LWP2603070007923CSP</t>
  </si>
  <si>
    <t>CFC2603070007871CFC</t>
  </si>
  <si>
    <t>NHL2603070007953CHL</t>
  </si>
  <si>
    <t>A10000272250BHS</t>
  </si>
  <si>
    <t>LLA2603070008067CLC</t>
  </si>
  <si>
    <t>R005653214WHOSP</t>
  </si>
  <si>
    <t>CFC2603070007596CFC</t>
  </si>
  <si>
    <t>R005653228WHOSP</t>
  </si>
  <si>
    <t>CFC2603070007884CFC</t>
  </si>
  <si>
    <t>LWP2603070008008CSP</t>
  </si>
  <si>
    <t>LWP2603070008235CSP</t>
  </si>
  <si>
    <t>LLA2603070008319CLC</t>
  </si>
  <si>
    <t>CFC2603070008103CFC</t>
  </si>
  <si>
    <t>NBE2603070008290CHL</t>
  </si>
  <si>
    <t>CFC2603070007985CFC</t>
  </si>
  <si>
    <t>NBE2603070008239CHL</t>
  </si>
  <si>
    <t>A10000272251BHS</t>
  </si>
  <si>
    <t>CT SINUS WO CON</t>
  </si>
  <si>
    <t>CFC2603070008369CFC</t>
  </si>
  <si>
    <t>NHL2603070008506CHL</t>
  </si>
  <si>
    <t>CFC2603070008372CFC</t>
  </si>
  <si>
    <t>LWP2603070008229CSP</t>
  </si>
  <si>
    <t>LWP2603070008232CSP</t>
  </si>
  <si>
    <t>LWP2603070008233CSP</t>
  </si>
  <si>
    <t>CFC2603070008367CFC</t>
  </si>
  <si>
    <t>R005653229WHOSP</t>
  </si>
  <si>
    <t>R005653230WHOSP</t>
  </si>
  <si>
    <t>2699461094OLOL</t>
  </si>
  <si>
    <t>2699461096OLOL</t>
  </si>
  <si>
    <t>NBE2603070008817CHL</t>
  </si>
  <si>
    <t>NBE2603070008544CHL</t>
  </si>
  <si>
    <t>LLA2603070008225CLC</t>
  </si>
  <si>
    <t>CFC2603070008554CFC</t>
  </si>
  <si>
    <t>LWP2603070008796CSP</t>
  </si>
  <si>
    <t>LWP2603070008797CSP</t>
  </si>
  <si>
    <t>CT ANGIOGRAM HEAD W CONTRAST</t>
  </si>
  <si>
    <t>NHL2603070008919CHL</t>
  </si>
  <si>
    <t>R005653236WHOSP</t>
  </si>
  <si>
    <t>R005653235WHOSP</t>
  </si>
  <si>
    <t>2699460788OLOL</t>
  </si>
  <si>
    <t>CFC2603070008606CFC</t>
  </si>
  <si>
    <t>2699461117OLOL</t>
  </si>
  <si>
    <t>US OB 2ND OR 3RD TRIMESTER LIMITED 1 OR MORE FETUSES</t>
  </si>
  <si>
    <t>2630461189OLOL</t>
  </si>
  <si>
    <t>LWP2603070008931CSP</t>
  </si>
  <si>
    <t>R005653237WHOSP</t>
  </si>
  <si>
    <t>2630461268OLOL</t>
  </si>
  <si>
    <t>CFC2603080000095CFC</t>
  </si>
  <si>
    <t>2699461276OLOL</t>
  </si>
  <si>
    <t>2699461277OLOL</t>
  </si>
  <si>
    <t>R005653238WHOSP</t>
  </si>
  <si>
    <t>CFC2603080000024CFC</t>
  </si>
  <si>
    <t>US BPP WO NST</t>
  </si>
  <si>
    <t>CFC2603070009064CFC</t>
  </si>
  <si>
    <t>CFC2603080000140CFC</t>
  </si>
  <si>
    <t>LWP2603070009049CSP</t>
  </si>
  <si>
    <t>2630461177OLOL</t>
  </si>
  <si>
    <t>2630461180OLOL</t>
  </si>
  <si>
    <t>2630461182OLOL</t>
  </si>
  <si>
    <t>2630461181OLOL</t>
  </si>
  <si>
    <t>2630461183OLOL</t>
  </si>
  <si>
    <t>2630461184OLOL</t>
  </si>
  <si>
    <t>CFC2603070009009CFC</t>
  </si>
  <si>
    <t>CFC2603080000141CFC</t>
  </si>
  <si>
    <t>NHL2603080000040CHL</t>
  </si>
  <si>
    <t>NHL2603080000039CHL</t>
  </si>
  <si>
    <t>CFC2603080000260CFC</t>
  </si>
  <si>
    <t>CFC2603070009010CFC</t>
  </si>
  <si>
    <t>CFC2603080000035CFC</t>
  </si>
  <si>
    <t>LLA2603080000081CLC</t>
  </si>
  <si>
    <t>2699461307OLOL</t>
  </si>
  <si>
    <t>2630461386OLOL</t>
  </si>
  <si>
    <t>CFC2603080000388CFC</t>
  </si>
  <si>
    <t>2630461382OLOL</t>
  </si>
  <si>
    <t>LWP2603080000421CSP</t>
  </si>
  <si>
    <t>LWP2603080000479CSP</t>
  </si>
  <si>
    <t>LWP2603080000480CSP</t>
  </si>
  <si>
    <t>2630461440OLOL</t>
  </si>
  <si>
    <t>2630461469OLOL</t>
  </si>
  <si>
    <t>NBE2603080000664CHL</t>
  </si>
  <si>
    <t>NBE2603080000665CHL</t>
  </si>
  <si>
    <t>NHL2603080000609CHL</t>
  </si>
  <si>
    <t>2630461498OLOL</t>
  </si>
  <si>
    <t>CFC2603080000819CFC</t>
  </si>
  <si>
    <t>NCS2603080000753CCS</t>
  </si>
  <si>
    <t>NCS2603080000754CCS</t>
  </si>
  <si>
    <t>2630461574OLOL</t>
  </si>
  <si>
    <t>R005653243WHOSP</t>
  </si>
  <si>
    <t>R005653242WHOSP</t>
  </si>
  <si>
    <t>R005653241WHOSP</t>
  </si>
  <si>
    <t>NHL2603080007801CHL</t>
  </si>
  <si>
    <t>NCS2603080007901CCS</t>
  </si>
  <si>
    <t>LWP2603080008082CSP</t>
  </si>
  <si>
    <t>NHL2603080007536CHL</t>
  </si>
  <si>
    <t>CFC2603080007785CFC</t>
  </si>
  <si>
    <t>CFC2603080007848CFC</t>
  </si>
  <si>
    <t>R005653447WHOSP</t>
  </si>
  <si>
    <t>R005653451WHOSP</t>
  </si>
  <si>
    <t>R005653458WHOSP</t>
  </si>
  <si>
    <t>2699463972OLOL</t>
  </si>
  <si>
    <t>A10000272301BHS</t>
  </si>
  <si>
    <t>R005653459WHOSP</t>
  </si>
  <si>
    <t>2630464027OLOL</t>
  </si>
  <si>
    <t>2630463738OLOL</t>
  </si>
  <si>
    <t>2630464098OLOL</t>
  </si>
  <si>
    <t>CFC2603090000433CFC</t>
  </si>
  <si>
    <t>CT LOWER EXTREMITY WO CONTRAST LEFT</t>
  </si>
  <si>
    <t>2699464211OLOL</t>
  </si>
  <si>
    <t>LWP2603090000563CSP</t>
  </si>
  <si>
    <t>NHL2603090000582CHL</t>
  </si>
  <si>
    <t>NBE2603080007632CHL</t>
  </si>
  <si>
    <t>CT CHEST/ABD/PELVIS W/ IV ONLY</t>
  </si>
  <si>
    <t>NHL2603080007798CHL</t>
  </si>
  <si>
    <t>CFC2603080007908CFC</t>
  </si>
  <si>
    <t>CFC2603080007614CFC</t>
  </si>
  <si>
    <t>LWP2603080007989CSP</t>
  </si>
  <si>
    <t>LLA2603080007834CLC</t>
  </si>
  <si>
    <t>LLA2603080007836CLC</t>
  </si>
  <si>
    <t>NHL2603080007537CHL</t>
  </si>
  <si>
    <t>NHL2603080007913CHL</t>
  </si>
  <si>
    <t>MRI CERVICAL SPINE WO CONTRAST</t>
  </si>
  <si>
    <t>NBE2603080008142CHL</t>
  </si>
  <si>
    <t>NHL2603080008024CHL</t>
  </si>
  <si>
    <t>US PELVIS COMPLETE</t>
  </si>
  <si>
    <t>LLA2603080008050CLC</t>
  </si>
  <si>
    <t>CFC2603080008134CFC</t>
  </si>
  <si>
    <t>CFC2603080007786CFC</t>
  </si>
  <si>
    <t>LWP2603080008046CSP</t>
  </si>
  <si>
    <t>CFC2603080008002CFC</t>
  </si>
  <si>
    <t>R005653448WHOSP</t>
  </si>
  <si>
    <t>CFC2603080008267CFC</t>
  </si>
  <si>
    <t>LWP2603080008083CSP</t>
  </si>
  <si>
    <t>LWP2603080008218CSP</t>
  </si>
  <si>
    <t>R005653454WHOSP</t>
  </si>
  <si>
    <t>R005653452WHOSP</t>
  </si>
  <si>
    <t>R005653453WHOSP</t>
  </si>
  <si>
    <t>LLA2603080008301CLC</t>
  </si>
  <si>
    <t>NHL2603080008001CHL</t>
  </si>
  <si>
    <t>NHL2603080008302CHL</t>
  </si>
  <si>
    <t>LWP2603080008381CSP</t>
  </si>
  <si>
    <t>NHL2603080008373CHL</t>
  </si>
  <si>
    <t>R005653456WHOSP</t>
  </si>
  <si>
    <t>NHL2603080008591CHL</t>
  </si>
  <si>
    <t>CFC2603080008332CFC</t>
  </si>
  <si>
    <t>NBE2603080008429CHL</t>
  </si>
  <si>
    <t>A10000272298BHS</t>
  </si>
  <si>
    <t>NHL2603080008780CHL</t>
  </si>
  <si>
    <t>NBE2603080008740CHL</t>
  </si>
  <si>
    <t>NBE2603080008741CHL</t>
  </si>
  <si>
    <t>LLA2603080008783CLC</t>
  </si>
  <si>
    <t>LLA2603080008784CLC</t>
  </si>
  <si>
    <t>CFC2603080008630CFC</t>
  </si>
  <si>
    <t>2699463984OLOL</t>
  </si>
  <si>
    <t>2699463795OLOL</t>
  </si>
  <si>
    <t>US CHEST</t>
  </si>
  <si>
    <t>CT26000612CMC</t>
  </si>
  <si>
    <t>2630463893OLOL</t>
  </si>
  <si>
    <t>2630463892OLOL</t>
  </si>
  <si>
    <t>NBE2603080008666CHL</t>
  </si>
  <si>
    <t>2630464028OLOL</t>
  </si>
  <si>
    <t>NHL2603080008931CHL</t>
  </si>
  <si>
    <t>2630464039OLOL</t>
  </si>
  <si>
    <t>LWP2603090000205CSP</t>
  </si>
  <si>
    <t>CFC2603090000261CFC</t>
  </si>
  <si>
    <t>A10000272338BHS</t>
  </si>
  <si>
    <t>NHL2603090000309CHL</t>
  </si>
  <si>
    <t>CFC2603090000274CFC</t>
  </si>
  <si>
    <t>CFC2603090000271CFC</t>
  </si>
  <si>
    <t>2699464017OLOL</t>
  </si>
  <si>
    <t>2699464018OLOL</t>
  </si>
  <si>
    <t>2699464107OLOL</t>
  </si>
  <si>
    <t>2630464057OLOL</t>
  </si>
  <si>
    <t>LWP2603090000210CSP</t>
  </si>
  <si>
    <t>CFC2603090000441CFC</t>
  </si>
  <si>
    <t>R005653460WHOSP</t>
  </si>
  <si>
    <t>LWP2603090000495CSP</t>
  </si>
  <si>
    <t>2699464224OLOL</t>
  </si>
  <si>
    <t>NHL2603090000485CHL</t>
  </si>
  <si>
    <t>NHL2603090000483CHL</t>
  </si>
  <si>
    <t>2630464202OLOL</t>
  </si>
  <si>
    <t>2699464254OLOL</t>
  </si>
  <si>
    <t>2630464236OLOL</t>
  </si>
  <si>
    <t>2630464238OLOL</t>
  </si>
  <si>
    <t>NBE2603090000521CHL</t>
  </si>
  <si>
    <t>CT THORACIC SPINE W CONTRAST</t>
  </si>
  <si>
    <t>NBE2603090000520CHL</t>
  </si>
  <si>
    <t>CT LUMBAR SPINE W CONTRAST</t>
  </si>
  <si>
    <t>NBE2603090000513CHL</t>
  </si>
  <si>
    <t>LWP2603090000562CSP</t>
  </si>
  <si>
    <t>2630464259OLOL</t>
  </si>
  <si>
    <t>R005653461WHOSP</t>
  </si>
  <si>
    <t>2699464255OLOL</t>
  </si>
  <si>
    <t>2630464190OLOL</t>
  </si>
  <si>
    <t>2630464192OLOL</t>
  </si>
  <si>
    <t>NHL2603090000705CHL</t>
  </si>
  <si>
    <t>2630464303OLOL</t>
  </si>
  <si>
    <t>LLA2603090001050CLC</t>
  </si>
  <si>
    <t>CT26000614CMC</t>
  </si>
  <si>
    <t>NHL2603090001079CHL</t>
  </si>
  <si>
    <t>2630464357OLOL</t>
  </si>
  <si>
    <t>2630464358OLOL</t>
  </si>
  <si>
    <t>2630464359OLOL</t>
  </si>
  <si>
    <t>NHL2603090001080CHL</t>
  </si>
  <si>
    <t>2699464344OLOL</t>
  </si>
  <si>
    <t>LLA2603090001160CLC</t>
  </si>
  <si>
    <t>2630464329OLOL</t>
  </si>
  <si>
    <t>2630464380OLOL</t>
  </si>
  <si>
    <t>R005653462WHOSP</t>
  </si>
  <si>
    <t>2630464385OLOL</t>
  </si>
  <si>
    <t>2699464355OLOL</t>
  </si>
  <si>
    <t>R005653463WHOSP</t>
  </si>
  <si>
    <t>A10000272364BHS</t>
  </si>
  <si>
    <t>LLA2603090001195CLC</t>
  </si>
  <si>
    <t>2699464321OLOL</t>
  </si>
  <si>
    <t>2699464391OLOL</t>
  </si>
  <si>
    <t>2699464392OLOL</t>
  </si>
  <si>
    <t>LLA2603090001196CLC</t>
  </si>
  <si>
    <t>2630464394OLOL</t>
  </si>
  <si>
    <t>2699464440OLOL</t>
  </si>
  <si>
    <t>LLA2603090023775CLC</t>
  </si>
  <si>
    <t>CT FACIAL BONES/MAX W/O CONTRAST</t>
  </si>
  <si>
    <t>R005655945WHOSP</t>
  </si>
  <si>
    <t>NHL2603090024016CHL</t>
  </si>
  <si>
    <t>A10000272515BHS</t>
  </si>
  <si>
    <t>R005655995WHOSP</t>
  </si>
  <si>
    <t>CFC2603090024256CFC</t>
  </si>
  <si>
    <t>LLA2603090024311CLC</t>
  </si>
  <si>
    <t>LWP2603090024468CSP</t>
  </si>
  <si>
    <t>2630472078OLOL</t>
  </si>
  <si>
    <t>CFC2603090024599CFC</t>
  </si>
  <si>
    <t>NHL2603090024696CHL</t>
  </si>
  <si>
    <t>NHL2603090024653CHL</t>
  </si>
  <si>
    <t>2699472313OLOL</t>
  </si>
  <si>
    <t>2630472232OLOL</t>
  </si>
  <si>
    <t>CFC2603090024870CFC</t>
  </si>
  <si>
    <t>2630472284OLOL</t>
  </si>
  <si>
    <t>CFC2603100000451CFC</t>
  </si>
  <si>
    <t>VAS DPLX LOWER EXT LEFT (DVT) (VSC)</t>
  </si>
  <si>
    <t>LLA2603100000445CLC</t>
  </si>
  <si>
    <t>2699472304OLOL</t>
  </si>
  <si>
    <t>LWP2603090024192CSP</t>
  </si>
  <si>
    <t>NHL2603100000565CHL</t>
  </si>
  <si>
    <t>NBE2603100000602CHL</t>
  </si>
  <si>
    <t>R005656004WHOSP</t>
  </si>
  <si>
    <t>LLA2603090023774CLC</t>
  </si>
  <si>
    <t>NHL2603090023749CHL</t>
  </si>
  <si>
    <t>R005655984WHOSP</t>
  </si>
  <si>
    <t>R005655932WHOSP</t>
  </si>
  <si>
    <t>XR ABDOMEN X-RAY FLAT/ERECT</t>
  </si>
  <si>
    <t>LLA2603090023364CLC</t>
  </si>
  <si>
    <t>LLA2603090023786CLC</t>
  </si>
  <si>
    <t>CFC2603090023692CFC</t>
  </si>
  <si>
    <t>CFC2603090023693CFC</t>
  </si>
  <si>
    <t>NBE2603090023851CHL</t>
  </si>
  <si>
    <t>R005655985WHOSP</t>
  </si>
  <si>
    <t>CFC2603090023893CFC</t>
  </si>
  <si>
    <t>NBE2603090022960CHL</t>
  </si>
  <si>
    <t>CFC2603090024093CFC</t>
  </si>
  <si>
    <t>NHL2603090024024CHL</t>
  </si>
  <si>
    <t>R005655986WHOSP</t>
  </si>
  <si>
    <t>CFC2603090024094CFC</t>
  </si>
  <si>
    <t>CFC2603090023995CFC</t>
  </si>
  <si>
    <t>NHL2603090024126CHL</t>
  </si>
  <si>
    <t>NHL2603090024279CHL</t>
  </si>
  <si>
    <t>CFC2603090023992CFC</t>
  </si>
  <si>
    <t>CFC2603090023816CFC</t>
  </si>
  <si>
    <t>VAS UPPER EXTREMITY ARTERIES LEFT (VSC)</t>
  </si>
  <si>
    <t>CFC2603090024245CFC</t>
  </si>
  <si>
    <t>CFC2603090024114CFC</t>
  </si>
  <si>
    <t>CFC2603090024115CFC</t>
  </si>
  <si>
    <t>CFC2603090024112CFC</t>
  </si>
  <si>
    <t>CFC2603090024369CFC</t>
  </si>
  <si>
    <t>NBE2603090024462CHL</t>
  </si>
  <si>
    <t>LLA2603090024547CLC</t>
  </si>
  <si>
    <t>2630472097OLOL</t>
  </si>
  <si>
    <t>LWP2603090024568CSP</t>
  </si>
  <si>
    <t>NBE2603090024612CHL</t>
  </si>
  <si>
    <t>2630472122OLOL</t>
  </si>
  <si>
    <t>CFC2603090023904CFC</t>
  </si>
  <si>
    <t>CFC2603090024615CFC</t>
  </si>
  <si>
    <t>NBE2603090024645CHL</t>
  </si>
  <si>
    <t>2630472179OLOL</t>
  </si>
  <si>
    <t>CFC2603090024458CFC</t>
  </si>
  <si>
    <t>CFC2603090024457CFC</t>
  </si>
  <si>
    <t>NHL2603090024600CHL</t>
  </si>
  <si>
    <t>2630472146OLOL</t>
  </si>
  <si>
    <t>MRI BRAIN WO CONTRAST</t>
  </si>
  <si>
    <t>LWP2603090024752CSP</t>
  </si>
  <si>
    <t>2630472147OLOL</t>
  </si>
  <si>
    <t>CFC2603090024557CFC</t>
  </si>
  <si>
    <t>2630472110OLOL</t>
  </si>
  <si>
    <t>2630472112OLOL</t>
  </si>
  <si>
    <t>LWP2603090024753CSP</t>
  </si>
  <si>
    <t>R005655997WHOSP</t>
  </si>
  <si>
    <t>2630472111OLOL</t>
  </si>
  <si>
    <t>2630472113OLOL</t>
  </si>
  <si>
    <t>2630472201OLOL</t>
  </si>
  <si>
    <t>CFC2603090024781CFC</t>
  </si>
  <si>
    <t>2630472139OLOL</t>
  </si>
  <si>
    <t>CFC2603090024626CFC</t>
  </si>
  <si>
    <t>NBE2603090024741CHL</t>
  </si>
  <si>
    <t>R005655998WHOSP</t>
  </si>
  <si>
    <t>2699472238OLOL</t>
  </si>
  <si>
    <t>NHL2603090024229CHL</t>
  </si>
  <si>
    <t>2699472234OLOL</t>
  </si>
  <si>
    <t>NBE2603100000256CHL</t>
  </si>
  <si>
    <t>NHL2603100000180CHL</t>
  </si>
  <si>
    <t>LWP2603100000213CSP</t>
  </si>
  <si>
    <t>CFC2603100000263CFC</t>
  </si>
  <si>
    <t>2630472280OLOL</t>
  </si>
  <si>
    <t>NHL2603100000238CHL</t>
  </si>
  <si>
    <t>NHL2603100000240CHL</t>
  </si>
  <si>
    <t>NHL2603100000239CHL</t>
  </si>
  <si>
    <t>2630472282OLOL</t>
  </si>
  <si>
    <t>NHL2603100000227CHL</t>
  </si>
  <si>
    <t>LLA2603100000349CLC</t>
  </si>
  <si>
    <t>A10000272563BHS</t>
  </si>
  <si>
    <t>US SCROTUM</t>
  </si>
  <si>
    <t>A10000272564BHS</t>
  </si>
  <si>
    <t>CT PELVIS WO CON</t>
  </si>
  <si>
    <t>NHL2603090024501CHL</t>
  </si>
  <si>
    <t>NHL2603090024509CHL</t>
  </si>
  <si>
    <t>NHL2603100000218CHL</t>
  </si>
  <si>
    <t>NBE2603100000194CHL</t>
  </si>
  <si>
    <t>NHL2603100000179CHL</t>
  </si>
  <si>
    <t>2699472386OLOL</t>
  </si>
  <si>
    <t>2699472275OLOL</t>
  </si>
  <si>
    <t>2699472400OLOL</t>
  </si>
  <si>
    <t>R005655999WHOSP</t>
  </si>
  <si>
    <t>LLA2603100000474CLC</t>
  </si>
  <si>
    <t>NBE2603100000254CHL</t>
  </si>
  <si>
    <t>NBE2603100000539CHL</t>
  </si>
  <si>
    <t>2630472407OLOL</t>
  </si>
  <si>
    <t>LLA2603100000582CLC</t>
  </si>
  <si>
    <t>2630472404OLOL</t>
  </si>
  <si>
    <t>2699472434OLOL</t>
  </si>
  <si>
    <t>US OB FETAL BIOPHYSICAL PROFILE WITHOUT NON STRESS TESTING</t>
  </si>
  <si>
    <t>NHL2603100000623CHL</t>
  </si>
  <si>
    <t>NHL2603100000621CHL</t>
  </si>
  <si>
    <t>CFC2603100000644CFC</t>
  </si>
  <si>
    <t>CFC2603100000691CFC</t>
  </si>
  <si>
    <t>2699472401OLOL</t>
  </si>
  <si>
    <t>2630472389OLOL</t>
  </si>
  <si>
    <t>2630472388OLOL</t>
  </si>
  <si>
    <t>CFC2603100000713CFC</t>
  </si>
  <si>
    <t>NBE2603100000699CHL</t>
  </si>
  <si>
    <t>2699472471OLOL</t>
  </si>
  <si>
    <t>2630472381OLOL</t>
  </si>
  <si>
    <t>2630472485OLOL</t>
  </si>
  <si>
    <t>LLA2603100000779CLC</t>
  </si>
  <si>
    <t>CFC2603100000837CFC</t>
  </si>
  <si>
    <t>LWP2603100000637CSP</t>
  </si>
  <si>
    <t>R005656003WHOSP</t>
  </si>
  <si>
    <t>LLA2603100000735CLC</t>
  </si>
  <si>
    <t>NHL2603100000847CHL</t>
  </si>
  <si>
    <t>CFC2603100000857CFC</t>
  </si>
  <si>
    <t>A10000272565BHS</t>
  </si>
  <si>
    <t>NCS2603100000877CCS</t>
  </si>
  <si>
    <t>CFC2603100000973CFC</t>
  </si>
  <si>
    <t>CFC2603100000974CFC</t>
  </si>
  <si>
    <t>LWP2603100000995CSP</t>
  </si>
  <si>
    <t>2630472570OLOL</t>
  </si>
  <si>
    <t>CFC2603100001005CFC</t>
  </si>
  <si>
    <t>NHL2603100000955CHL</t>
  </si>
  <si>
    <t>US ABDOMEN LTD</t>
  </si>
  <si>
    <t>2699472559OLOL</t>
  </si>
  <si>
    <t>CFC2603100001148CFC</t>
  </si>
  <si>
    <t>CFC2603100001149CFC</t>
  </si>
  <si>
    <t>2699472632OLOL</t>
  </si>
  <si>
    <t>A10000272723BHS</t>
  </si>
  <si>
    <t>R005658173WHOSP</t>
  </si>
  <si>
    <t>NBE2603100022489CHL</t>
  </si>
  <si>
    <t>NBE2603100022490CHL</t>
  </si>
  <si>
    <t>NBE2603100022495CHL</t>
  </si>
  <si>
    <t>R005658172WHOSP</t>
  </si>
  <si>
    <t>NBE2603100022494CHL</t>
  </si>
  <si>
    <t>LWP2603100022762CSP</t>
  </si>
  <si>
    <t>R005658176WHOSP</t>
  </si>
  <si>
    <t>R005658175WHOSP</t>
  </si>
  <si>
    <t>R005658174WHOSP</t>
  </si>
  <si>
    <t>NBE2603100022493CHL</t>
  </si>
  <si>
    <t>CFC2603100022788CFC</t>
  </si>
  <si>
    <t>CT26000631CMC</t>
  </si>
  <si>
    <t>CT CHEST WO CONTRST</t>
  </si>
  <si>
    <t>CFC2603100021645CFC</t>
  </si>
  <si>
    <t>CFC2603100022743CFC</t>
  </si>
  <si>
    <t>NBE2603100022492CHL</t>
  </si>
  <si>
    <t>CFC2603100023029CFC</t>
  </si>
  <si>
    <t>NHL2603100023049CHL</t>
  </si>
  <si>
    <t>CFC2603100022168CFC</t>
  </si>
  <si>
    <t>NHL2603100022761CHL</t>
  </si>
  <si>
    <t>R005658195WHOSP</t>
  </si>
  <si>
    <t>LWP2603100023099CSP</t>
  </si>
  <si>
    <t>LWP2603100023101CSP</t>
  </si>
  <si>
    <t>R005658196WHOSP</t>
  </si>
  <si>
    <t>LLA2603100022660CLC</t>
  </si>
  <si>
    <t>NHL2603100023051CHL</t>
  </si>
  <si>
    <t>NHL2603100023151CHL</t>
  </si>
  <si>
    <t>A10000272736BHS</t>
  </si>
  <si>
    <t>A10000272733BHS</t>
  </si>
  <si>
    <t>CFC2603100023218CFC</t>
  </si>
  <si>
    <t>A10000272732BHS</t>
  </si>
  <si>
    <t>LWP2603100023292CSP</t>
  </si>
  <si>
    <t>R005658198WHOSP</t>
  </si>
  <si>
    <t>R005658197WHOSP</t>
  </si>
  <si>
    <t>CFC2603100023293CFC</t>
  </si>
  <si>
    <t>NBE2603100021881CHL</t>
  </si>
  <si>
    <t>CFC2603100023270CFC</t>
  </si>
  <si>
    <t>CFC2603100023018CFC</t>
  </si>
  <si>
    <t>NHL2603100023156CHL</t>
  </si>
  <si>
    <t>CFC2603100023017CFC</t>
  </si>
  <si>
    <t>LWP2603100023370CSP</t>
  </si>
  <si>
    <t>CT26000632CMC</t>
  </si>
  <si>
    <t>LLA2603100023408CLC</t>
  </si>
  <si>
    <t>LWP2603100023297CSP</t>
  </si>
  <si>
    <t>CFC2603100023020CFC</t>
  </si>
  <si>
    <t>CFC2603100023021CFC</t>
  </si>
  <si>
    <t>CFC2603100022607CFC</t>
  </si>
  <si>
    <t>CFC2603100023019CFC</t>
  </si>
  <si>
    <t>NHL2603100023349CHL</t>
  </si>
  <si>
    <t>NHL2603100023411CHL</t>
  </si>
  <si>
    <t>MRV HEAD WO CONTRAST</t>
  </si>
  <si>
    <t>NHL2603100023391CHL</t>
  </si>
  <si>
    <t>NHL2603100023582CHL</t>
  </si>
  <si>
    <t>NHL2603100023583CHL</t>
  </si>
  <si>
    <t>NBE2603100023354CHL</t>
  </si>
  <si>
    <t>XR HUMERUS RIGHT MIN 2 VIEWS</t>
  </si>
  <si>
    <t>CFC2603100023022CFC</t>
  </si>
  <si>
    <t>NBE2603100023353CHL</t>
  </si>
  <si>
    <t>XR FOREARM RIGHT 2 VIEWS</t>
  </si>
  <si>
    <t>CFC2603100023690CFC</t>
  </si>
  <si>
    <t>CFC2603100023393CFC</t>
  </si>
  <si>
    <t>2630480197OLOL</t>
  </si>
  <si>
    <t>R005658202WHOSP</t>
  </si>
  <si>
    <t>LWP2603100023787CSP</t>
  </si>
  <si>
    <t>R005658203WHOSP</t>
  </si>
  <si>
    <t>R005658204WHOSP</t>
  </si>
  <si>
    <t>CFC2603100023838CFC</t>
  </si>
  <si>
    <t>2630480196OLOL</t>
  </si>
  <si>
    <t>R005658206WHOSP</t>
  </si>
  <si>
    <t>LLA2603110000158CLC</t>
  </si>
  <si>
    <t>LWP2603100023816CSP</t>
  </si>
  <si>
    <t>2699480229OLOL</t>
  </si>
  <si>
    <t>US ABDOMEN LIMITED</t>
  </si>
  <si>
    <t>LWP2603100023817CSP</t>
  </si>
  <si>
    <t>LWP2603110000164CSP</t>
  </si>
  <si>
    <t>CT HEAD OR BRAIN STROKE PROTOCOL</t>
  </si>
  <si>
    <t>2699480260OLOL</t>
  </si>
  <si>
    <t>2630480183OLOL</t>
  </si>
  <si>
    <t>2630480182OLOL</t>
  </si>
  <si>
    <t>NBE2603100023786CHL</t>
  </si>
  <si>
    <t>VAS DUPLEX UPPER EXTREMITY VENOUS RIGHT (VSC)</t>
  </si>
  <si>
    <t>A10000272739BHS</t>
  </si>
  <si>
    <t>LWP2603110000190CSP</t>
  </si>
  <si>
    <t>A10000272740BHS</t>
  </si>
  <si>
    <t>NBE2603110000183CHL</t>
  </si>
  <si>
    <t>2630480270OLOL</t>
  </si>
  <si>
    <t>2630480254OLOL</t>
  </si>
  <si>
    <t>2630480255OLOL</t>
  </si>
  <si>
    <t>CT26000634CMC</t>
  </si>
  <si>
    <t>2630480322OLOL</t>
  </si>
  <si>
    <t>LWP2603110000227CSP</t>
  </si>
  <si>
    <t>CT HIP LEFT WO CONTRAST</t>
  </si>
  <si>
    <t>CFC2603110000237CFC</t>
  </si>
  <si>
    <t>2630480317OLOL</t>
  </si>
  <si>
    <t>CFC2603110000235CFC</t>
  </si>
  <si>
    <t>2630480323OLOL</t>
  </si>
  <si>
    <t>2630480252OLOL</t>
  </si>
  <si>
    <t>2630480269OLOL</t>
  </si>
  <si>
    <t>R005658208WHOSP</t>
  </si>
  <si>
    <t>CFC2603100023865CFC</t>
  </si>
  <si>
    <t>VAS LOWER EXTREMITY ARTERIES LEFT (VSC)</t>
  </si>
  <si>
    <t>NHL2603110000163CHL</t>
  </si>
  <si>
    <t>NHL2603100023584CHL</t>
  </si>
  <si>
    <t>NHL2603110000239CHL</t>
  </si>
  <si>
    <t>2630480256OLOL</t>
  </si>
  <si>
    <t>NHL2603110000241CHL</t>
  </si>
  <si>
    <t>2630480315OLOL</t>
  </si>
  <si>
    <t>US PELVIS W TRANSVAGINAL</t>
  </si>
  <si>
    <t>2630480354OLOL</t>
  </si>
  <si>
    <t>2699480380OLOL</t>
  </si>
  <si>
    <t>2630480353OLOL</t>
  </si>
  <si>
    <t>R005658209WHOSP</t>
  </si>
  <si>
    <t>2630480387OLOL</t>
  </si>
  <si>
    <t>R005658211WHOSP</t>
  </si>
  <si>
    <t>2630480348OLOL</t>
  </si>
  <si>
    <t>CT ANGIOGRAM CHEST</t>
  </si>
  <si>
    <t>2630480398OLOL</t>
  </si>
  <si>
    <t>R005658210WHOSP</t>
  </si>
  <si>
    <t>R005658215WHOSP</t>
  </si>
  <si>
    <t>MPCA134868MPH</t>
  </si>
  <si>
    <t>R005658216WHOSP</t>
  </si>
  <si>
    <t>NHL2603110000153CHL</t>
  </si>
  <si>
    <t>2630480356OLOL</t>
  </si>
  <si>
    <t>2630480357OLOL</t>
  </si>
  <si>
    <t>NHL2603110000417CHL</t>
  </si>
  <si>
    <t>NHL2603100023864CHL</t>
  </si>
  <si>
    <t>CFC2603100023866CFC</t>
  </si>
  <si>
    <t>R005658217WHOSP</t>
  </si>
  <si>
    <t>NHL2603110000491CHL</t>
  </si>
  <si>
    <t>CFC2603110000572CFC</t>
  </si>
  <si>
    <t>CFC2603110000438CFC</t>
  </si>
  <si>
    <t>CFC2603110000434CFC</t>
  </si>
  <si>
    <t>CFC2603110000601CFC</t>
  </si>
  <si>
    <t>LLA2603110000620CLC</t>
  </si>
  <si>
    <t>2630480461OLOL</t>
  </si>
  <si>
    <t>A10000272737BHS</t>
  </si>
  <si>
    <t>A10000272779BHS</t>
  </si>
  <si>
    <t>A10000272780BHS</t>
  </si>
  <si>
    <t>NHL2603110000558CHL</t>
  </si>
  <si>
    <t>NHL2603110000813CHL</t>
  </si>
  <si>
    <t>CFC2603110000833CFC</t>
  </si>
  <si>
    <t>2699480605OLOL</t>
  </si>
  <si>
    <t>CFC2603110000997CFC</t>
  </si>
  <si>
    <t>2699480573OLOL</t>
  </si>
  <si>
    <t>US GALLBLADDER LIVER PANCREAS</t>
  </si>
  <si>
    <t>LWP2603110022228CSP</t>
  </si>
  <si>
    <t>LWP2603110022229CSP</t>
  </si>
  <si>
    <t>LLA2603110021924CLC</t>
  </si>
  <si>
    <t>NHL2603110022374CHL</t>
  </si>
  <si>
    <t>A10000272946BHS</t>
  </si>
  <si>
    <t>LLA2603110021920CLC</t>
  </si>
  <si>
    <t>LLA2603110021923CLC</t>
  </si>
  <si>
    <t>NBE2603110022388CHL</t>
  </si>
  <si>
    <t>R005660420WHOSP</t>
  </si>
  <si>
    <t>R005660419WHOSP</t>
  </si>
  <si>
    <t>CFC2603110022054CFC</t>
  </si>
  <si>
    <t>LLA2603110022096CLC</t>
  </si>
  <si>
    <t>CT FEMUR RIGHT WO CONTRAST</t>
  </si>
  <si>
    <t>CFC2603110022587CFC</t>
  </si>
  <si>
    <t>CFC2603110022582CFC</t>
  </si>
  <si>
    <t>LWP2603110022612CSP</t>
  </si>
  <si>
    <t>CFC2603110022588CFC</t>
  </si>
  <si>
    <t>LWP2603110022613CSP</t>
  </si>
  <si>
    <t>380708120260311BBH</t>
  </si>
  <si>
    <t>&lt;OBR.4.2&gt;&lt;OBR.4.2.1&gt;CT ABD &lt;/OBR.4.2.1&gt;&lt;OBR.4.2.2&gt; PELVIS W&lt;/OBR.4.2.2&gt;&lt;/OBR.4.2&gt;</t>
  </si>
  <si>
    <t>LLA2603110022097CLC</t>
  </si>
  <si>
    <t>LLA2603110022598CLC</t>
  </si>
  <si>
    <t>A10000272944BHS</t>
  </si>
  <si>
    <t>CFC2603110022763CFC</t>
  </si>
  <si>
    <t>NHL2603110022724CHL</t>
  </si>
  <si>
    <t>LWP2603110022440CSP</t>
  </si>
  <si>
    <t>NHL2603110022499CHL</t>
  </si>
  <si>
    <t>LWP2603110022411CSP</t>
  </si>
  <si>
    <t>LWP2603110022875CSP</t>
  </si>
  <si>
    <t>A10000272950BHS</t>
  </si>
  <si>
    <t>CT HEAD WO CVA PROTOCOL</t>
  </si>
  <si>
    <t>A10000272949BHS</t>
  </si>
  <si>
    <t>CT ANGIO NECK</t>
  </si>
  <si>
    <t>A10000272948BHS</t>
  </si>
  <si>
    <t>CT ANGIO HEAD</t>
  </si>
  <si>
    <t>CFC2603110022764CFC</t>
  </si>
  <si>
    <t>A10000272945BHS</t>
  </si>
  <si>
    <t>CFC2603110022625CFC</t>
  </si>
  <si>
    <t>VAS CAROTID BILATERAL (VSC)</t>
  </si>
  <si>
    <t>R005660438WHOSP</t>
  </si>
  <si>
    <t>CFC2603110023052CFC</t>
  </si>
  <si>
    <t>A10000272955BHS</t>
  </si>
  <si>
    <t>CFC2603110021741CFC</t>
  </si>
  <si>
    <t>2699487820OLOL</t>
  </si>
  <si>
    <t>2699487819OLOL</t>
  </si>
  <si>
    <t>CFC2603110023376CFC</t>
  </si>
  <si>
    <t>CFC2603110023045CFC</t>
  </si>
  <si>
    <t>CFC2603110022136CFC</t>
  </si>
  <si>
    <t>CFC2603110022574CFC</t>
  </si>
  <si>
    <t>CFC2603110022592CFC</t>
  </si>
  <si>
    <t>CR26001815CMC</t>
  </si>
  <si>
    <t>CFC2603110023463CFC</t>
  </si>
  <si>
    <t>LLA2603110023254CLC</t>
  </si>
  <si>
    <t>CFC2603110023511CFC</t>
  </si>
  <si>
    <t>LWP2603110023516CSP</t>
  </si>
  <si>
    <t>CFC2603110022237CFC</t>
  </si>
  <si>
    <t>LLA2603110023586CLC</t>
  </si>
  <si>
    <t>LLA2603110023035CLC</t>
  </si>
  <si>
    <t>CFC2603110023503CFC</t>
  </si>
  <si>
    <t>CFC2603110023488CFC</t>
  </si>
  <si>
    <t>R005660442WHOSP</t>
  </si>
  <si>
    <t>CFC2603110023466CFC</t>
  </si>
  <si>
    <t>2699487921OLOL</t>
  </si>
  <si>
    <t>LWP2603110023517CSP</t>
  </si>
  <si>
    <t>CFC2603110023633CFC</t>
  </si>
  <si>
    <t>NHL2603110023603CHL</t>
  </si>
  <si>
    <t>CT KNEE RIGHT WO CONTRAST</t>
  </si>
  <si>
    <t>LWP2603110023644CSP</t>
  </si>
  <si>
    <t>R005660440WHOSP</t>
  </si>
  <si>
    <t>LLA2603110023501CLC</t>
  </si>
  <si>
    <t>NHL2603110023458CHL</t>
  </si>
  <si>
    <t>2630487935OLOL</t>
  </si>
  <si>
    <t>2630487893OLOL</t>
  </si>
  <si>
    <t>NHL2603110023079CHL</t>
  </si>
  <si>
    <t>2630487920OLOL</t>
  </si>
  <si>
    <t>NBE2603110023508CHL</t>
  </si>
  <si>
    <t>2630487919OLOL</t>
  </si>
  <si>
    <t>CFC2603120000219CFC</t>
  </si>
  <si>
    <t>US EXTREMITY NON VASCULAR LTD RIGHT</t>
  </si>
  <si>
    <t>CFC2603120000218CFC</t>
  </si>
  <si>
    <t>2630487980OLOL</t>
  </si>
  <si>
    <t>CT LOWER EXTREMITY LEFT W CONTRAST</t>
  </si>
  <si>
    <t>R005660441WHOSP</t>
  </si>
  <si>
    <t>2630487924OLOL</t>
  </si>
  <si>
    <t>CFC2603110022802CFC</t>
  </si>
  <si>
    <t>A10000272997BHS</t>
  </si>
  <si>
    <t>A10000272957BHS</t>
  </si>
  <si>
    <t>LLA2603120000190CLC</t>
  </si>
  <si>
    <t>LLA2603120000191CLC</t>
  </si>
  <si>
    <t>2630488029OLOL</t>
  </si>
  <si>
    <t>CFC2603110023465CFC</t>
  </si>
  <si>
    <t>2630487927OLOL</t>
  </si>
  <si>
    <t>CFC2603120000350CFC</t>
  </si>
  <si>
    <t>CFC2603120000427CFC</t>
  </si>
  <si>
    <t>NHL2603120000428CHL</t>
  </si>
  <si>
    <t>R005660445WHOSP</t>
  </si>
  <si>
    <t>CFC2603120000179CFC</t>
  </si>
  <si>
    <t>CFC2603120000312CFC</t>
  </si>
  <si>
    <t>LLA2603120000353CLC</t>
  </si>
  <si>
    <t>LLA2603120000503CLC</t>
  </si>
  <si>
    <t>2630488093OLOL</t>
  </si>
  <si>
    <t>NBE2603120000611CHL</t>
  </si>
  <si>
    <t>CFC2603120000556CFC</t>
  </si>
  <si>
    <t>CFC2603120000557CFC</t>
  </si>
  <si>
    <t>LWP2603120000575CSP</t>
  </si>
  <si>
    <t>CFC2603120000640CFC</t>
  </si>
  <si>
    <t>LWP2603120000572CSP</t>
  </si>
  <si>
    <t>NHL2603120000488CHL</t>
  </si>
  <si>
    <t>CFC2603120000581CFC</t>
  </si>
  <si>
    <t>LWP2603120000551CSP</t>
  </si>
  <si>
    <t>XR ABDOMEN KUB</t>
  </si>
  <si>
    <t>LLA2603120000623CLC</t>
  </si>
  <si>
    <t>LWP2603120000588CSP</t>
  </si>
  <si>
    <t>LLA2603120000615CLC</t>
  </si>
  <si>
    <t>2699488122OLOL</t>
  </si>
  <si>
    <t>380708620260312BBH</t>
  </si>
  <si>
    <t>2630488150OLOL</t>
  </si>
  <si>
    <t>2630488151OLOL</t>
  </si>
  <si>
    <t>CFC2603120000993CFC</t>
  </si>
  <si>
    <t>2630488152OLOL</t>
  </si>
  <si>
    <t>CFC2603120000830CFC</t>
  </si>
  <si>
    <t>CFC2603120001058CFC</t>
  </si>
  <si>
    <t>CT26000646CMC</t>
  </si>
  <si>
    <t>CT ABD PELVIS WO CONTRAST</t>
  </si>
  <si>
    <t>2630488197OLOL</t>
  </si>
  <si>
    <t>LWP2603120001207CSP</t>
  </si>
  <si>
    <t>LWP2603120001257CSP</t>
  </si>
  <si>
    <t>LWP2603120001208CSP</t>
  </si>
  <si>
    <t>LWP2603120001209CSP</t>
  </si>
  <si>
    <t>NHL2603120001224CHL</t>
  </si>
  <si>
    <t>NCS2603120001233CCS</t>
  </si>
  <si>
    <t>A10000273006BHS</t>
  </si>
  <si>
    <t>CFC2603120001316CFC</t>
  </si>
  <si>
    <t>A10000273140BHS</t>
  </si>
  <si>
    <t>CFC2603120022328CFC</t>
  </si>
  <si>
    <t>CFC2603120022839CFC</t>
  </si>
  <si>
    <t>CFC2603120022841CFC</t>
  </si>
  <si>
    <t>CFC2603120022832CFC</t>
  </si>
  <si>
    <t>NBE2603120022883CHL</t>
  </si>
  <si>
    <t>NBE2603120022885CHL</t>
  </si>
  <si>
    <t>380717620260312BBH</t>
  </si>
  <si>
    <t>CT HEAD WO</t>
  </si>
  <si>
    <t>NHL2603120022960CHL</t>
  </si>
  <si>
    <t>NHL2603120022953CHL</t>
  </si>
  <si>
    <t>R005662980WHOSP</t>
  </si>
  <si>
    <t>NHL2603120022952CHL</t>
  </si>
  <si>
    <t>CFC2603120022816CFC</t>
  </si>
  <si>
    <t>CFC2603120023072CFC</t>
  </si>
  <si>
    <t>CFC2603120023073CFC</t>
  </si>
  <si>
    <t>CFC2603120022963CFC</t>
  </si>
  <si>
    <t>CFC2603120023074CFC</t>
  </si>
  <si>
    <t>CFC2603120023077CFC</t>
  </si>
  <si>
    <t>CFC2603120023075CFC</t>
  </si>
  <si>
    <t>R005662987WHOSP</t>
  </si>
  <si>
    <t>LWP2603120023278CSP</t>
  </si>
  <si>
    <t>A10000273141BHS</t>
  </si>
  <si>
    <t>LWP2603120023292CSP</t>
  </si>
  <si>
    <t>LWP2603120023293CSP</t>
  </si>
  <si>
    <t>A10000273142BHS</t>
  </si>
  <si>
    <t>CFC2603120022455CFC</t>
  </si>
  <si>
    <t>NBE2603120023456CHL</t>
  </si>
  <si>
    <t>CFC2603120023497CFC</t>
  </si>
  <si>
    <t>LLA2603120023128CLC</t>
  </si>
  <si>
    <t>CFC2603120023631CFC</t>
  </si>
  <si>
    <t>A10000273146BHS</t>
  </si>
  <si>
    <t>CFC2603120023616CFC</t>
  </si>
  <si>
    <t>A10000273145BHS</t>
  </si>
  <si>
    <t>LWP2603120023650CSP</t>
  </si>
  <si>
    <t>MPCA134924MPH</t>
  </si>
  <si>
    <t>CFC2603120023619CFC</t>
  </si>
  <si>
    <t>2630495298OLOL</t>
  </si>
  <si>
    <t>2630495299OLOL</t>
  </si>
  <si>
    <t>R005662992WHOSP</t>
  </si>
  <si>
    <t>LWP2603120023651CSP</t>
  </si>
  <si>
    <t>2630495304OLOL</t>
  </si>
  <si>
    <t>LLA2603120023640CLC</t>
  </si>
  <si>
    <t>LWP2603120023798CSP</t>
  </si>
  <si>
    <t>LWP2603120023853CSP</t>
  </si>
  <si>
    <t>R005662991WHOSP</t>
  </si>
  <si>
    <t>2630495336OLOL</t>
  </si>
  <si>
    <t>2699495316OLOL</t>
  </si>
  <si>
    <t>US RETROPERITONEAL KIDNEY AND BLADDER</t>
  </si>
  <si>
    <t>LWP2603120023285CSP</t>
  </si>
  <si>
    <t>2630495334OLOL</t>
  </si>
  <si>
    <t>2630495351OLOL</t>
  </si>
  <si>
    <t>2630495277OLOL</t>
  </si>
  <si>
    <t>2630495331OLOL</t>
  </si>
  <si>
    <t>2630495350OLOL</t>
  </si>
  <si>
    <t>LLA2603120024037CLC</t>
  </si>
  <si>
    <t>2630495305OLOL</t>
  </si>
  <si>
    <t>US TRANSVAGINAL NON OB</t>
  </si>
  <si>
    <t>LLA2603120023852CLC</t>
  </si>
  <si>
    <t>NBE2603130000189CHL</t>
  </si>
  <si>
    <t>2699495375OLOL</t>
  </si>
  <si>
    <t>2699495373OLOL</t>
  </si>
  <si>
    <t>CFC2603120023831CFC</t>
  </si>
  <si>
    <t>CFC2603120023832CFC</t>
  </si>
  <si>
    <t>2699495374OLOL</t>
  </si>
  <si>
    <t>CT FACIAL BONES WITHOUT CONTRAST</t>
  </si>
  <si>
    <t>R005663006WHOSP</t>
  </si>
  <si>
    <t>CFC2603120023934CFC</t>
  </si>
  <si>
    <t>CFC2603120023870CFC</t>
  </si>
  <si>
    <t>US TESTICLES</t>
  </si>
  <si>
    <t>2699495418OLOL</t>
  </si>
  <si>
    <t>LLA2603120024038CLC</t>
  </si>
  <si>
    <t>LWP2603130000161CSP</t>
  </si>
  <si>
    <t>LLA2603130000226CLC</t>
  </si>
  <si>
    <t>LWP2603130000158CSP</t>
  </si>
  <si>
    <t>CFC2603120022958CFC</t>
  </si>
  <si>
    <t>LWP2603130000225CSP</t>
  </si>
  <si>
    <t>R005663007WHOSP</t>
  </si>
  <si>
    <t>MPCA134928MPH</t>
  </si>
  <si>
    <t>MPCA134927MPH</t>
  </si>
  <si>
    <t>NHL2603130000287CHL</t>
  </si>
  <si>
    <t>2630495492OLOL</t>
  </si>
  <si>
    <t>NCS2603130000494CCS</t>
  </si>
  <si>
    <t>2699495502OLOL</t>
  </si>
  <si>
    <t>2630495493OLOL</t>
  </si>
  <si>
    <t>CT SOFT TISSUE NECK W WO CONTRAST</t>
  </si>
  <si>
    <t>CFC2603130000275CFC</t>
  </si>
  <si>
    <t>CFC2603130000354CFC</t>
  </si>
  <si>
    <t>NBE2603130000515CHL</t>
  </si>
  <si>
    <t>2630495520OLOL</t>
  </si>
  <si>
    <t>MRI ANGIOGRAM HEAD WO CONTRAST</t>
  </si>
  <si>
    <t>LWP2603130000699CSP</t>
  </si>
  <si>
    <t>LWP2603130000701CSP</t>
  </si>
  <si>
    <t>2699495523OLOL</t>
  </si>
  <si>
    <t>2630495521OLOL</t>
  </si>
  <si>
    <t>MRI ANGIOGRAM NECK WO CONTRAST</t>
  </si>
  <si>
    <t>2630495518OLOL</t>
  </si>
  <si>
    <t>2630495519OLOL</t>
  </si>
  <si>
    <t>MRI FACE ORBITS W WO CONTRAST</t>
  </si>
  <si>
    <t>2630495578OLOL</t>
  </si>
  <si>
    <t>LWP2603130000305CSP</t>
  </si>
  <si>
    <t>R005663008WHOSP</t>
  </si>
  <si>
    <t>CFC2603130000237CFC</t>
  </si>
  <si>
    <t>CFC2603130000768CFC</t>
  </si>
  <si>
    <t>LWP2603130000769CSP</t>
  </si>
  <si>
    <t>2630495593OLOL</t>
  </si>
  <si>
    <t>2630495595OLOL</t>
  </si>
  <si>
    <t>2699495621OLOL</t>
  </si>
  <si>
    <t>R005663010WHOSP</t>
  </si>
  <si>
    <t>CFC2603130001006CFC</t>
  </si>
  <si>
    <t>R005663014WHOSP</t>
  </si>
  <si>
    <t>2699495614OLOL</t>
  </si>
  <si>
    <t>2699495615OLOL</t>
  </si>
  <si>
    <t>2699495655OLOL</t>
  </si>
  <si>
    <t>R005663015WHOSP</t>
  </si>
  <si>
    <t>2699495662OLOL</t>
  </si>
  <si>
    <t>LWP2603130001104CSP</t>
  </si>
  <si>
    <t>LWP2603130001105CSP</t>
  </si>
  <si>
    <t>2630495729OLOL</t>
  </si>
  <si>
    <t>NHL2603130019629CHL</t>
  </si>
  <si>
    <t>CT26000662CMC</t>
  </si>
  <si>
    <t>NBE2603130019509CHL</t>
  </si>
  <si>
    <t>CFC2603130018936CFC</t>
  </si>
  <si>
    <t>CFC2603130019593CFC</t>
  </si>
  <si>
    <t>MPCA134944MPH</t>
  </si>
  <si>
    <t>71045-CHEST, 1 VIEW</t>
  </si>
  <si>
    <t>E289339620260313WFH</t>
  </si>
  <si>
    <t>R005664844WHOSP</t>
  </si>
  <si>
    <t>CFC2603130018867CFC</t>
  </si>
  <si>
    <t>MPCA134945MPH</t>
  </si>
  <si>
    <t>LLA2603130019661CLC</t>
  </si>
  <si>
    <t>LLA2603130019429CLC</t>
  </si>
  <si>
    <t>CFC2603130019731CFC</t>
  </si>
  <si>
    <t>NHL2603130018919CHL</t>
  </si>
  <si>
    <t>NHL2603130019501CHL</t>
  </si>
  <si>
    <t>NHL2603130019500CHL</t>
  </si>
  <si>
    <t>NHL2603130019723CHL</t>
  </si>
  <si>
    <t>LWP2603130019550CSP</t>
  </si>
  <si>
    <t>LWP2603130018915CSP</t>
  </si>
  <si>
    <t>LWP2603130018912CSP</t>
  </si>
  <si>
    <t>LWP2603130019551CSP</t>
  </si>
  <si>
    <t>CT26000663CMC</t>
  </si>
  <si>
    <t>R005664845WHOSP</t>
  </si>
  <si>
    <t>LLA2603130019279CLC</t>
  </si>
  <si>
    <t>LWP2603130019971CSP</t>
  </si>
  <si>
    <t>CT UPPER EXTREMITY W CONTRAST LEFT</t>
  </si>
  <si>
    <t>NBE2603130019680CHL</t>
  </si>
  <si>
    <t>LWP2603130019904CSP</t>
  </si>
  <si>
    <t>CFC2603130019733CFC</t>
  </si>
  <si>
    <t>NHL2603130020112CHL</t>
  </si>
  <si>
    <t>CFC2603130020098CFC</t>
  </si>
  <si>
    <t>CT UPPER EXTREMITY WO CONTRAST RIGHT</t>
  </si>
  <si>
    <t>CFC2603130012969CFC</t>
  </si>
  <si>
    <t>LLA2603130020210CLC</t>
  </si>
  <si>
    <t>CFC2603130020084CFC</t>
  </si>
  <si>
    <t>LWP2603130019677CSP</t>
  </si>
  <si>
    <t>LWP2603130020141CSP</t>
  </si>
  <si>
    <t>LWP2603130019673CSP</t>
  </si>
  <si>
    <t>NHL2603130020142CHL</t>
  </si>
  <si>
    <t>LWP2603130019674CSP</t>
  </si>
  <si>
    <t>XR SHOULDER LEFT MIN 2 VIEWS</t>
  </si>
  <si>
    <t>NHL2603130019505CHL</t>
  </si>
  <si>
    <t>NHL2603130020279CHL</t>
  </si>
  <si>
    <t>NHL2603130019043CHL</t>
  </si>
  <si>
    <t>CT ABDOMEN PELVIS ORAL CONTRAST ONLY</t>
  </si>
  <si>
    <t>NHL2603130020281CHL</t>
  </si>
  <si>
    <t>NHL2603130020425CHL</t>
  </si>
  <si>
    <t>LLA2603130020236CLC</t>
  </si>
  <si>
    <t>LWP2603130019887CSP</t>
  </si>
  <si>
    <t>CFC2603130019997CFC</t>
  </si>
  <si>
    <t>CFC2603130020189CFC</t>
  </si>
  <si>
    <t>NHL2603130020226CHL</t>
  </si>
  <si>
    <t>LWP2603130020114CSP</t>
  </si>
  <si>
    <t>380721720260313BBH</t>
  </si>
  <si>
    <t>LLA2603130019724CLC</t>
  </si>
  <si>
    <t>A10000273306BHS</t>
  </si>
  <si>
    <t>XR CHEST 2V</t>
  </si>
  <si>
    <t>R005664846WHOSP</t>
  </si>
  <si>
    <t>NBE2603130019915CHL</t>
  </si>
  <si>
    <t>LLA2603130019793CLC</t>
  </si>
  <si>
    <t>CFC2603130019894CFC</t>
  </si>
  <si>
    <t>2699501523OLOL</t>
  </si>
  <si>
    <t>2699501525OLOL</t>
  </si>
  <si>
    <t>LWP2603130020238CSP</t>
  </si>
  <si>
    <t>LWP2603130020611CSP</t>
  </si>
  <si>
    <t>R005664847WHOSP</t>
  </si>
  <si>
    <t>2699501509OLOL</t>
  </si>
  <si>
    <t>R005664848WHOSP</t>
  </si>
  <si>
    <t>2699501559OLOL</t>
  </si>
  <si>
    <t>LLA2603130020616CLC</t>
  </si>
  <si>
    <t>2699501526OLOL</t>
  </si>
  <si>
    <t>2699501508OLOL</t>
  </si>
  <si>
    <t>A10000273310BHS</t>
  </si>
  <si>
    <t>LWP2603130020526CSP</t>
  </si>
  <si>
    <t>LWP2603130020407CSP</t>
  </si>
  <si>
    <t>LWP2603130020564CSP</t>
  </si>
  <si>
    <t>CFC2603130020570CFC</t>
  </si>
  <si>
    <t>2630501543OLOL</t>
  </si>
  <si>
    <t>NHL2603130020447CHL</t>
  </si>
  <si>
    <t>2630501581OLOL</t>
  </si>
  <si>
    <t>CFC2603130020463CFC</t>
  </si>
  <si>
    <t>CFC2603130020464CFC</t>
  </si>
  <si>
    <t>2630501537OLOL</t>
  </si>
  <si>
    <t>R005664868WHOSP</t>
  </si>
  <si>
    <t>NHL2603130020603CHL</t>
  </si>
  <si>
    <t>XR HAND RIGHT MIN 3 VIEWS</t>
  </si>
  <si>
    <t>2699501662OLOL</t>
  </si>
  <si>
    <t>LWP2603140000084CSP</t>
  </si>
  <si>
    <t>CFC2603140000086CFC</t>
  </si>
  <si>
    <t>2630501663OLOL</t>
  </si>
  <si>
    <t>LWP2603140000186CSP</t>
  </si>
  <si>
    <t>A10000273312BHS</t>
  </si>
  <si>
    <t>R005664869WHOSP</t>
  </si>
  <si>
    <t>2699501668OLOL</t>
  </si>
  <si>
    <t>2699501723OLOL</t>
  </si>
  <si>
    <t>NBE2603140000060CHL</t>
  </si>
  <si>
    <t>NBE2603140000062CHL</t>
  </si>
  <si>
    <t>NHL2603140000146CHL</t>
  </si>
  <si>
    <t>CT CHEST ABDOMEN PELVIS WO CONT (ORAL PREP)</t>
  </si>
  <si>
    <t>NHL2603130020638CHL</t>
  </si>
  <si>
    <t>NHL2603130020507CHL</t>
  </si>
  <si>
    <t>NHL2603130020657CHL</t>
  </si>
  <si>
    <t>CT FOOT LEFT WO CONTRAST</t>
  </si>
  <si>
    <t>2699501765OLOL</t>
  </si>
  <si>
    <t>2630501643OLOL</t>
  </si>
  <si>
    <t>LWP2603140000184CSP</t>
  </si>
  <si>
    <t>NHL2603130020439CHL</t>
  </si>
  <si>
    <t>NBE2603140000059CHL</t>
  </si>
  <si>
    <t>NBE2603140000343CHL</t>
  </si>
  <si>
    <t>2630501642OLOL</t>
  </si>
  <si>
    <t>LWP2603140000287CSP</t>
  </si>
  <si>
    <t>2630501745OLOL</t>
  </si>
  <si>
    <t>2630501818OLOL</t>
  </si>
  <si>
    <t>LWP2603140000568CSP</t>
  </si>
  <si>
    <t>NHL2603130018737CHL</t>
  </si>
  <si>
    <t>2630501772OLOL</t>
  </si>
  <si>
    <t>NHL2603140000314CHL</t>
  </si>
  <si>
    <t>2630501773OLOL</t>
  </si>
  <si>
    <t>LWP2603140000570CSP</t>
  </si>
  <si>
    <t>CFC2603140000563CFC</t>
  </si>
  <si>
    <t>2630501820OLOL</t>
  </si>
  <si>
    <t>2630501829OLOL</t>
  </si>
  <si>
    <t>LLA2603140000784CLC</t>
  </si>
  <si>
    <t>LWP2603140000892CSP</t>
  </si>
  <si>
    <t>A10000273315BHS</t>
  </si>
  <si>
    <t>2630501919OLOL</t>
  </si>
  <si>
    <t>NHL2603140000850CHL</t>
  </si>
  <si>
    <t>2630501823OLOL</t>
  </si>
  <si>
    <t>2630501862OLOL</t>
  </si>
  <si>
    <t>LLA2603140000918CLC</t>
  </si>
  <si>
    <t>NHL2603140000993CHL</t>
  </si>
  <si>
    <t>CFC2603140000882CFC</t>
  </si>
  <si>
    <t>CFC2603140000976CFC</t>
  </si>
  <si>
    <t>R005664871WHOSP</t>
  </si>
  <si>
    <t>2699501967OLOL</t>
  </si>
  <si>
    <t>R005664870WHOSP</t>
  </si>
  <si>
    <t>2630501963OLOL</t>
  </si>
  <si>
    <t>2630501893OLOL</t>
  </si>
  <si>
    <t>CFC2603140007369CFC</t>
  </si>
  <si>
    <t>LWP2603140008038CSP</t>
  </si>
  <si>
    <t>CFC2603140007371CFC</t>
  </si>
  <si>
    <t>CFC2603140004890CFC</t>
  </si>
  <si>
    <t>LWP2603140008244CSP</t>
  </si>
  <si>
    <t>LLA2603140007990CLC</t>
  </si>
  <si>
    <t>R005664974WHOSP</t>
  </si>
  <si>
    <t>CT26000671CMC</t>
  </si>
  <si>
    <t>LWP2603140007803CSP</t>
  </si>
  <si>
    <t>CFC2603140007476CFC</t>
  </si>
  <si>
    <t>CT LOWER EXTREMITY WO CONTRAST RIGHT</t>
  </si>
  <si>
    <t>LWP2603140008334CSP</t>
  </si>
  <si>
    <t>380724020260314BBH</t>
  </si>
  <si>
    <t>CT LUMBAR SPINE WO</t>
  </si>
  <si>
    <t>CFC2603140007797CFC</t>
  </si>
  <si>
    <t>CFC2603140007726CFC</t>
  </si>
  <si>
    <t>CFC2603140007742CFC</t>
  </si>
  <si>
    <t>NHL2603140008653CHL</t>
  </si>
  <si>
    <t>LLA2603140008497CLC</t>
  </si>
  <si>
    <t>CFC2603140007658CFC</t>
  </si>
  <si>
    <t>R005664977WHOSP</t>
  </si>
  <si>
    <t>CFC2603140008383CFC</t>
  </si>
  <si>
    <t>LLA2603140008023CLC</t>
  </si>
  <si>
    <t>CFC2603140008468CFC</t>
  </si>
  <si>
    <t>CFC2603140008384CFC</t>
  </si>
  <si>
    <t>LLA2603140008498CLC</t>
  </si>
  <si>
    <t>LWP2603140008595CSP</t>
  </si>
  <si>
    <t>CFC2603140007798CFC</t>
  </si>
  <si>
    <t>CFC2603140008465CFC</t>
  </si>
  <si>
    <t>A10000273365BHS</t>
  </si>
  <si>
    <t>E289340720260314WFH</t>
  </si>
  <si>
    <t>CT ABDOMEN T PELVIS WO CONTR</t>
  </si>
  <si>
    <t>LLA2603140008513CLC</t>
  </si>
  <si>
    <t>NHL2603140008703CHL</t>
  </si>
  <si>
    <t>NHL2603140008854CHL</t>
  </si>
  <si>
    <t>NHL2603140008855CHL</t>
  </si>
  <si>
    <t>NHL2603140008856CHL</t>
  </si>
  <si>
    <t>NBE2603140008579CHL</t>
  </si>
  <si>
    <t>R005664983WHOSP</t>
  </si>
  <si>
    <t>LWP2603140008879CSP</t>
  </si>
  <si>
    <t>CFC2603140008880CFC</t>
  </si>
  <si>
    <t>NBE2603140008939CHL</t>
  </si>
  <si>
    <t>2699504392OLOL</t>
  </si>
  <si>
    <t>CFC2603140008971CFC</t>
  </si>
  <si>
    <t>CFC2603140008973CFC</t>
  </si>
  <si>
    <t>2630504365OLOL</t>
  </si>
  <si>
    <t>2630504366OLOL</t>
  </si>
  <si>
    <t>NHL2603140009033CHL</t>
  </si>
  <si>
    <t>CFC2603140008877CFC</t>
  </si>
  <si>
    <t>2630504421OLOL</t>
  </si>
  <si>
    <t>LWP2603140008952CSP</t>
  </si>
  <si>
    <t>LLA2603140009026CLC</t>
  </si>
  <si>
    <t>2630504422OLOL</t>
  </si>
  <si>
    <t>LWP2603140009038CSP</t>
  </si>
  <si>
    <t>2630504380OLOL</t>
  </si>
  <si>
    <t>2630504407OLOL</t>
  </si>
  <si>
    <t>LLA2603140008918CLC</t>
  </si>
  <si>
    <t>LLA2603140009001CLC</t>
  </si>
  <si>
    <t>CFC2603140008905CFC</t>
  </si>
  <si>
    <t>CFC2603140009050CFC</t>
  </si>
  <si>
    <t>CFC2603140009051CFC</t>
  </si>
  <si>
    <t>LWP2603140009088CSP</t>
  </si>
  <si>
    <t>2630504450OLOL</t>
  </si>
  <si>
    <t>LLA2603140009115CLC</t>
  </si>
  <si>
    <t>CFC2603140009089CFC</t>
  </si>
  <si>
    <t>2699504470OLOL</t>
  </si>
  <si>
    <t>CFC2603150000058CFC</t>
  </si>
  <si>
    <t>NHL2603140009118CHL</t>
  </si>
  <si>
    <t>LWP2603140009233CSP</t>
  </si>
  <si>
    <t>NHL2603150000023CHL</t>
  </si>
  <si>
    <t>CFC2603140009129CFC</t>
  </si>
  <si>
    <t>2630504481OLOL</t>
  </si>
  <si>
    <t>CFC2603140009243CFC</t>
  </si>
  <si>
    <t>NHL2603140009117CHL</t>
  </si>
  <si>
    <t>NHL2603150000149CHL</t>
  </si>
  <si>
    <t>CFC2603150000020CFC</t>
  </si>
  <si>
    <t>CFC2603140009210CFC</t>
  </si>
  <si>
    <t>LLA2603150000238CLC</t>
  </si>
  <si>
    <t>2699504537OLOL</t>
  </si>
  <si>
    <t>CFC2603150000233CFC</t>
  </si>
  <si>
    <t>CFC2603150000019CFC</t>
  </si>
  <si>
    <t>LWP2603150000059CSP</t>
  </si>
  <si>
    <t>CFC2603150000261CFC</t>
  </si>
  <si>
    <t>R005664984WHOSP</t>
  </si>
  <si>
    <t>2699504536OLOL</t>
  </si>
  <si>
    <t>2630504591OLOL</t>
  </si>
  <si>
    <t>CFC2603150000333CFC</t>
  </si>
  <si>
    <t>LLA2603150000355CLC</t>
  </si>
  <si>
    <t>CT ELBOW RIGHT WO CONTRAST</t>
  </si>
  <si>
    <t>NHL2603150000323CHL</t>
  </si>
  <si>
    <t>NBE2603150000354CHL</t>
  </si>
  <si>
    <t>NBE2603150000305CHL</t>
  </si>
  <si>
    <t>NHL2603150000326CHL</t>
  </si>
  <si>
    <t>LWP2603150000285CSP</t>
  </si>
  <si>
    <t>2699504697OLOL</t>
  </si>
  <si>
    <t>2699504729OLOL</t>
  </si>
  <si>
    <t>LWP2603150000382CSP</t>
  </si>
  <si>
    <t>LWP2603150000383CSP</t>
  </si>
  <si>
    <t>CFC2603150000437CFC</t>
  </si>
  <si>
    <t>LWP2603150000522CSP</t>
  </si>
  <si>
    <t>2630504663OLOL</t>
  </si>
  <si>
    <t>CFC2603150000566CFC</t>
  </si>
  <si>
    <t>2630504664OLOL</t>
  </si>
  <si>
    <t>R005664987WHOSP</t>
  </si>
  <si>
    <t>XR LUMBAR SPINE COMPLETE 4+ VIEWS</t>
  </si>
  <si>
    <t>LWP2603150000626CSP</t>
  </si>
  <si>
    <t>2630504774OLOL</t>
  </si>
  <si>
    <t>2630504775OLOL</t>
  </si>
  <si>
    <t>E289341020260315WFH</t>
  </si>
  <si>
    <t>NHL2603150000630CHL</t>
  </si>
  <si>
    <t>2630504839OLOL</t>
  </si>
  <si>
    <t>CFC2603150000780CFC</t>
  </si>
  <si>
    <t>CT ANKLE LEFT WO CONTRAST</t>
  </si>
  <si>
    <t>CFC2603150000779CFC</t>
  </si>
  <si>
    <t>LWP2603150000775CSP</t>
  </si>
  <si>
    <t>CFC2603150000776CFC</t>
  </si>
  <si>
    <t>2630504894OLOL</t>
  </si>
  <si>
    <t>CFC2603150000798CFC</t>
  </si>
  <si>
    <t>2630504866OLOL</t>
  </si>
  <si>
    <t>LLA2603150000982CLC</t>
  </si>
  <si>
    <t>2699504895OLOL</t>
  </si>
  <si>
    <t>2699504896OLOL</t>
  </si>
  <si>
    <t>2699504916OLOL</t>
  </si>
  <si>
    <t>CFC2603150000990CFC</t>
  </si>
  <si>
    <t>2699504915OLOL</t>
  </si>
  <si>
    <t>2630504898OLOL</t>
  </si>
  <si>
    <t>LWP2603150000994CSP</t>
  </si>
  <si>
    <t>R005664990WHOSP</t>
  </si>
  <si>
    <t>R005664988WHOSP</t>
  </si>
  <si>
    <t>R005664989WHOSP</t>
  </si>
  <si>
    <t>R005665209WHOSP</t>
  </si>
  <si>
    <t>NHL2603150007683CHL</t>
  </si>
  <si>
    <t>CFC2603150007643CFC</t>
  </si>
  <si>
    <t>LLA2603150007825CLC</t>
  </si>
  <si>
    <t>NBE2603150007790CHL</t>
  </si>
  <si>
    <t>R005665211WHOSP</t>
  </si>
  <si>
    <t>R005665213WHOSP</t>
  </si>
  <si>
    <t>A10000273421BHS</t>
  </si>
  <si>
    <t>R005665212WHOSP</t>
  </si>
  <si>
    <t>LLA2603150007848CLC</t>
  </si>
  <si>
    <t>NHL2603150007846CHL</t>
  </si>
  <si>
    <t>NHL2603150007845CHL</t>
  </si>
  <si>
    <t>CFC2603150007622CFC</t>
  </si>
  <si>
    <t>LWP2603150007821CSP</t>
  </si>
  <si>
    <t>NHL2603150007844CHL</t>
  </si>
  <si>
    <t>CFC2603150007626CFC</t>
  </si>
  <si>
    <t>A10000273416BHS</t>
  </si>
  <si>
    <t>NHL2603150007937CHL</t>
  </si>
  <si>
    <t>NHL2603150007890CHL</t>
  </si>
  <si>
    <t>R005665216WHOSP</t>
  </si>
  <si>
    <t>NHL2603150008016CHL</t>
  </si>
  <si>
    <t>LLA2603150007962CLC</t>
  </si>
  <si>
    <t>CFC2603150007958CFC</t>
  </si>
  <si>
    <t>R005665215WHOSP</t>
  </si>
  <si>
    <t>LWP2603150007972CSP</t>
  </si>
  <si>
    <t>NHL2603150007599CHL</t>
  </si>
  <si>
    <t>R005665210WHOSP</t>
  </si>
  <si>
    <t>NHL2603150007685CHL</t>
  </si>
  <si>
    <t>LWP2603150008070CSP</t>
  </si>
  <si>
    <t>LLA2603150008266CLC</t>
  </si>
  <si>
    <t>CFC2603150008275CFC</t>
  </si>
  <si>
    <t>LWP2603150008123CSP</t>
  </si>
  <si>
    <t>CFC2603150008062CFC</t>
  </si>
  <si>
    <t>CT LOWER EXTREMITY W CONTRAST LEFT</t>
  </si>
  <si>
    <t>NHL2603150008336CHL</t>
  </si>
  <si>
    <t>E289342220260315WFH</t>
  </si>
  <si>
    <t>LWP2603150008504CSP</t>
  </si>
  <si>
    <t>2630507243OLOL</t>
  </si>
  <si>
    <t>NHL2603150007567CHL</t>
  </si>
  <si>
    <t>NHL2603150008588CHL</t>
  </si>
  <si>
    <t>NHL2603150008488CHL</t>
  </si>
  <si>
    <t>2630507208OLOL</t>
  </si>
  <si>
    <t>LLA2603150008639CLC</t>
  </si>
  <si>
    <t>2699507176OLOL</t>
  </si>
  <si>
    <t>MPCA134966MPH</t>
  </si>
  <si>
    <t>2630507266OLOL</t>
  </si>
  <si>
    <t>R005665217WHOSP</t>
  </si>
  <si>
    <t>LWP2603150008478CSP</t>
  </si>
  <si>
    <t>NHL2603150008080CHL</t>
  </si>
  <si>
    <t>LLA2603150008631CLC</t>
  </si>
  <si>
    <t>CFC2603150008632CFC</t>
  </si>
  <si>
    <t>CFC2603150008634CFC</t>
  </si>
  <si>
    <t>NHL2603150008724CHL</t>
  </si>
  <si>
    <t>CFC2603150008447CFC</t>
  </si>
  <si>
    <t>A10000273429BHS</t>
  </si>
  <si>
    <t>US VENOUS DUPLEX LE RT</t>
  </si>
  <si>
    <t>2630507161OLOL</t>
  </si>
  <si>
    <t>A10000273432BHS</t>
  </si>
  <si>
    <t>NHL2603150008596CHL</t>
  </si>
  <si>
    <t>CFC2603150008740CFC</t>
  </si>
  <si>
    <t>2699507285OLOL</t>
  </si>
  <si>
    <t>US OB FOLLOW UP TRANSABDOMINAL APPROACH</t>
  </si>
  <si>
    <t>NHL2603150008424CHL</t>
  </si>
  <si>
    <t>CFC2603150008743CFC</t>
  </si>
  <si>
    <t>CT HUMERUS LEFT WO CONTRAST</t>
  </si>
  <si>
    <t>2699507216OLOL</t>
  </si>
  <si>
    <t>NHL2603150008761CHL</t>
  </si>
  <si>
    <t>CFC2603150008448CFC</t>
  </si>
  <si>
    <t>NHL2603160000214CHL</t>
  </si>
  <si>
    <t>2630507297OLOL</t>
  </si>
  <si>
    <t>CFC2603160000251CFC</t>
  </si>
  <si>
    <t>2630507364OLOL</t>
  </si>
  <si>
    <t>CFC2603160000250CFC</t>
  </si>
  <si>
    <t>2630507310OLOL</t>
  </si>
  <si>
    <t>LLA2603160000323CLC</t>
  </si>
  <si>
    <t>380726520260316BBH</t>
  </si>
  <si>
    <t>2630507407OLOL</t>
  </si>
  <si>
    <t>2630507452OLOL</t>
  </si>
  <si>
    <t>LLA2603150008704CLC</t>
  </si>
  <si>
    <t>LLA2603160000420CLC</t>
  </si>
  <si>
    <t>NBE2603160000432CHL</t>
  </si>
  <si>
    <t>2699507499OLOL</t>
  </si>
  <si>
    <t>LWP2603160000396CSP</t>
  </si>
  <si>
    <t>2630507487OLOL</t>
  </si>
  <si>
    <t>NBE2603160000288CHL</t>
  </si>
  <si>
    <t>LWP2603160000294CSP</t>
  </si>
  <si>
    <t>LWP2603160000487CSP</t>
  </si>
  <si>
    <t>2630507509OLOL</t>
  </si>
  <si>
    <t>2630507511OLOL</t>
  </si>
  <si>
    <t>NHL2603160000535CHL</t>
  </si>
  <si>
    <t>R005665220WHOSP</t>
  </si>
  <si>
    <t>NHL2603160000543CHL</t>
  </si>
  <si>
    <t>2630507547OLOL</t>
  </si>
  <si>
    <t>CFC2603160000495CFC</t>
  </si>
  <si>
    <t>380726720260316BBH</t>
  </si>
  <si>
    <t>380726820260316BBH</t>
  </si>
  <si>
    <t>CT MAXILLOFACIAL WO</t>
  </si>
  <si>
    <t>CFC2603160000492CFC</t>
  </si>
  <si>
    <t>LLA2603160000674CLC</t>
  </si>
  <si>
    <t>2630507562OLOL</t>
  </si>
  <si>
    <t>NBE2603160000767CHL</t>
  </si>
  <si>
    <t>LLA2603160000768CLC</t>
  </si>
  <si>
    <t>2699507571OLOL</t>
  </si>
  <si>
    <t>2699507572OLOL</t>
  </si>
  <si>
    <t>LLA2603160000806CLC</t>
  </si>
  <si>
    <t>LWP2603160000906CSP</t>
  </si>
  <si>
    <t>CFC2603160000808CFC</t>
  </si>
  <si>
    <t>2699507601OLOL</t>
  </si>
  <si>
    <t>2630507627OLOL</t>
  </si>
  <si>
    <t>LLA2603160000956CLC</t>
  </si>
  <si>
    <t>2630507613OLOL</t>
  </si>
  <si>
    <t>2630507614OLOL</t>
  </si>
  <si>
    <t>2630507616OLOL</t>
  </si>
  <si>
    <t>2630507615OLOL</t>
  </si>
  <si>
    <t>2630507618OLOL</t>
  </si>
  <si>
    <t>2630507622OLOL</t>
  </si>
  <si>
    <t>CFC2603160000998CFC</t>
  </si>
  <si>
    <t>R005665262WHOSP</t>
  </si>
  <si>
    <t>CFC2603160000941CFC</t>
  </si>
  <si>
    <t>LWP2603160023137CSP</t>
  </si>
  <si>
    <t>R005667623WHOSP</t>
  </si>
  <si>
    <t>NHL2603160022935CHL</t>
  </si>
  <si>
    <t>CFC2603160023140CFC</t>
  </si>
  <si>
    <t>CFC2603160023141CFC</t>
  </si>
  <si>
    <t>380732720260316BBH</t>
  </si>
  <si>
    <t>CFC2603160022875CFC</t>
  </si>
  <si>
    <t>NHL2603160023316CHL</t>
  </si>
  <si>
    <t>CFC2603160022881CFC</t>
  </si>
  <si>
    <t>NHL2603160023033CHL</t>
  </si>
  <si>
    <t>CFC2603160023144CFC</t>
  </si>
  <si>
    <t>LLA2603160023200CLC</t>
  </si>
  <si>
    <t>LWP2603160023149CSP</t>
  </si>
  <si>
    <t>LWP2603160023335CSP</t>
  </si>
  <si>
    <t>A10000273644BHS</t>
  </si>
  <si>
    <t>A10000273646BHS</t>
  </si>
  <si>
    <t>LWP2603160023464CSP</t>
  </si>
  <si>
    <t>LWP2603160023399CSP</t>
  </si>
  <si>
    <t>CFC2603160023334CFC</t>
  </si>
  <si>
    <t>A10000273645BHS</t>
  </si>
  <si>
    <t>CT CHEST W CON</t>
  </si>
  <si>
    <t>LWP2603160023434CSP</t>
  </si>
  <si>
    <t>CFC2603160022883CFC</t>
  </si>
  <si>
    <t>CFC2603160023343CFC</t>
  </si>
  <si>
    <t>NBE2603160022990CHL</t>
  </si>
  <si>
    <t>NHL2603160023452CHL</t>
  </si>
  <si>
    <t>LWP2603160023620CSP</t>
  </si>
  <si>
    <t>LLA2603160023521CLC</t>
  </si>
  <si>
    <t>R005667646WHOSP</t>
  </si>
  <si>
    <t>A10000273648BHS</t>
  </si>
  <si>
    <t>A10000273647BHS</t>
  </si>
  <si>
    <t>R005667645WHOSP</t>
  </si>
  <si>
    <t>CFC2603160023735CFC</t>
  </si>
  <si>
    <t>CFC2603160023736CFC</t>
  </si>
  <si>
    <t>LLA2603160023572CLC</t>
  </si>
  <si>
    <t>NBE2603160023505CHL</t>
  </si>
  <si>
    <t>CFC2603160023737CFC</t>
  </si>
  <si>
    <t>NHL2603160023699CHL</t>
  </si>
  <si>
    <t>2630515239OLOL</t>
  </si>
  <si>
    <t>CFC2603160022877CFC</t>
  </si>
  <si>
    <t>CFC2603160022988CFC</t>
  </si>
  <si>
    <t>NBE2603160023961CHL</t>
  </si>
  <si>
    <t>2630515210OLOL</t>
  </si>
  <si>
    <t>CFC2603160023886CFC</t>
  </si>
  <si>
    <t>CFC2603160023981CFC</t>
  </si>
  <si>
    <t>CFC2603160023980CFC</t>
  </si>
  <si>
    <t>R005667652WHOSP</t>
  </si>
  <si>
    <t>NBE2603160024087CHL</t>
  </si>
  <si>
    <t>NHL2603160024015CHL</t>
  </si>
  <si>
    <t>NHL2603160024016CHL</t>
  </si>
  <si>
    <t>LWP2603160023997CSP</t>
  </si>
  <si>
    <t>R005667654WHOSP</t>
  </si>
  <si>
    <t>R005667653WHOSP</t>
  </si>
  <si>
    <t>LWP2603160023955CSP</t>
  </si>
  <si>
    <t>LLA2603160024074CLC</t>
  </si>
  <si>
    <t>2630515281OLOL</t>
  </si>
  <si>
    <t>LLA2603160024156CLC</t>
  </si>
  <si>
    <t>NHL2603160024090CHL</t>
  </si>
  <si>
    <t>2630515221OLOL</t>
  </si>
  <si>
    <t>2630515286OLOL</t>
  </si>
  <si>
    <t>2630515305OLOL</t>
  </si>
  <si>
    <t>NHL2603160023974CHL</t>
  </si>
  <si>
    <t>2630515312OLOL</t>
  </si>
  <si>
    <t>NHL2603160023973CHL</t>
  </si>
  <si>
    <t>NHL2603160023950CHL</t>
  </si>
  <si>
    <t>NHL2603160024070CHL</t>
  </si>
  <si>
    <t>NHL2603160024212CHL</t>
  </si>
  <si>
    <t>NHL2603160024201CHL</t>
  </si>
  <si>
    <t>NHL2603160024213CHL</t>
  </si>
  <si>
    <t>NHL2603170000270CHL</t>
  </si>
  <si>
    <t>LLA2603160024228CLC</t>
  </si>
  <si>
    <t>2699515389OLOL</t>
  </si>
  <si>
    <t>2630515303OLOL</t>
  </si>
  <si>
    <t>NBE2603170000275CHL</t>
  </si>
  <si>
    <t>NBE2603170000381CHL</t>
  </si>
  <si>
    <t>CFC2603160024077CFC</t>
  </si>
  <si>
    <t>2630504863OLOL</t>
  </si>
  <si>
    <t>2630515417OLOL</t>
  </si>
  <si>
    <t>2630515304OLOL</t>
  </si>
  <si>
    <t>CFC2603170000298CFC</t>
  </si>
  <si>
    <t>380732820260317BBH</t>
  </si>
  <si>
    <t>CFC2603160024103CFC</t>
  </si>
  <si>
    <t>380732920260317BBH</t>
  </si>
  <si>
    <t>CFC2603170000481CFC</t>
  </si>
  <si>
    <t>CFC2603160024075CFC</t>
  </si>
  <si>
    <t>2699515451OLOL</t>
  </si>
  <si>
    <t>MPCA134979MPH</t>
  </si>
  <si>
    <t>NHL2603170000493CHL</t>
  </si>
  <si>
    <t>2630515448OLOL</t>
  </si>
  <si>
    <t>2630515462OLOL</t>
  </si>
  <si>
    <t>LWP2603170000572CSP</t>
  </si>
  <si>
    <t>2699515496OLOL</t>
  </si>
  <si>
    <t>CFC2603170000584CFC</t>
  </si>
  <si>
    <t>2699515520OLOL</t>
  </si>
  <si>
    <t>2699515526OLOL</t>
  </si>
  <si>
    <t>2630515547OLOL</t>
  </si>
  <si>
    <t>CFC2603170000826CFC</t>
  </si>
  <si>
    <t>CFC2603170000889CFC</t>
  </si>
  <si>
    <t>LWP2603170000864CSP</t>
  </si>
  <si>
    <t>LWP2603170000866CSP</t>
  </si>
  <si>
    <t>NHL2603170000521CHL</t>
  </si>
  <si>
    <t>NHL2603170000873CHL</t>
  </si>
  <si>
    <t>2630515593OLOL</t>
  </si>
  <si>
    <t>2699515591OLOL</t>
  </si>
  <si>
    <t>2630515589OLOL</t>
  </si>
  <si>
    <t>NHL2603170000941CHL</t>
  </si>
  <si>
    <t>2630515559OLOL</t>
  </si>
  <si>
    <t>2630515590OLOL</t>
  </si>
  <si>
    <t>2631515614OLOL</t>
  </si>
  <si>
    <t>2631515613OLOL</t>
  </si>
  <si>
    <t>A10000273710BHS</t>
  </si>
  <si>
    <t>A10000273711BHS</t>
  </si>
  <si>
    <t>A10000273712BHS</t>
  </si>
  <si>
    <t>CT FACIAL BONES WO CON</t>
  </si>
  <si>
    <t>2630515662OLOL</t>
  </si>
  <si>
    <t>2630515668OLOL</t>
  </si>
  <si>
    <t>LLA2603170001002CLC</t>
  </si>
  <si>
    <t>R005670912WHOSP</t>
  </si>
  <si>
    <t>R005670892WHOSP</t>
  </si>
  <si>
    <t>R005670910WHOSP</t>
  </si>
  <si>
    <t>CFC2603170024114CFC</t>
  </si>
  <si>
    <t>NHL2603170023607CHL</t>
  </si>
  <si>
    <t>CFC2603170023896CFC</t>
  </si>
  <si>
    <t>LLA2603170024124CLC</t>
  </si>
  <si>
    <t>NHL2603170023605CHL</t>
  </si>
  <si>
    <t>A10000273835BHS</t>
  </si>
  <si>
    <t>R005670914WHOSP</t>
  </si>
  <si>
    <t>R005670913WHOSP</t>
  </si>
  <si>
    <t>R005670923WHOSP</t>
  </si>
  <si>
    <t>XR HAND 3+ VIEWS RIGHT</t>
  </si>
  <si>
    <t>A10000273828BHS</t>
  </si>
  <si>
    <t>A10000273833BHS</t>
  </si>
  <si>
    <t>US VENOUS DUPLEX LE BI</t>
  </si>
  <si>
    <t>CFC2603170024319CFC</t>
  </si>
  <si>
    <t>R005670919WHOSP</t>
  </si>
  <si>
    <t>LWP2603170024316CSP</t>
  </si>
  <si>
    <t>R005670921WHOSP</t>
  </si>
  <si>
    <t>NCS2603170024678CCS</t>
  </si>
  <si>
    <t>CFC2603170022159CFC</t>
  </si>
  <si>
    <t>CFC2603170024568CFC</t>
  </si>
  <si>
    <t>A10000273836BHS</t>
  </si>
  <si>
    <t>LLA2603170024171CLC</t>
  </si>
  <si>
    <t>LWP2603170024675CSP</t>
  </si>
  <si>
    <t>LWP2603170024641CSP</t>
  </si>
  <si>
    <t>LWP2603170024794CSP</t>
  </si>
  <si>
    <t>LWP2603170024669CSP</t>
  </si>
  <si>
    <t>NHL2603170023905CHL</t>
  </si>
  <si>
    <t>NHL2603170024765CHL</t>
  </si>
  <si>
    <t>NHL2603170024508CHL</t>
  </si>
  <si>
    <t>LLA2603170024720CLC</t>
  </si>
  <si>
    <t>LLA2603170024689CLC</t>
  </si>
  <si>
    <t>R005670922WHOSP</t>
  </si>
  <si>
    <t>CFC2603170023893CFC</t>
  </si>
  <si>
    <t>NHL2603170024793CHL</t>
  </si>
  <si>
    <t>NHL2603170023904CHL</t>
  </si>
  <si>
    <t>NHL2603170024808CHL</t>
  </si>
  <si>
    <t>XR TIBIA FIBULA RIGHT 2 VIEWS</t>
  </si>
  <si>
    <t>R005670935WHOSP</t>
  </si>
  <si>
    <t>NHL2603170024966CHL</t>
  </si>
  <si>
    <t>MPCA135005MPH</t>
  </si>
  <si>
    <t>R005670934WHOSP</t>
  </si>
  <si>
    <t>NHL2603170025006CHL</t>
  </si>
  <si>
    <t>LWP2603170024757CSP</t>
  </si>
  <si>
    <t>LWP2603170024990CSP</t>
  </si>
  <si>
    <t>LLA2603170025102CLC</t>
  </si>
  <si>
    <t>NHL2603170024985CHL</t>
  </si>
  <si>
    <t>CFC2603170024709CFC</t>
  </si>
  <si>
    <t>NBE2603170025082CHL</t>
  </si>
  <si>
    <t>R005670933WHOSP</t>
  </si>
  <si>
    <t>2630523412OLOL</t>
  </si>
  <si>
    <t>2630523350OLOL</t>
  </si>
  <si>
    <t>MPCA135008MPH</t>
  </si>
  <si>
    <t>2630523344OLOL</t>
  </si>
  <si>
    <t>2699523417OLOL</t>
  </si>
  <si>
    <t>R005670924WHOSP</t>
  </si>
  <si>
    <t>2630523481OLOL</t>
  </si>
  <si>
    <t>2630523482OLOL</t>
  </si>
  <si>
    <t>LWP2603170025389CSP</t>
  </si>
  <si>
    <t>R005670938WHOSP</t>
  </si>
  <si>
    <t>2699523499OLOL</t>
  </si>
  <si>
    <t>2699523498OLOL</t>
  </si>
  <si>
    <t>A10000273886BHS</t>
  </si>
  <si>
    <t>A10000273889BHS</t>
  </si>
  <si>
    <t>A10000273888BHS</t>
  </si>
  <si>
    <t>NHL2603170024806CHL</t>
  </si>
  <si>
    <t>XR KNEE RIGHT 2 VIEWS</t>
  </si>
  <si>
    <t>CFC2603180000349CFC</t>
  </si>
  <si>
    <t>CFC2603170025388CFC</t>
  </si>
  <si>
    <t>CFC2603170025386CFC</t>
  </si>
  <si>
    <t>2699523543OLOL</t>
  </si>
  <si>
    <t>CFC2603180000290CFC</t>
  </si>
  <si>
    <t>CFC2603170025382CFC</t>
  </si>
  <si>
    <t>A10000273837BHS</t>
  </si>
  <si>
    <t>US PELVIC COMPLETE</t>
  </si>
  <si>
    <t>CFC2603180000302CFC</t>
  </si>
  <si>
    <t>NHL2603180000306CHL</t>
  </si>
  <si>
    <t>NHL2603180000305CHL</t>
  </si>
  <si>
    <t>NHL2603180000189CHL</t>
  </si>
  <si>
    <t>NHL2603180000385CHL</t>
  </si>
  <si>
    <t>2630523580OLOL</t>
  </si>
  <si>
    <t>R005670944WHOSP</t>
  </si>
  <si>
    <t>2630523494OLOL</t>
  </si>
  <si>
    <t>2630523496OLOL</t>
  </si>
  <si>
    <t>2630523495OLOL</t>
  </si>
  <si>
    <t>NHL2603180000571CHL</t>
  </si>
  <si>
    <t>2630523602OLOL</t>
  </si>
  <si>
    <t>LWP2603180000533CSP</t>
  </si>
  <si>
    <t>380738320260318BBH</t>
  </si>
  <si>
    <t>CT SOFT TISSUE NECK - W/O</t>
  </si>
  <si>
    <t>R005670945WHOSP</t>
  </si>
  <si>
    <t>CFC2603180000603CFC</t>
  </si>
  <si>
    <t>2630523637OLOL</t>
  </si>
  <si>
    <t>2699523639OLOL</t>
  </si>
  <si>
    <t>NHL2603180000765CHL</t>
  </si>
  <si>
    <t>2630523600OLOL</t>
  </si>
  <si>
    <t>2699523664OLOL</t>
  </si>
  <si>
    <t>MPCA135010MPH</t>
  </si>
  <si>
    <t>74177-CT ABD AND PELVIS; WITH CONTRAST</t>
  </si>
  <si>
    <t>MPCA135011MPH</t>
  </si>
  <si>
    <t>71260-CT CHEST WITH CONTRAST</t>
  </si>
  <si>
    <t>2699523659OLOL</t>
  </si>
  <si>
    <t>CFC2603180000975CFC</t>
  </si>
  <si>
    <t>CFC2603180000998CFC</t>
  </si>
  <si>
    <t>CODE STROKE CT ANGIO HEAD W CONTRAST</t>
  </si>
  <si>
    <t>NHL2603180001012CHL</t>
  </si>
  <si>
    <t>A10000273895BHS</t>
  </si>
  <si>
    <t>NHL2603180000982CHL</t>
  </si>
  <si>
    <t>NHL2603180001006CHL</t>
  </si>
  <si>
    <t>CFC2603180001141CFC</t>
  </si>
  <si>
    <t>LLA2603180024829CLC</t>
  </si>
  <si>
    <t>NHL2603180024833CHL</t>
  </si>
  <si>
    <t>LLA2603180024830CLC</t>
  </si>
  <si>
    <t>LWP2603180024839CSP</t>
  </si>
  <si>
    <t>A10000274030BHS</t>
  </si>
  <si>
    <t>R005673959WHOSP</t>
  </si>
  <si>
    <t>CFC2603180024856CFC</t>
  </si>
  <si>
    <t>CFC2603180024984CFC</t>
  </si>
  <si>
    <t>CFC2603180024986CFC</t>
  </si>
  <si>
    <t>CFC2603180024987CFC</t>
  </si>
  <si>
    <t>NBE2603180024844CHL</t>
  </si>
  <si>
    <t>R005673905WHOSP</t>
  </si>
  <si>
    <t>XR ANKLE 3+ VIEWS RIGHT</t>
  </si>
  <si>
    <t>R005673904WHOSP</t>
  </si>
  <si>
    <t>XR ANKLE 3+ VIEWS LEFT</t>
  </si>
  <si>
    <t>A10000274025BHS</t>
  </si>
  <si>
    <t>LWP2603180025037CSP</t>
  </si>
  <si>
    <t>LWP2603180025036CSP</t>
  </si>
  <si>
    <t>R005673898WHOSP</t>
  </si>
  <si>
    <t>NCS2603180025187CCS</t>
  </si>
  <si>
    <t>LLA2603180025178CLC</t>
  </si>
  <si>
    <t>NHL2603180024827CHL</t>
  </si>
  <si>
    <t>NBE2603180024773CHL</t>
  </si>
  <si>
    <t>NHL2603180024454CHL</t>
  </si>
  <si>
    <t>R005673908WHOSP</t>
  </si>
  <si>
    <t>R005673894WHOSP</t>
  </si>
  <si>
    <t>NBE2603180024710CHL</t>
  </si>
  <si>
    <t>R005673896WHOSP</t>
  </si>
  <si>
    <t>CT CERVICAL SPINE WO IV CONTRAST</t>
  </si>
  <si>
    <t>NBE2603180024962CHL</t>
  </si>
  <si>
    <t>LLA2603180025169CLC</t>
  </si>
  <si>
    <t>R005673895WHOSP</t>
  </si>
  <si>
    <t>NBE2603180025192CHL</t>
  </si>
  <si>
    <t>NHL2603180024726CHL</t>
  </si>
  <si>
    <t>CFC2603180025227CFC</t>
  </si>
  <si>
    <t>CFC2603180025175CFC</t>
  </si>
  <si>
    <t>R005673897WHOSP</t>
  </si>
  <si>
    <t>LLA2603180025287CLC</t>
  </si>
  <si>
    <t>R005673969WHOSP</t>
  </si>
  <si>
    <t>R005673972WHOSP</t>
  </si>
  <si>
    <t>XR FOOT 3+ VIEWS RIGHT</t>
  </si>
  <si>
    <t>R005673971WHOSP</t>
  </si>
  <si>
    <t>LLA2603180025461CLC</t>
  </si>
  <si>
    <t>R005673973WHOSP</t>
  </si>
  <si>
    <t>CFC2603180024855CFC</t>
  </si>
  <si>
    <t>CFC2603180024859CFC</t>
  </si>
  <si>
    <t>CFC2603180024985CFC</t>
  </si>
  <si>
    <t>380745120260318BBH</t>
  </si>
  <si>
    <t>ABDOMEN KUB</t>
  </si>
  <si>
    <t>NHL2603180025011CHL</t>
  </si>
  <si>
    <t>NHL2603180022291CHL</t>
  </si>
  <si>
    <t>CFC2603180024795CFC</t>
  </si>
  <si>
    <t>2630530809OLOL</t>
  </si>
  <si>
    <t>LWP2603180025765CSP</t>
  </si>
  <si>
    <t>R005673974WHOSP</t>
  </si>
  <si>
    <t>LWP2603180025038CSP</t>
  </si>
  <si>
    <t>CFC2603180024785CFC</t>
  </si>
  <si>
    <t>CFC2603180021681CFC</t>
  </si>
  <si>
    <t>NHL2603180025729CHL</t>
  </si>
  <si>
    <t>CFC2603180024784CFC</t>
  </si>
  <si>
    <t>2699531173OLOL</t>
  </si>
  <si>
    <t>2699531202OLOL</t>
  </si>
  <si>
    <t>NHL2603180025633CHL</t>
  </si>
  <si>
    <t>R005673977WHOSP</t>
  </si>
  <si>
    <t>BI US BREAST LIMITED RIGHT</t>
  </si>
  <si>
    <t>2699531191OLOL</t>
  </si>
  <si>
    <t>CFC2603180025908CFC</t>
  </si>
  <si>
    <t>A10000274031BHS</t>
  </si>
  <si>
    <t>A10000274038BHS</t>
  </si>
  <si>
    <t>LWP2603180025782CSP</t>
  </si>
  <si>
    <t>VAS ABDOMEN PELVIS VASCULAR STUDY LIMITED (VSC)</t>
  </si>
  <si>
    <t>2699531203OLOL</t>
  </si>
  <si>
    <t>NHL2603180025909CHL</t>
  </si>
  <si>
    <t>LWP2603180025893CSP</t>
  </si>
  <si>
    <t>2699531239OLOL</t>
  </si>
  <si>
    <t>LLA2603180026005CLC</t>
  </si>
  <si>
    <t>LLA2603180026004CLC</t>
  </si>
  <si>
    <t>2630531214OLOL</t>
  </si>
  <si>
    <t>NHL2603180025951CHL</t>
  </si>
  <si>
    <t>LWP2603180025040CSP</t>
  </si>
  <si>
    <t>LWP2603180025895CSP</t>
  </si>
  <si>
    <t>R005673978WHOSP</t>
  </si>
  <si>
    <t>LWP2603190000238CSP</t>
  </si>
  <si>
    <t>2630531245OLOL</t>
  </si>
  <si>
    <t>NHL2603180025859CHL</t>
  </si>
  <si>
    <t>NHL2603190000234CHL</t>
  </si>
  <si>
    <t>2630531286OLOL</t>
  </si>
  <si>
    <t>CFC2603180025988CFC</t>
  </si>
  <si>
    <t>CFC2603180025892CFC</t>
  </si>
  <si>
    <t>CFC2603180025516CFC</t>
  </si>
  <si>
    <t>2699531288OLOL</t>
  </si>
  <si>
    <t>CT UPPER EXTREMITY RIGHT WO CONTRAST</t>
  </si>
  <si>
    <t>CFC2603190000224CFC</t>
  </si>
  <si>
    <t>CFC2603190000236CFC</t>
  </si>
  <si>
    <t>CFC2603190000385CFC</t>
  </si>
  <si>
    <t>2631531382OLOL</t>
  </si>
  <si>
    <t>R005673979WHOSP</t>
  </si>
  <si>
    <t>2630531373OLOL</t>
  </si>
  <si>
    <t>2699531234OLOL</t>
  </si>
  <si>
    <t>XR SHOULDER 2+ VIEW RIGHT</t>
  </si>
  <si>
    <t>LWP2603190000290CSP</t>
  </si>
  <si>
    <t>2630531406OLOL</t>
  </si>
  <si>
    <t>NHL2603190000686CHL</t>
  </si>
  <si>
    <t>NHL2603190000352CHL</t>
  </si>
  <si>
    <t>LWP2603190000574CSP</t>
  </si>
  <si>
    <t>R005673980WHOSP</t>
  </si>
  <si>
    <t>NHL2603190000491CHL</t>
  </si>
  <si>
    <t>2630531418OLOL</t>
  </si>
  <si>
    <t>CFC2603190000496CFC</t>
  </si>
  <si>
    <t>CT BRAIN HEAD W WO CONTRAST</t>
  </si>
  <si>
    <t>2630531419OLOL</t>
  </si>
  <si>
    <t>2630531420OLOL</t>
  </si>
  <si>
    <t>2630531457OLOL</t>
  </si>
  <si>
    <t>LLA2603190000890CLC</t>
  </si>
  <si>
    <t>2630531442OLOL</t>
  </si>
  <si>
    <t>2630531461OLOL</t>
  </si>
  <si>
    <t>LWP2603190000766CSP</t>
  </si>
  <si>
    <t>2630531476OLOL</t>
  </si>
  <si>
    <t>CFC2603190000860CFC</t>
  </si>
  <si>
    <t>2699531481OLOL</t>
  </si>
  <si>
    <t>2630531456OLOL</t>
  </si>
  <si>
    <t>2630531484OLOL</t>
  </si>
  <si>
    <t>CFC2603190001088CFC</t>
  </si>
  <si>
    <t>LWP2603190001134CSP</t>
  </si>
  <si>
    <t>CFC2603190001090CFC</t>
  </si>
  <si>
    <t>CFC2603190001089CFC</t>
  </si>
  <si>
    <t>CFC2603180025902CFC</t>
  </si>
  <si>
    <t>CFC2603190001111CFC</t>
  </si>
  <si>
    <t>NBE2603190001148CHL</t>
  </si>
  <si>
    <t>LWP2603190001003CSP</t>
  </si>
  <si>
    <t>2630531506OLOL</t>
  </si>
  <si>
    <t>CFC2603190000371CFC</t>
  </si>
  <si>
    <t>CFC2603190000373CFC</t>
  </si>
  <si>
    <t>2699531545OLOL</t>
  </si>
  <si>
    <t>R005676264WHOSP</t>
  </si>
  <si>
    <t>A10000274223BHS</t>
  </si>
  <si>
    <t>R005676326WHOSP</t>
  </si>
  <si>
    <t>CFC2603190023788CFC</t>
  </si>
  <si>
    <t>CFC2603190023789CFC</t>
  </si>
  <si>
    <t>NBE2603190024145CHL</t>
  </si>
  <si>
    <t>CFC2603190023294CFC</t>
  </si>
  <si>
    <t>A10000274219BHS</t>
  </si>
  <si>
    <t>A10000274218BHS</t>
  </si>
  <si>
    <t>XR ABDOMEN 1V KUB</t>
  </si>
  <si>
    <t>NHL2603190024244CHL</t>
  </si>
  <si>
    <t>XR SHOULDER RIGHT MIN 2 VIEWS</t>
  </si>
  <si>
    <t>LLA2603190023600CLC</t>
  </si>
  <si>
    <t>CFC2603190023681CFC</t>
  </si>
  <si>
    <t>CFC2603190024296CFC</t>
  </si>
  <si>
    <t>NHL2603190024404CHL</t>
  </si>
  <si>
    <t>LWP2603190024300CSP</t>
  </si>
  <si>
    <t>CTA CHEST AORTA WITH CONTRAST</t>
  </si>
  <si>
    <t>NHL2603190024399CHL</t>
  </si>
  <si>
    <t>CFC2603190024470CFC</t>
  </si>
  <si>
    <t>LLA2603190024183CLC</t>
  </si>
  <si>
    <t>CFC2603190023706CFC</t>
  </si>
  <si>
    <t>NBE2603190024303CHL</t>
  </si>
  <si>
    <t>LLA2603190024467CLC</t>
  </si>
  <si>
    <t>LWP2603190023835CSP</t>
  </si>
  <si>
    <t>LWP2603190023836CSP</t>
  </si>
  <si>
    <t>MRI VENOGRAM SAGITAL SINUS WO CONTRAST</t>
  </si>
  <si>
    <t>CFC2603190024495CFC</t>
  </si>
  <si>
    <t>NHL2603190023580CHL</t>
  </si>
  <si>
    <t>NHL2603190024711CHL</t>
  </si>
  <si>
    <t>CFC2603190024650CFC</t>
  </si>
  <si>
    <t>NBE2603190023162CHL</t>
  </si>
  <si>
    <t>XR FEMUR RIGHT 2 VIEWS</t>
  </si>
  <si>
    <t>NBE2603190023394CHL</t>
  </si>
  <si>
    <t>XR SACRUM AND COCCYX 3 VIEWS</t>
  </si>
  <si>
    <t>NBE2603190023161CHL</t>
  </si>
  <si>
    <t>XR HIP RIGHT 2 V W PELVIS</t>
  </si>
  <si>
    <t>CFC2603190024716CFC</t>
  </si>
  <si>
    <t>LLA2603190024649CLC</t>
  </si>
  <si>
    <t>E289356020260319WFH</t>
  </si>
  <si>
    <t>NBE2603190024312CHL</t>
  </si>
  <si>
    <t>CFC2603190023365CFC</t>
  </si>
  <si>
    <t>R005676329WHOSP</t>
  </si>
  <si>
    <t>LWP2603190024794CSP</t>
  </si>
  <si>
    <t>NHL2603190024804CHL</t>
  </si>
  <si>
    <t>CFC2603190023776CFC</t>
  </si>
  <si>
    <t>LWP2603190023790CSP</t>
  </si>
  <si>
    <t>LWP2603190024373CSP</t>
  </si>
  <si>
    <t>2699538862OLOL</t>
  </si>
  <si>
    <t>2699538991OLOL</t>
  </si>
  <si>
    <t>A10000274225BHS</t>
  </si>
  <si>
    <t>2630539034OLOL</t>
  </si>
  <si>
    <t>LLA2603190023540CLC</t>
  </si>
  <si>
    <t>LLA2603190024858CLC</t>
  </si>
  <si>
    <t>NBE2603190024314CHL</t>
  </si>
  <si>
    <t>NBE2603190024854CHL</t>
  </si>
  <si>
    <t>NBE2603190024821CHL</t>
  </si>
  <si>
    <t>CFC2603190024883CFC</t>
  </si>
  <si>
    <t>CFC2603190024896CFC</t>
  </si>
  <si>
    <t>CFC2603190024154CFC</t>
  </si>
  <si>
    <t>CFC2603190024442CFC</t>
  </si>
  <si>
    <t>LLA2603190024708CLC</t>
  </si>
  <si>
    <t>CFC2603190024935CFC</t>
  </si>
  <si>
    <t>CFC2603190024934CFC</t>
  </si>
  <si>
    <t>LLA2603190025053CLC</t>
  </si>
  <si>
    <t>A10000274220BHS</t>
  </si>
  <si>
    <t>2630538992OLOL</t>
  </si>
  <si>
    <t>2699538882OLOL</t>
  </si>
  <si>
    <t>2630538997OLOL</t>
  </si>
  <si>
    <t>2630538935OLOL</t>
  </si>
  <si>
    <t>2699539060OLOL</t>
  </si>
  <si>
    <t>CFC2603190025058CFC</t>
  </si>
  <si>
    <t>CFC2603190025034CFC</t>
  </si>
  <si>
    <t>NHL2603190023881CHL</t>
  </si>
  <si>
    <t>2699539037OLOL</t>
  </si>
  <si>
    <t>NHL2603190025057CHL</t>
  </si>
  <si>
    <t>NBE2603190024315CHL</t>
  </si>
  <si>
    <t>CFC2603190024283CFC</t>
  </si>
  <si>
    <t>LLA2603190024855CLC</t>
  </si>
  <si>
    <t>CR26002032CMC</t>
  </si>
  <si>
    <t>NBE2603190025107CHL</t>
  </si>
  <si>
    <t>2630539087OLOL</t>
  </si>
  <si>
    <t>2630539085OLOL</t>
  </si>
  <si>
    <t>2630539122OLOL</t>
  </si>
  <si>
    <t>A10000274228BHS</t>
  </si>
  <si>
    <t>2630539136OLOL</t>
  </si>
  <si>
    <t>A10000274229BHS</t>
  </si>
  <si>
    <t>2699539142OLOL</t>
  </si>
  <si>
    <t>380753120260319BBH</t>
  </si>
  <si>
    <t>2630539121OLOL</t>
  </si>
  <si>
    <t>LWP2603190024541CSP</t>
  </si>
  <si>
    <t>NBE2603190025105CHL</t>
  </si>
  <si>
    <t>CFC2603200000150CFC</t>
  </si>
  <si>
    <t>A10000274232BHS</t>
  </si>
  <si>
    <t>2630539196OLOL</t>
  </si>
  <si>
    <t>2699539126OLOL</t>
  </si>
  <si>
    <t>US OB 1ST TRIMESTER WITH TRANSVAGINAL</t>
  </si>
  <si>
    <t>CFC2603200000353CFC</t>
  </si>
  <si>
    <t>LWP2603200000430CSP</t>
  </si>
  <si>
    <t>2630539180OLOL</t>
  </si>
  <si>
    <t>E289356120260320WFH</t>
  </si>
  <si>
    <t>CT CHEST/THORAX W/O CONTRAST</t>
  </si>
  <si>
    <t>LLA2603200000371CLC</t>
  </si>
  <si>
    <t>E289356220260320WFH</t>
  </si>
  <si>
    <t>2630539181OLOL</t>
  </si>
  <si>
    <t>LLA2603200000383CLC</t>
  </si>
  <si>
    <t>2630539182OLOL</t>
  </si>
  <si>
    <t>NBE2603200000469CHL</t>
  </si>
  <si>
    <t>LWP2603200000474CSP</t>
  </si>
  <si>
    <t>2630539183OLOL</t>
  </si>
  <si>
    <t>CFC2603200000338CFC</t>
  </si>
  <si>
    <t>2699539253OLOL</t>
  </si>
  <si>
    <t>NHL2603200000546CHL</t>
  </si>
  <si>
    <t>NHL2603200000595CHL</t>
  </si>
  <si>
    <t>NHL2603200000608CHL</t>
  </si>
  <si>
    <t>LWP2603200000473CSP</t>
  </si>
  <si>
    <t>CFC2603200000646CFC</t>
  </si>
  <si>
    <t>2630539251OLOL</t>
  </si>
  <si>
    <t>R005676332WHOSP</t>
  </si>
  <si>
    <t>LLA2603200000698CLC</t>
  </si>
  <si>
    <t>R005676331WHOSP</t>
  </si>
  <si>
    <t>CFC2603200000742CFC</t>
  </si>
  <si>
    <t>LWP2603200000667CSP</t>
  </si>
  <si>
    <t>LWP2603200000676CSP</t>
  </si>
  <si>
    <t>LWP2603200000863CSP</t>
  </si>
  <si>
    <t>LLA2603200000799CLC</t>
  </si>
  <si>
    <t>CFC2603200000879CFC</t>
  </si>
  <si>
    <t>LWP2603190023886CLC</t>
  </si>
  <si>
    <t>A10000274283BHS</t>
  </si>
  <si>
    <t>A10000274286BHS</t>
  </si>
  <si>
    <t>A10000274284BHS</t>
  </si>
  <si>
    <t>A10000274285BHS</t>
  </si>
  <si>
    <t>R005676359WHOSP</t>
  </si>
  <si>
    <t>LWP2603200001029CSP</t>
  </si>
  <si>
    <t>NHL2603200000592CHL</t>
  </si>
  <si>
    <t>2630539368OLOL</t>
  </si>
  <si>
    <t>2601506605OLOL</t>
  </si>
  <si>
    <t>MRI VENOGRAPHY HEAD W WO CONTRAST</t>
  </si>
  <si>
    <t>R005676364WHOSP</t>
  </si>
  <si>
    <t>2630539341OLOL</t>
  </si>
  <si>
    <t>NHL2603200001104CHL</t>
  </si>
  <si>
    <t>NHL2603200001091CHL</t>
  </si>
  <si>
    <t>2699539426OLOL</t>
  </si>
  <si>
    <t>2630539415OLOL</t>
  </si>
  <si>
    <t>NHL2603200001166CHL</t>
  </si>
  <si>
    <t>2630539414OLOL</t>
  </si>
  <si>
    <t>LLA2603200001186CLC</t>
  </si>
  <si>
    <t>LLA2603200001190CLC</t>
  </si>
  <si>
    <t>2630539492OLOL</t>
  </si>
  <si>
    <t>LLA2603200020271CLC</t>
  </si>
  <si>
    <t>NHL2603200020087CHL</t>
  </si>
  <si>
    <t>NHL2603200020088CHL</t>
  </si>
  <si>
    <t>NHL2603200020277CHL</t>
  </si>
  <si>
    <t>NHL2603200018263CHL</t>
  </si>
  <si>
    <t>CFC2603200019919CFC</t>
  </si>
  <si>
    <t>MPCA135064MPH</t>
  </si>
  <si>
    <t>R005678449WHOSP</t>
  </si>
  <si>
    <t>LLA2603200020511CLC</t>
  </si>
  <si>
    <t>NHL2603200020529CHL</t>
  </si>
  <si>
    <t>CFC2603200018316CFC</t>
  </si>
  <si>
    <t>R005678450WHOSP</t>
  </si>
  <si>
    <t>CFC2603200016099CFC</t>
  </si>
  <si>
    <t>MRI ABDOMEN WO CONTRAST</t>
  </si>
  <si>
    <t>NHL2603200019399CHL</t>
  </si>
  <si>
    <t>NHL2603200020703CHL</t>
  </si>
  <si>
    <t>R005678451WHOSP</t>
  </si>
  <si>
    <t>LLA2603200020700CLC</t>
  </si>
  <si>
    <t>R005678457WHOSP</t>
  </si>
  <si>
    <t>A10000274402BHS</t>
  </si>
  <si>
    <t>NHL2603200018714CHL</t>
  </si>
  <si>
    <t>CFC2603200020743CFC</t>
  </si>
  <si>
    <t>LWP2603200020794CSP</t>
  </si>
  <si>
    <t>LLA2603200020882CLC</t>
  </si>
  <si>
    <t>A10000274398BHS</t>
  </si>
  <si>
    <t>CFC2603200020581CFC</t>
  </si>
  <si>
    <t>LWP2603200020969CSP</t>
  </si>
  <si>
    <t>CFC2603200020580CFC</t>
  </si>
  <si>
    <t>NHL2603200016913CHL</t>
  </si>
  <si>
    <t>CFC2603200020991CFC</t>
  </si>
  <si>
    <t>NHL2603200020644CHL</t>
  </si>
  <si>
    <t>NHL2603200020646CHL</t>
  </si>
  <si>
    <t>CFC2603200020872CFC</t>
  </si>
  <si>
    <t>CFC2603200020889CFC</t>
  </si>
  <si>
    <t>NHL2603200020647CHL</t>
  </si>
  <si>
    <t>CFC2603200020890CFC</t>
  </si>
  <si>
    <t>CFC2603200016865CFC</t>
  </si>
  <si>
    <t>R005678461WHOSP</t>
  </si>
  <si>
    <t>NHL2603200021147CHL</t>
  </si>
  <si>
    <t>NCS2603200021313CCS</t>
  </si>
  <si>
    <t>R005678463WHOSP</t>
  </si>
  <si>
    <t>2699545560OLOL</t>
  </si>
  <si>
    <t>CFC2603200020845CFC</t>
  </si>
  <si>
    <t>CFC2603200021146CFC</t>
  </si>
  <si>
    <t>CFC2603200021173CFC</t>
  </si>
  <si>
    <t>R005678459WHOSP</t>
  </si>
  <si>
    <t>LWP2603200021111CSP</t>
  </si>
  <si>
    <t>LWP2603200021120CSP</t>
  </si>
  <si>
    <t>NHL2603200021361CHL</t>
  </si>
  <si>
    <t>CFC2603200021013CFC</t>
  </si>
  <si>
    <t>2699545610OLOL</t>
  </si>
  <si>
    <t>2630545569OLOL</t>
  </si>
  <si>
    <t>LWP2603200021293CSP</t>
  </si>
  <si>
    <t>CFC2603200020494CFC</t>
  </si>
  <si>
    <t>NHL2603200021518CHL</t>
  </si>
  <si>
    <t>NCS2603200021314CCS</t>
  </si>
  <si>
    <t>LWP2603200021511CSP</t>
  </si>
  <si>
    <t>CFC2603200021325CFC</t>
  </si>
  <si>
    <t>LLA2603200021055CLC</t>
  </si>
  <si>
    <t>A10000274403BHS</t>
  </si>
  <si>
    <t>NHL2603200021252CHL</t>
  </si>
  <si>
    <t>CFC2603200021507CFC</t>
  </si>
  <si>
    <t>CFC2603200021273CFC</t>
  </si>
  <si>
    <t>CFC2603200021451CFC</t>
  </si>
  <si>
    <t>CFC2603200021142CFC</t>
  </si>
  <si>
    <t>2630545570OLOL</t>
  </si>
  <si>
    <t>CT26000721CMC</t>
  </si>
  <si>
    <t>CFC2603200021449CFC</t>
  </si>
  <si>
    <t>NCS2603200020891CCS</t>
  </si>
  <si>
    <t>LWP2603200020858CSP</t>
  </si>
  <si>
    <t>CFC2603200021385CFC</t>
  </si>
  <si>
    <t>R005678465WHOSP</t>
  </si>
  <si>
    <t>2630545646OLOL</t>
  </si>
  <si>
    <t>CT26000722CMC</t>
  </si>
  <si>
    <t>CT26000723CMC</t>
  </si>
  <si>
    <t>CFC2603200021601CFC</t>
  </si>
  <si>
    <t>NCS2603210000056CCS</t>
  </si>
  <si>
    <t>NBE2603210000105CHL</t>
  </si>
  <si>
    <t>2630545591OLOL</t>
  </si>
  <si>
    <t>LWP2603210000031CSP</t>
  </si>
  <si>
    <t>2630545603OLOL</t>
  </si>
  <si>
    <t>2630545604OLOL</t>
  </si>
  <si>
    <t>CFC2603210000163CFC</t>
  </si>
  <si>
    <t>2630545695OLOL</t>
  </si>
  <si>
    <t>2630545696OLOL</t>
  </si>
  <si>
    <t>2699545747OLOL</t>
  </si>
  <si>
    <t>NHL2603200021559CHL</t>
  </si>
  <si>
    <t>CFC2603200021370CFC</t>
  </si>
  <si>
    <t>2699545746OLOL</t>
  </si>
  <si>
    <t>CT ANGIOGRAM HEAD</t>
  </si>
  <si>
    <t>CFC2603200021464CFC</t>
  </si>
  <si>
    <t>LWP2603210000200CSP</t>
  </si>
  <si>
    <t>CFC2603210000164CFC</t>
  </si>
  <si>
    <t>CFC2603210000213CFC</t>
  </si>
  <si>
    <t>R005678466WHOSP</t>
  </si>
  <si>
    <t>2630545743OLOL</t>
  </si>
  <si>
    <t>A10000274407BHS</t>
  </si>
  <si>
    <t>2699545744OLOL</t>
  </si>
  <si>
    <t>2630545758OLOL</t>
  </si>
  <si>
    <t>2630545715OLOL</t>
  </si>
  <si>
    <t>2699545782OLOL</t>
  </si>
  <si>
    <t>NHL2603210000398CHL</t>
  </si>
  <si>
    <t>NHL2603210000563CHL</t>
  </si>
  <si>
    <t>CFC2603210000562CFC</t>
  </si>
  <si>
    <t>2630545846OLOL</t>
  </si>
  <si>
    <t>2630545818OLOL</t>
  </si>
  <si>
    <t>2699545873OLOL</t>
  </si>
  <si>
    <t>MPCA135065MPH</t>
  </si>
  <si>
    <t>NHL2603210000634CHL</t>
  </si>
  <si>
    <t>A10000274408BHS</t>
  </si>
  <si>
    <t>NHL2603210000681CHL</t>
  </si>
  <si>
    <t>CFC2603210000630CFC</t>
  </si>
  <si>
    <t>CFC2603210000631CFC</t>
  </si>
  <si>
    <t>CFC2603200021571CFC</t>
  </si>
  <si>
    <t>CFC2603210000619CFC</t>
  </si>
  <si>
    <t>CFC2603210000699CFC</t>
  </si>
  <si>
    <t>2699545874OLOL</t>
  </si>
  <si>
    <t>2699545925OLOL</t>
  </si>
  <si>
    <t>LLA2603210000726CLC</t>
  </si>
  <si>
    <t>R005678468WHOSP</t>
  </si>
  <si>
    <t>CFC2603210000697CFC</t>
  </si>
  <si>
    <t>LWP2603210000759CSP</t>
  </si>
  <si>
    <t>LLA2603210000730CLC</t>
  </si>
  <si>
    <t>LWP2603210000762CSP</t>
  </si>
  <si>
    <t>A10000274409BHS</t>
  </si>
  <si>
    <t>A10000274410BHS</t>
  </si>
  <si>
    <t>A10000274411BHS</t>
  </si>
  <si>
    <t>CT THORACIC SPINE WO CON</t>
  </si>
  <si>
    <t>2630545952OLOL</t>
  </si>
  <si>
    <t>NHL2603210000828CHL</t>
  </si>
  <si>
    <t>CT KNEE LEFT WO CONTRAST</t>
  </si>
  <si>
    <t>2630545980OLOL</t>
  </si>
  <si>
    <t>CT26000724CMC</t>
  </si>
  <si>
    <t>CT26000729CMC</t>
  </si>
  <si>
    <t>CTA NECK</t>
  </si>
  <si>
    <t>CT26000728CMC</t>
  </si>
  <si>
    <t>CTA HEAD</t>
  </si>
  <si>
    <t>CT26000725CMC</t>
  </si>
  <si>
    <t>2630545916OLOL</t>
  </si>
  <si>
    <t>2699545996OLOL</t>
  </si>
  <si>
    <t>CFC2603210000933CFC</t>
  </si>
  <si>
    <t>R005678470WHOSP</t>
  </si>
  <si>
    <t>R005678469WHOSP</t>
  </si>
  <si>
    <t>R005678472WHOSP</t>
  </si>
  <si>
    <t>CT26000727CMC</t>
  </si>
  <si>
    <t>CT26000726CMC</t>
  </si>
  <si>
    <t>2630545918OLOL</t>
  </si>
  <si>
    <t>CFC2603210007790CFC</t>
  </si>
  <si>
    <t>CFC2603210006928CFC</t>
  </si>
  <si>
    <t>CFC2603210007392CFC</t>
  </si>
  <si>
    <t>CFC2603210008133CFC</t>
  </si>
  <si>
    <t>VAS DPLX LOWER EXT VEIN RIGHT (DVT) (VSC)</t>
  </si>
  <si>
    <t>R005678594WHOSP</t>
  </si>
  <si>
    <t>NHL2603210008368CHL</t>
  </si>
  <si>
    <t>LLA2603210007181CLC</t>
  </si>
  <si>
    <t>LWP2603210008381CSP</t>
  </si>
  <si>
    <t>A10000274486BHS</t>
  </si>
  <si>
    <t>LLA2603210008486CLC</t>
  </si>
  <si>
    <t>LLA2603210007657CLC</t>
  </si>
  <si>
    <t>LLA2603210008657CLC</t>
  </si>
  <si>
    <t>LLA2603210007655CLC</t>
  </si>
  <si>
    <t>LWP2603210008689CSP</t>
  </si>
  <si>
    <t>LWP2603210008549CSP</t>
  </si>
  <si>
    <t>CFC2603210008220CFC</t>
  </si>
  <si>
    <t>CFC2603210008221CFC</t>
  </si>
  <si>
    <t>CFC2603210008219CFC</t>
  </si>
  <si>
    <t>NBE2603210008740CHL</t>
  </si>
  <si>
    <t>R005678593WHOSP</t>
  </si>
  <si>
    <t>CFC2603210007795CFC</t>
  </si>
  <si>
    <t>CFC2603210007002CFC</t>
  </si>
  <si>
    <t>CT LOWER EXTREMITY W/WO CONTRAST LEFT</t>
  </si>
  <si>
    <t>NHL2603210008828CHL</t>
  </si>
  <si>
    <t>NCS2603210008780CCS</t>
  </si>
  <si>
    <t>NHL2603210008822CHL</t>
  </si>
  <si>
    <t>NHL2603210008857CHL</t>
  </si>
  <si>
    <t>LWP2603210008782CSP</t>
  </si>
  <si>
    <t>R005678595WHOSP</t>
  </si>
  <si>
    <t>CFC2603210008566CFC</t>
  </si>
  <si>
    <t>LLA2603210008180CLC</t>
  </si>
  <si>
    <t>LLA2603210008750CLC</t>
  </si>
  <si>
    <t>CFC2603210008505CFC</t>
  </si>
  <si>
    <t>NCS2603210008783CCS</t>
  </si>
  <si>
    <t>NCS2603210008785CCS</t>
  </si>
  <si>
    <t>NCS2603210008784CCS</t>
  </si>
  <si>
    <t>R005678597WHOSP</t>
  </si>
  <si>
    <t>LWP2603210008911CSP</t>
  </si>
  <si>
    <t>CFC2603210007293CFC</t>
  </si>
  <si>
    <t>R005678596WHOSP</t>
  </si>
  <si>
    <t>CFC2603210008839CFC</t>
  </si>
  <si>
    <t>CFC2603210008821CFC</t>
  </si>
  <si>
    <t>CFC2603210008565CFC</t>
  </si>
  <si>
    <t>CFC2603210008840CFC</t>
  </si>
  <si>
    <t>CFC2603210008846CFC</t>
  </si>
  <si>
    <t>CFC2603210008841CFC</t>
  </si>
  <si>
    <t>LLA2603210008756CLC</t>
  </si>
  <si>
    <t>NHL2603210008989CHL</t>
  </si>
  <si>
    <t>NCS2603210008781CCS</t>
  </si>
  <si>
    <t>NHL2603210009082CHL</t>
  </si>
  <si>
    <t>E289360720260321WFH</t>
  </si>
  <si>
    <t>R005678598WHOSP</t>
  </si>
  <si>
    <t>LLA2603210008757CLC</t>
  </si>
  <si>
    <t>LLA2603210009165CLC</t>
  </si>
  <si>
    <t>NHL2603210008974CHL</t>
  </si>
  <si>
    <t>NHL2603210009193CHL</t>
  </si>
  <si>
    <t>NHL2603210009191CHL</t>
  </si>
  <si>
    <t>CFC2603210008850CFC</t>
  </si>
  <si>
    <t>NHL2603210009267CHL</t>
  </si>
  <si>
    <t>A10000274493BHS</t>
  </si>
  <si>
    <t>2699548537OLOL</t>
  </si>
  <si>
    <t>LLA2603210008754CLC</t>
  </si>
  <si>
    <t>LLA2603210008755CLC</t>
  </si>
  <si>
    <t>CFC2603210003466CFC</t>
  </si>
  <si>
    <t>CFC2603210009081CFC</t>
  </si>
  <si>
    <t>LLA2603210009261CLC</t>
  </si>
  <si>
    <t>NHL2603210009279CHL</t>
  </si>
  <si>
    <t>LLA2603210009381CLC</t>
  </si>
  <si>
    <t>2630548610OLOL</t>
  </si>
  <si>
    <t>E289360620260321WFH</t>
  </si>
  <si>
    <t>CFC2603210009385CFC</t>
  </si>
  <si>
    <t>NHL2603210009386CHL</t>
  </si>
  <si>
    <t>2630548632OLOL</t>
  </si>
  <si>
    <t>LLA2603220000034CLC</t>
  </si>
  <si>
    <t>2630548478OLOL</t>
  </si>
  <si>
    <t>A10000274497BHS</t>
  </si>
  <si>
    <t>A10000274498BHS</t>
  </si>
  <si>
    <t>NHL2603210009348CHL</t>
  </si>
  <si>
    <t>A10000274496BHS</t>
  </si>
  <si>
    <t>CT CHEST WO CON</t>
  </si>
  <si>
    <t>A10000274495BHS</t>
  </si>
  <si>
    <t>2630548582OLOL</t>
  </si>
  <si>
    <t>LLA2603210008928CLC</t>
  </si>
  <si>
    <t>CFC2603220000155CFC</t>
  </si>
  <si>
    <t>2630548679OLOL</t>
  </si>
  <si>
    <t>2630548678OLOL</t>
  </si>
  <si>
    <t>NHL2603210009338CHL</t>
  </si>
  <si>
    <t>2630548694OLOL</t>
  </si>
  <si>
    <t>R005678612WHOSP</t>
  </si>
  <si>
    <t>2631548680OLOL</t>
  </si>
  <si>
    <t>LLA2603220000198CLC</t>
  </si>
  <si>
    <t>LLA2603220000193CLC</t>
  </si>
  <si>
    <t>2630548607OLOL</t>
  </si>
  <si>
    <t>2699548683OLOL</t>
  </si>
  <si>
    <t>2630548690OLOL</t>
  </si>
  <si>
    <t>LWP2603220000224CSP</t>
  </si>
  <si>
    <t>2630548722OLOL</t>
  </si>
  <si>
    <t>2630548721OLOL</t>
  </si>
  <si>
    <t>CFC2603220000476CFC</t>
  </si>
  <si>
    <t>CFC2603220000474CFC</t>
  </si>
  <si>
    <t>NBE2603220000499CHL</t>
  </si>
  <si>
    <t>CFC2603220000168CFC</t>
  </si>
  <si>
    <t>2630548780OLOL</t>
  </si>
  <si>
    <t>2630548782OLOL</t>
  </si>
  <si>
    <t>2630548783OLOL</t>
  </si>
  <si>
    <t>2630548781OLOL</t>
  </si>
  <si>
    <t>CFC2603220000540CFC</t>
  </si>
  <si>
    <t>CFC2603220000640CFC</t>
  </si>
  <si>
    <t>2630548828OLOL</t>
  </si>
  <si>
    <t>NHL2603220000655CHL</t>
  </si>
  <si>
    <t>NHL2603220000710CHL</t>
  </si>
  <si>
    <t>R005678613WHOSP</t>
  </si>
  <si>
    <t>2699548776OLOL</t>
  </si>
  <si>
    <t>R005678615WHOSP</t>
  </si>
  <si>
    <t>A10000274508BHS</t>
  </si>
  <si>
    <t>2630548818OLOL</t>
  </si>
  <si>
    <t>2630548789OLOL</t>
  </si>
  <si>
    <t>2630548926OLOL</t>
  </si>
  <si>
    <t>2630548909OLOL</t>
  </si>
  <si>
    <t>A10000274507BHS</t>
  </si>
  <si>
    <t>LWP2603220000873CSP</t>
  </si>
  <si>
    <t>R005678628WHOSP</t>
  </si>
  <si>
    <t>CFC2603220000808CFC</t>
  </si>
  <si>
    <t>CFC2603220000857CFC</t>
  </si>
  <si>
    <t>LWP2603220000853CSP</t>
  </si>
  <si>
    <t>LLA2603220000588CLC</t>
  </si>
  <si>
    <t>R005678627WHOSP</t>
  </si>
  <si>
    <t>NHL2603220000934CHL</t>
  </si>
  <si>
    <t>LWP2603220000954CSP</t>
  </si>
  <si>
    <t>R005678629WHOSP</t>
  </si>
  <si>
    <t>NHL2603220000935CHL</t>
  </si>
  <si>
    <t>2630548930OLOL</t>
  </si>
  <si>
    <t>2630548975OLOL</t>
  </si>
  <si>
    <t>2699548966OLOL</t>
  </si>
  <si>
    <t>A10000274510BHS</t>
  </si>
  <si>
    <t>A10000274511BHS</t>
  </si>
  <si>
    <t>A10000274512BHS</t>
  </si>
  <si>
    <t>R005678634WHOSP</t>
  </si>
  <si>
    <t>R005678633WHOSP</t>
  </si>
  <si>
    <t>R005678632WHOSP</t>
  </si>
  <si>
    <t>R005678631WHOSP</t>
  </si>
  <si>
    <t>R005678630WHOSP</t>
  </si>
  <si>
    <t>NHL2603220001163CHL</t>
  </si>
  <si>
    <t>CFC2603220008228CFC</t>
  </si>
  <si>
    <t>CFC2603220008227CFC</t>
  </si>
  <si>
    <t>CFC2603220008250CFC</t>
  </si>
  <si>
    <t>CFC2603220008222CFC</t>
  </si>
  <si>
    <t>LLA2603220008377CLC</t>
  </si>
  <si>
    <t>LLA2603220008436CLC</t>
  </si>
  <si>
    <t>R005678745WHOSP</t>
  </si>
  <si>
    <t>R005678755WHOSP</t>
  </si>
  <si>
    <t>CFC2603220008287CFC</t>
  </si>
  <si>
    <t>A10000274578BHS</t>
  </si>
  <si>
    <t>CFC2603220008539CFC</t>
  </si>
  <si>
    <t>LLA2603220007188CLC</t>
  </si>
  <si>
    <t>CFC2603220008291CFC</t>
  </si>
  <si>
    <t>NCS2603220008548CCS</t>
  </si>
  <si>
    <t>CFC2603220008462CFC</t>
  </si>
  <si>
    <t>CFC2603220008444CFC</t>
  </si>
  <si>
    <t>CFC2603220008448CFC</t>
  </si>
  <si>
    <t>A10000274580BHS</t>
  </si>
  <si>
    <t>LLA2603220008437CLC</t>
  </si>
  <si>
    <t>CFC2603220008420CFC</t>
  </si>
  <si>
    <t>CFC2603220008418CFC</t>
  </si>
  <si>
    <t>LLA2603220008438CLC</t>
  </si>
  <si>
    <t>CFC2603220008172CFC</t>
  </si>
  <si>
    <t>LWP2603220008597CSP</t>
  </si>
  <si>
    <t>LWP2603220007599CSP</t>
  </si>
  <si>
    <t>LWP2603220008878CSP</t>
  </si>
  <si>
    <t>LWP2603220007539CSP</t>
  </si>
  <si>
    <t>LWP2603220008892CSP</t>
  </si>
  <si>
    <t>LLA2603220008766CLC</t>
  </si>
  <si>
    <t>LWP2603220007997CSP</t>
  </si>
  <si>
    <t>LWP2603220008116CSP</t>
  </si>
  <si>
    <t>LWP2603220008515CSP</t>
  </si>
  <si>
    <t>CFC2603220008819CFC</t>
  </si>
  <si>
    <t>A10000274582BHS</t>
  </si>
  <si>
    <t>CFC2603220008586CFC</t>
  </si>
  <si>
    <t>LLA2603220009036CLC</t>
  </si>
  <si>
    <t>CFC2603220008567CFC</t>
  </si>
  <si>
    <t>LLA2603220008908CLC</t>
  </si>
  <si>
    <t>E289362120260322WFH</t>
  </si>
  <si>
    <t>LLA2603220008768CLC</t>
  </si>
  <si>
    <t>NHL2603220008683CHL</t>
  </si>
  <si>
    <t>LWP2603220008867CSP</t>
  </si>
  <si>
    <t>LWP2603220009098CSP</t>
  </si>
  <si>
    <t>CFC2603220009056CFC</t>
  </si>
  <si>
    <t>LWP2603220009216CSP</t>
  </si>
  <si>
    <t>CFC2603220009121CFC</t>
  </si>
  <si>
    <t>R005678804WHOSP</t>
  </si>
  <si>
    <t>NCS2603220009108CCS</t>
  </si>
  <si>
    <t>CT26000745CMC</t>
  </si>
  <si>
    <t>NHL2603220009186CHL</t>
  </si>
  <si>
    <t>NHL2603220008972CHL</t>
  </si>
  <si>
    <t>CFC2603220008824CFC</t>
  </si>
  <si>
    <t>R005678806WHOSP</t>
  </si>
  <si>
    <t>2630551345OLOL</t>
  </si>
  <si>
    <t>LWP2603220009164CSP</t>
  </si>
  <si>
    <t>CFC2603220009452CFC</t>
  </si>
  <si>
    <t>LWP2603220009458CSP</t>
  </si>
  <si>
    <t>LWP2603220009457CSP</t>
  </si>
  <si>
    <t>2699551396OLOL</t>
  </si>
  <si>
    <t>2699551398OLOL</t>
  </si>
  <si>
    <t>2699551325OLOL</t>
  </si>
  <si>
    <t>NHL2603220009438CHL</t>
  </si>
  <si>
    <t>R005678805WHOSP</t>
  </si>
  <si>
    <t>CFC2603220009528CFC</t>
  </si>
  <si>
    <t>CFC2603220009541CFC</t>
  </si>
  <si>
    <t>2699551400OLOL</t>
  </si>
  <si>
    <t>R005678807WHOSP</t>
  </si>
  <si>
    <t>CFC2603220009585CFC</t>
  </si>
  <si>
    <t>LLA2603220009517CLC</t>
  </si>
  <si>
    <t>CFC2603220009614CFC</t>
  </si>
  <si>
    <t>NHL2603220009582CHL</t>
  </si>
  <si>
    <t>2699551424OLOL</t>
  </si>
  <si>
    <t>2699551455OLOL</t>
  </si>
  <si>
    <t>LWP2603220009611CSP</t>
  </si>
  <si>
    <t>CT ANGIOGRAM UPPER EXTREMITY RIGHT W OR W/ WO CONTRAST</t>
  </si>
  <si>
    <t>2630551444OLOL</t>
  </si>
  <si>
    <t>LWP2603220009156CSP</t>
  </si>
  <si>
    <t>NBE2603230000275CHL</t>
  </si>
  <si>
    <t>R005678809WHOSP</t>
  </si>
  <si>
    <t>R005678810WHOSP</t>
  </si>
  <si>
    <t>CFC2603220009176CFC</t>
  </si>
  <si>
    <t>LWP2603230000299CSP</t>
  </si>
  <si>
    <t>R005678811WHOSP</t>
  </si>
  <si>
    <t>CFC2603230000254CFC</t>
  </si>
  <si>
    <t>NHL2603230000430CHL</t>
  </si>
  <si>
    <t>NHL2603230000232CHL</t>
  </si>
  <si>
    <t>2699551466OLOL</t>
  </si>
  <si>
    <t>NHL2603230000431CHL</t>
  </si>
  <si>
    <t>CFC2603230000306CFC</t>
  </si>
  <si>
    <t>NHL2603230000468CHL</t>
  </si>
  <si>
    <t>NBE2603230000495CHL</t>
  </si>
  <si>
    <t>R005678813WHOSP</t>
  </si>
  <si>
    <t>R005678812WHOSP</t>
  </si>
  <si>
    <t>2630551388OLOL</t>
  </si>
  <si>
    <t>LLA2603230000506CLC</t>
  </si>
  <si>
    <t>2630551633OLOL</t>
  </si>
  <si>
    <t>2630551618OLOL</t>
  </si>
  <si>
    <t>NHL2603230000650CHL</t>
  </si>
  <si>
    <t>LLA2603230000652CLC</t>
  </si>
  <si>
    <t>A10000274633BHS</t>
  </si>
  <si>
    <t>2630551613OLOL</t>
  </si>
  <si>
    <t>CFC2603230000658CFC</t>
  </si>
  <si>
    <t>A10000274635BHS</t>
  </si>
  <si>
    <t>CT LE RT WO CON</t>
  </si>
  <si>
    <t>2630551608OLOL</t>
  </si>
  <si>
    <t>2630551609OLOL</t>
  </si>
  <si>
    <t>R005678817WHOSP</t>
  </si>
  <si>
    <t>2630551607OLOL</t>
  </si>
  <si>
    <t>2630551663OLOL</t>
  </si>
  <si>
    <t>CFC2603230000459CFC</t>
  </si>
  <si>
    <t>2699551656OLOL</t>
  </si>
  <si>
    <t>2699551643OLOL</t>
  </si>
  <si>
    <t>2630551645OLOL</t>
  </si>
  <si>
    <t>2630551667OLOL</t>
  </si>
  <si>
    <t>2630551647OLOL</t>
  </si>
  <si>
    <t>NHL2603230000936CHL</t>
  </si>
  <si>
    <t>2630551648OLOL</t>
  </si>
  <si>
    <t>NHL2603230000973CHL</t>
  </si>
  <si>
    <t>2699551685OLOL</t>
  </si>
  <si>
    <t>2699551726OLOL</t>
  </si>
  <si>
    <t>CFC2603230000932CFC</t>
  </si>
  <si>
    <t>A10000274636BHS</t>
  </si>
  <si>
    <t>CFC2603230000656CFC</t>
  </si>
  <si>
    <t>R005678819WHOSP</t>
  </si>
  <si>
    <t>NHL2603230001059CHL</t>
  </si>
  <si>
    <t>CFC2603230001121CFC</t>
  </si>
  <si>
    <t>CFC2603230001122CFC</t>
  </si>
  <si>
    <t>A10000274638BHS</t>
  </si>
  <si>
    <t>2699551784OLOL</t>
  </si>
  <si>
    <t>CFC2603230001178CFC</t>
  </si>
  <si>
    <t>CFC2603230001119CFC</t>
  </si>
  <si>
    <t>2699551744OLOL</t>
  </si>
  <si>
    <t>CFC2603230022830CFC</t>
  </si>
  <si>
    <t>CFC2603230023975CFC</t>
  </si>
  <si>
    <t>CT26000749CMC</t>
  </si>
  <si>
    <t>R005681361WHOSP</t>
  </si>
  <si>
    <t>NHL2603230024298CHL</t>
  </si>
  <si>
    <t>NBE2603230024949CHL</t>
  </si>
  <si>
    <t>LLA2603230024843CLC</t>
  </si>
  <si>
    <t>NHL2603230024916CHL</t>
  </si>
  <si>
    <t>LLA2603230024894CLC</t>
  </si>
  <si>
    <t>LLA2603230024892CLC</t>
  </si>
  <si>
    <t>CFC2603230023953CFC</t>
  </si>
  <si>
    <t>CFC2603230024265CFC</t>
  </si>
  <si>
    <t>LLA2603230025105CLC</t>
  </si>
  <si>
    <t>LLA2603230025101CLC</t>
  </si>
  <si>
    <t>CFC2603230024266CFC</t>
  </si>
  <si>
    <t>CFC2603230024656CFC</t>
  </si>
  <si>
    <t>LLA2603230024933CLC</t>
  </si>
  <si>
    <t>LLA2603230025097CLC</t>
  </si>
  <si>
    <t>LLA2603230025102CLC</t>
  </si>
  <si>
    <t>LWP2603230025002CSP</t>
  </si>
  <si>
    <t>CFC2603230024136CFC</t>
  </si>
  <si>
    <t>CFC2603230022725CFC</t>
  </si>
  <si>
    <t>R005681363WHOSP</t>
  </si>
  <si>
    <t>R005681368WHOSP</t>
  </si>
  <si>
    <t>CFC2603230025107CFC</t>
  </si>
  <si>
    <t>CFC2603230024938CFC</t>
  </si>
  <si>
    <t>LLA2603230024900CLC</t>
  </si>
  <si>
    <t>CT26000748CMC</t>
  </si>
  <si>
    <t>R005681369WHOSP</t>
  </si>
  <si>
    <t>A10000274781BHS</t>
  </si>
  <si>
    <t>NHL2603230025127CHL</t>
  </si>
  <si>
    <t>NBE2603230025361CHL</t>
  </si>
  <si>
    <t>CFC2603230024297CFC</t>
  </si>
  <si>
    <t>R005681371WHOSP</t>
  </si>
  <si>
    <t>CFC2603230025293CFC</t>
  </si>
  <si>
    <t>NHL2603230025023CHL</t>
  </si>
  <si>
    <t>LLA2603230025346CLC</t>
  </si>
  <si>
    <t>LLA2603230025345CLC</t>
  </si>
  <si>
    <t>NHL2603230025344CHL</t>
  </si>
  <si>
    <t>NHL2603230025347CHL</t>
  </si>
  <si>
    <t>R005681370WHOSP</t>
  </si>
  <si>
    <t>LWP2603230025589CSP</t>
  </si>
  <si>
    <t>CFC2603230025305CFC</t>
  </si>
  <si>
    <t>LWP2603230025330CSP</t>
  </si>
  <si>
    <t>CFC2603230024662CFC</t>
  </si>
  <si>
    <t>E289365620260323WFH</t>
  </si>
  <si>
    <t>R005681372WHOSP</t>
  </si>
  <si>
    <t>CFC2603230025499CFC</t>
  </si>
  <si>
    <t>CFC2603230025502CFC</t>
  </si>
  <si>
    <t>CFC2603230025501CFC</t>
  </si>
  <si>
    <t>LLA2603230025631CLC</t>
  </si>
  <si>
    <t>LLA2603230025593CLC</t>
  </si>
  <si>
    <t>A10000274782BHS</t>
  </si>
  <si>
    <t>LLA2603230024891CLC</t>
  </si>
  <si>
    <t>NHL2603230025600CHL</t>
  </si>
  <si>
    <t>CFC2603230025526CFC</t>
  </si>
  <si>
    <t>LWP2603230025585CSP</t>
  </si>
  <si>
    <t>NHL2603230025484CHL</t>
  </si>
  <si>
    <t>R005681374WHOSP</t>
  </si>
  <si>
    <t>R005681373WHOSP</t>
  </si>
  <si>
    <t>CFC2603230024782CFC</t>
  </si>
  <si>
    <t>CFC2603230025603CFC</t>
  </si>
  <si>
    <t>LLA2603230025700CLC</t>
  </si>
  <si>
    <t>LWP2603230025838CSP</t>
  </si>
  <si>
    <t>LWP2603230025841CSP</t>
  </si>
  <si>
    <t>LWP2603230025842CSP</t>
  </si>
  <si>
    <t>CFC2603230025787CFC</t>
  </si>
  <si>
    <t>NHL2603230025730CHL</t>
  </si>
  <si>
    <t>2630559621OLOL</t>
  </si>
  <si>
    <t>LLA2603230025921CLC</t>
  </si>
  <si>
    <t>NHL2603230025706CHL</t>
  </si>
  <si>
    <t>2630559653OLOL</t>
  </si>
  <si>
    <t>2699559607OLOL</t>
  </si>
  <si>
    <t>2630559619OLOL</t>
  </si>
  <si>
    <t>R005681376WHOSP</t>
  </si>
  <si>
    <t>MPCA135108MPH</t>
  </si>
  <si>
    <t>LLA2603230025949CLC</t>
  </si>
  <si>
    <t>LLA2603230025951CLC</t>
  </si>
  <si>
    <t>LLA2603230025948CLC</t>
  </si>
  <si>
    <t>CFC2603230025922CFC</t>
  </si>
  <si>
    <t>NHL2603230025918CHL</t>
  </si>
  <si>
    <t>2630559618OLOL</t>
  </si>
  <si>
    <t>LLA2603230026055CLC</t>
  </si>
  <si>
    <t>CFC2603230026076CFC</t>
  </si>
  <si>
    <t>R005681377WHOSP</t>
  </si>
  <si>
    <t>LLA2603230026091CLC</t>
  </si>
  <si>
    <t>R005681379WHOSP</t>
  </si>
  <si>
    <t>A10000274784BHS</t>
  </si>
  <si>
    <t>R005681378WHOSP</t>
  </si>
  <si>
    <t>2630559747OLOL</t>
  </si>
  <si>
    <t>NHL2603230025619CHL</t>
  </si>
  <si>
    <t>NHL2603230025931CHL</t>
  </si>
  <si>
    <t>CFC2603230026074CFC</t>
  </si>
  <si>
    <t>2699559652OLOL</t>
  </si>
  <si>
    <t>CFC2603230026075CFC</t>
  </si>
  <si>
    <t>LLA2603240000289CLC</t>
  </si>
  <si>
    <t>2630559817OLOL</t>
  </si>
  <si>
    <t>LWP2603230025937CSP</t>
  </si>
  <si>
    <t>LWP2603230025939CSP</t>
  </si>
  <si>
    <t>2699559780OLOL</t>
  </si>
  <si>
    <t>LWP2603230025938CSP</t>
  </si>
  <si>
    <t>R005681380WHOSP</t>
  </si>
  <si>
    <t>NHL2603240000309CHL</t>
  </si>
  <si>
    <t>A10000274785BHS</t>
  </si>
  <si>
    <t>CFC2603240000338CFC</t>
  </si>
  <si>
    <t>2699559778OLOL</t>
  </si>
  <si>
    <t>2630559783OLOL</t>
  </si>
  <si>
    <t>CFC2603230026061CFC</t>
  </si>
  <si>
    <t>NHL2603240000394CHL</t>
  </si>
  <si>
    <t>2699559716OLOL</t>
  </si>
  <si>
    <t>CFC2603240000301CFC</t>
  </si>
  <si>
    <t>NHL2603240000355CHL</t>
  </si>
  <si>
    <t>LLA2603240000442CLC</t>
  </si>
  <si>
    <t>2699559779OLOL</t>
  </si>
  <si>
    <t>CFC2603240000420CFC</t>
  </si>
  <si>
    <t>CFC2603240000433CFC</t>
  </si>
  <si>
    <t>R005681402WHOSP</t>
  </si>
  <si>
    <t>US PELVIS TRANSVAGINAL</t>
  </si>
  <si>
    <t>R005681403WHOSP</t>
  </si>
  <si>
    <t>2630559865OLOL</t>
  </si>
  <si>
    <t>2630559862OLOL</t>
  </si>
  <si>
    <t>CFC2603240000329CFC</t>
  </si>
  <si>
    <t>A10000274841BHS</t>
  </si>
  <si>
    <t>2630559925OLOL</t>
  </si>
  <si>
    <t>CFC2603240000398CFC</t>
  </si>
  <si>
    <t>LLA2603240000505CLC</t>
  </si>
  <si>
    <t>LWP2603240000525CSP</t>
  </si>
  <si>
    <t>CFC2603240000445CFC</t>
  </si>
  <si>
    <t>2699559956OLOL</t>
  </si>
  <si>
    <t>2630559889OLOL</t>
  </si>
  <si>
    <t>2630559908OLOL</t>
  </si>
  <si>
    <t>CFC2603240000440CFC</t>
  </si>
  <si>
    <t>CFC2603240000434CFC</t>
  </si>
  <si>
    <t>2699559911OLOL</t>
  </si>
  <si>
    <t>NHL2603240000518CHL</t>
  </si>
  <si>
    <t>2699559990OLOL</t>
  </si>
  <si>
    <t>2630559998OLOL</t>
  </si>
  <si>
    <t>LLA2603240000866CLC</t>
  </si>
  <si>
    <t>CFC2603240000940CFC</t>
  </si>
  <si>
    <t>2630560064OLOL</t>
  </si>
  <si>
    <t>A10000274850BHS</t>
  </si>
  <si>
    <t>NHL2603240000984CHL</t>
  </si>
  <si>
    <t>A10000274853BHS</t>
  </si>
  <si>
    <t>NHL2603240000955CHL</t>
  </si>
  <si>
    <t>LWP2603240001189CSP</t>
  </si>
  <si>
    <t>NHL2603240001079CHL</t>
  </si>
  <si>
    <t>NHL2603240001174CHL</t>
  </si>
  <si>
    <t>R005681410WHOSP</t>
  </si>
  <si>
    <t>LWP2603240001068CSP</t>
  </si>
  <si>
    <t>CFC2603240001209CFC</t>
  </si>
  <si>
    <t>LWP2603240024322CSP</t>
  </si>
  <si>
    <t>LWP2603240024500CSP</t>
  </si>
  <si>
    <t>NHL2603240023241CHL</t>
  </si>
  <si>
    <t>LWP2603240023390CSP</t>
  </si>
  <si>
    <t>NHL2603240024372CHL</t>
  </si>
  <si>
    <t>NHL2603240024136CHL</t>
  </si>
  <si>
    <t>NHL2603240024172CHL</t>
  </si>
  <si>
    <t>R005684700WHOSP</t>
  </si>
  <si>
    <t>LWP2603240023822CSP</t>
  </si>
  <si>
    <t>CFC2603240024525CFC</t>
  </si>
  <si>
    <t>NHL2603240024368CHL</t>
  </si>
  <si>
    <t>NHL2603240023667CHL</t>
  </si>
  <si>
    <t>NHL2603240023869CHL</t>
  </si>
  <si>
    <t>LWP2603240024647CSP</t>
  </si>
  <si>
    <t>LLA2603240024423CLC</t>
  </si>
  <si>
    <t>NBE2603240024524CHL</t>
  </si>
  <si>
    <t>LWP2603240024648CSP</t>
  </si>
  <si>
    <t>LWP2603240024649CSP</t>
  </si>
  <si>
    <t>NBE2603240024523CHL</t>
  </si>
  <si>
    <t>CFC2603240024565CFC</t>
  </si>
  <si>
    <t>CFC2603240023770CFC</t>
  </si>
  <si>
    <t>LWP2603240024673CSP</t>
  </si>
  <si>
    <t>CFC2603240023772CFC</t>
  </si>
  <si>
    <t>CFC2603240023958CFC</t>
  </si>
  <si>
    <t>NBE2603240024511CHL</t>
  </si>
  <si>
    <t>CFC2603240024074CFC</t>
  </si>
  <si>
    <t>CFC2603240024073CFC</t>
  </si>
  <si>
    <t>CFC2603240024071CFC</t>
  </si>
  <si>
    <t>A10000274992BHS</t>
  </si>
  <si>
    <t>A10000274991BHS</t>
  </si>
  <si>
    <t>CFC2603240024399CFC</t>
  </si>
  <si>
    <t>CFC2603240024267CFC</t>
  </si>
  <si>
    <t>CT26000757CMC</t>
  </si>
  <si>
    <t>CFC2603240024854CFC</t>
  </si>
  <si>
    <t>CFC2603240021964CFC</t>
  </si>
  <si>
    <t>NHL2603240024738CHL</t>
  </si>
  <si>
    <t>NHL2603240024490CHL</t>
  </si>
  <si>
    <t>CFC2603240024862CFC</t>
  </si>
  <si>
    <t>CT26000758CMC</t>
  </si>
  <si>
    <t>CT26000759CMC</t>
  </si>
  <si>
    <t>E289369120260324WFH</t>
  </si>
  <si>
    <t>CFC2603240024562CFC</t>
  </si>
  <si>
    <t>NCS2603240024945CCS</t>
  </si>
  <si>
    <t>NCS2603240025070CCS</t>
  </si>
  <si>
    <t>CFC2603240024425CFC</t>
  </si>
  <si>
    <t>CFC2603240024424CFC</t>
  </si>
  <si>
    <t>CFC2603240025003CFC</t>
  </si>
  <si>
    <t>380779120260324BBH</t>
  </si>
  <si>
    <t>LLA2603240024849CLC</t>
  </si>
  <si>
    <t>CFC2603240024749CFC</t>
  </si>
  <si>
    <t>CFC2603240025156CFC</t>
  </si>
  <si>
    <t>CFC2603240024907CFC</t>
  </si>
  <si>
    <t>NBE2603240025106CHL</t>
  </si>
  <si>
    <t>E289369220260324WFH</t>
  </si>
  <si>
    <t>2630567511OLOL</t>
  </si>
  <si>
    <t>2630567512OLOL</t>
  </si>
  <si>
    <t>NHL2603240025242CHL</t>
  </si>
  <si>
    <t>NHL2603240025243CHL</t>
  </si>
  <si>
    <t>2699567567OLOL</t>
  </si>
  <si>
    <t>CFC2603240025149CFC</t>
  </si>
  <si>
    <t>2630567603OLOL</t>
  </si>
  <si>
    <t>CFC2603240025456CFC</t>
  </si>
  <si>
    <t>2630567503OLOL</t>
  </si>
  <si>
    <t>2699567568OLOL</t>
  </si>
  <si>
    <t>NHL2603240025470CHL</t>
  </si>
  <si>
    <t>LWP2603240025500CSP</t>
  </si>
  <si>
    <t>CFC2603240024558CFC</t>
  </si>
  <si>
    <t>2630567510OLOL</t>
  </si>
  <si>
    <t>CT26000760CMC</t>
  </si>
  <si>
    <t>CT26000761CMC</t>
  </si>
  <si>
    <t>CFC2603240025458CFC</t>
  </si>
  <si>
    <t>NHL2603240025512CHL</t>
  </si>
  <si>
    <t>2699567630OLOL</t>
  </si>
  <si>
    <t>NHL2603240025508CHL</t>
  </si>
  <si>
    <t>CFC2603240025562CFC</t>
  </si>
  <si>
    <t>2699567580OLOL</t>
  </si>
  <si>
    <t>LWP2603250000341CSP</t>
  </si>
  <si>
    <t>A10000274993BHS</t>
  </si>
  <si>
    <t>2699567685OLOL</t>
  </si>
  <si>
    <t>E289369420260324WFH</t>
  </si>
  <si>
    <t>CT MAXILLOFACIAL AREA WITHOUT CONTRAST</t>
  </si>
  <si>
    <t>A10000275048BHS</t>
  </si>
  <si>
    <t>CT UE LT WO CON</t>
  </si>
  <si>
    <t>NHL2603250000248CHL</t>
  </si>
  <si>
    <t>2630567502OLOL</t>
  </si>
  <si>
    <t>LWP2603240025408CSP</t>
  </si>
  <si>
    <t>CFC2603240025473CFC</t>
  </si>
  <si>
    <t>2699567629OLOL</t>
  </si>
  <si>
    <t>2630567742OLOL</t>
  </si>
  <si>
    <t>2699567633OLOL</t>
  </si>
  <si>
    <t>CT CHEST/ABD/PELVIS WO CONTRAST</t>
  </si>
  <si>
    <t>CFC2603250000400CFC</t>
  </si>
  <si>
    <t>2630567743OLOL</t>
  </si>
  <si>
    <t>2630567744OLOL</t>
  </si>
  <si>
    <t>2699567752OLOL</t>
  </si>
  <si>
    <t>2630567760OLOL</t>
  </si>
  <si>
    <t>LLA2603250000625CLC</t>
  </si>
  <si>
    <t>CFC2603250000620CFC</t>
  </si>
  <si>
    <t>2699567745OLOL</t>
  </si>
  <si>
    <t>CFC2603250000642CFC</t>
  </si>
  <si>
    <t>CFC2603250000641CFC</t>
  </si>
  <si>
    <t>CFC2603250000643CFC</t>
  </si>
  <si>
    <t>CFC2603250000614CFC</t>
  </si>
  <si>
    <t>2630567706OLOL</t>
  </si>
  <si>
    <t>2630567806OLOL</t>
  </si>
  <si>
    <t>NHL2603250000724CHL</t>
  </si>
  <si>
    <t>2630567820OLOL</t>
  </si>
  <si>
    <t>2630567791OLOL</t>
  </si>
  <si>
    <t>R005684707WHOSP</t>
  </si>
  <si>
    <t>CFC2603250000399CFC</t>
  </si>
  <si>
    <t>CFC2603250000630CFC</t>
  </si>
  <si>
    <t>CFC2603250000613CFC</t>
  </si>
  <si>
    <t>CFC2603250000781CFC</t>
  </si>
  <si>
    <t>2630567829OLOL</t>
  </si>
  <si>
    <t>CFC2603250000782CFC</t>
  </si>
  <si>
    <t>CFC2603250000513CFC</t>
  </si>
  <si>
    <t>CFC2603250000845CFC</t>
  </si>
  <si>
    <t>CFC2603250000611CFC</t>
  </si>
  <si>
    <t>CFC2603240025150CFC</t>
  </si>
  <si>
    <t>CFC2603250000846CFC</t>
  </si>
  <si>
    <t>CFC2603250000713CFC</t>
  </si>
  <si>
    <t>R005684708WHOSP</t>
  </si>
  <si>
    <t>CFC2603240025503CFC</t>
  </si>
  <si>
    <t>LLA2603250001126CLC</t>
  </si>
  <si>
    <t>2630567895OLOL</t>
  </si>
  <si>
    <t>2630567863OLOL</t>
  </si>
  <si>
    <t>CFC2603250001121CFC</t>
  </si>
  <si>
    <t>NHL2603250001137CHL</t>
  </si>
  <si>
    <t>CFC2603250001174CFC</t>
  </si>
  <si>
    <t>NHL2603250001197CHL</t>
  </si>
  <si>
    <t>NBE2603250001198CHL</t>
  </si>
  <si>
    <t>2699567979OLOL</t>
  </si>
  <si>
    <t>CFC2603250001122CFC</t>
  </si>
  <si>
    <t>CFC2603250001237CFC</t>
  </si>
  <si>
    <t>CFC2603250001266CFC</t>
  </si>
  <si>
    <t>NHL2603250000968CHL</t>
  </si>
  <si>
    <t>NHL2603250001357CHL</t>
  </si>
  <si>
    <t>LLA2603250024767CLC</t>
  </si>
  <si>
    <t>R005687358WHOSP</t>
  </si>
  <si>
    <t>CFC2603250023607CFC</t>
  </si>
  <si>
    <t>LLA2603250024828CLC</t>
  </si>
  <si>
    <t>LWP2603250024414CSP</t>
  </si>
  <si>
    <t>LLA2603250024830CLC</t>
  </si>
  <si>
    <t>CFC2603250022991CFC</t>
  </si>
  <si>
    <t>CFC2603250024424CFC</t>
  </si>
  <si>
    <t>CFC2603250024606CFC</t>
  </si>
  <si>
    <t>CFC2603250024110CFC</t>
  </si>
  <si>
    <t>R005687367WHOSP</t>
  </si>
  <si>
    <t>CFC2603250024109CFC</t>
  </si>
  <si>
    <t>CFC2603250024972CFC</t>
  </si>
  <si>
    <t>A10000275130BHS</t>
  </si>
  <si>
    <t>A10000275131BHS</t>
  </si>
  <si>
    <t>R005687368WHOSP</t>
  </si>
  <si>
    <t>LLA2603250024768CLC</t>
  </si>
  <si>
    <t>LLA2603250024769CLC</t>
  </si>
  <si>
    <t>CFC2603250024495CFC</t>
  </si>
  <si>
    <t>NHL2603250024956CHL</t>
  </si>
  <si>
    <t>NHL2603250024918CHL</t>
  </si>
  <si>
    <t>NHL2603250024884CHL</t>
  </si>
  <si>
    <t>A10000275146BHS</t>
  </si>
  <si>
    <t>R005687370WHOSP</t>
  </si>
  <si>
    <t>CFC2603250021938CFC</t>
  </si>
  <si>
    <t>R005687369WHOSP</t>
  </si>
  <si>
    <t>CFC2603250024407CFC</t>
  </si>
  <si>
    <t>CFC2603250024822CFC</t>
  </si>
  <si>
    <t>CFC2603250024816CFC</t>
  </si>
  <si>
    <t>LWP2603250025284CSP</t>
  </si>
  <si>
    <t>NHL2603250025342CHL</t>
  </si>
  <si>
    <t>CFC2603250024589CFC</t>
  </si>
  <si>
    <t>LWP2603250025288CSP</t>
  </si>
  <si>
    <t>LWP2603250025289CSP</t>
  </si>
  <si>
    <t>LWP2603250025143CSP</t>
  </si>
  <si>
    <t>LLA2603250025269CLC</t>
  </si>
  <si>
    <t>R005687371WHOSP</t>
  </si>
  <si>
    <t>CFC2603250025031CFC</t>
  </si>
  <si>
    <t>CFC2603250024591CFC</t>
  </si>
  <si>
    <t>CFC2603250025034CFC</t>
  </si>
  <si>
    <t>NBE2603250025509CHL</t>
  </si>
  <si>
    <t>CT FOOT RIGHT W CONTRAST</t>
  </si>
  <si>
    <t>NHL2603250025609CHL</t>
  </si>
  <si>
    <t>R005687372WHOSP</t>
  </si>
  <si>
    <t>CFC2603250025430CFC</t>
  </si>
  <si>
    <t>NBE2603250025473CHL</t>
  </si>
  <si>
    <t>NBE2603250025732CHL</t>
  </si>
  <si>
    <t>CFC2603250025697CFC</t>
  </si>
  <si>
    <t>NBE2603250025730CHL</t>
  </si>
  <si>
    <t>LLA2603250024106CLC</t>
  </si>
  <si>
    <t>NHL2603250024255CHL</t>
  </si>
  <si>
    <t>NHL2603250024885CHL</t>
  </si>
  <si>
    <t>NBE2603250025699CHL</t>
  </si>
  <si>
    <t>NBE2603250025813CHL</t>
  </si>
  <si>
    <t>NHL2603250024886CHL</t>
  </si>
  <si>
    <t>NHL2603250025340CHL</t>
  </si>
  <si>
    <t>380784520260325BBH</t>
  </si>
  <si>
    <t>CHEST 2 VIEWS</t>
  </si>
  <si>
    <t>LLA2603250025428CLC</t>
  </si>
  <si>
    <t>2699575723OLOL</t>
  </si>
  <si>
    <t>CFC2603250025817CFC</t>
  </si>
  <si>
    <t>NBE2603250025344CHL</t>
  </si>
  <si>
    <t>LLA2603250025607CLC</t>
  </si>
  <si>
    <t>LLA2603250025530CLC</t>
  </si>
  <si>
    <t>CFC2603250025791CFC</t>
  </si>
  <si>
    <t>2630575810OLOL</t>
  </si>
  <si>
    <t>2630575790OLOL</t>
  </si>
  <si>
    <t>LLA2603250025896CLC</t>
  </si>
  <si>
    <t>R005687374WHOSP</t>
  </si>
  <si>
    <t>A10000275149BHS</t>
  </si>
  <si>
    <t>NHL2603250025336CHL</t>
  </si>
  <si>
    <t>2699575809OLOL</t>
  </si>
  <si>
    <t>R005687375WHOSP</t>
  </si>
  <si>
    <t>NHL2603250025948CHL</t>
  </si>
  <si>
    <t>CFC2603250025343CFC</t>
  </si>
  <si>
    <t>CFC2603250025614CFC</t>
  </si>
  <si>
    <t>2699575816OLOL</t>
  </si>
  <si>
    <t>2699575808OLOL</t>
  </si>
  <si>
    <t>R005687376WHOSP</t>
  </si>
  <si>
    <t>F260326003324569</t>
  </si>
  <si>
    <t>KIDNEY STONE</t>
  </si>
  <si>
    <t>CFC2603260000312CFC</t>
  </si>
  <si>
    <t>2699575859OLOL</t>
  </si>
  <si>
    <t>2630575851OLOL</t>
  </si>
  <si>
    <t>2699575861OLOL</t>
  </si>
  <si>
    <t>CFC2603250025945CFC</t>
  </si>
  <si>
    <t>NCS2603260000449CCS</t>
  </si>
  <si>
    <t>F260326012018854</t>
  </si>
  <si>
    <t>CT ABDOMEN/PELVIS WITH</t>
  </si>
  <si>
    <t>A10000275156BHS</t>
  </si>
  <si>
    <t>2699575834OLOL</t>
  </si>
  <si>
    <t>CFC2603250024427CFC</t>
  </si>
  <si>
    <t>LWP2603260000620CSP</t>
  </si>
  <si>
    <t>LWP2603260000621CSP</t>
  </si>
  <si>
    <t>LWP2603260000622CSP</t>
  </si>
  <si>
    <t>CFC2603260000517CFC</t>
  </si>
  <si>
    <t>LWP2603260000643CSP</t>
  </si>
  <si>
    <t>LLA2603260000661CLC</t>
  </si>
  <si>
    <t>CFC2603260000563CFC</t>
  </si>
  <si>
    <t>NHL2603260000653CHL</t>
  </si>
  <si>
    <t>NHL2603260000695CHL</t>
  </si>
  <si>
    <t>NHL2603260000684CHL</t>
  </si>
  <si>
    <t>CFC2603260000671CFC</t>
  </si>
  <si>
    <t>2630575999OLOL</t>
  </si>
  <si>
    <t>2699575987OLOL</t>
  </si>
  <si>
    <t>2630575956OLOL</t>
  </si>
  <si>
    <t>NCS2603260000697CCS</t>
  </si>
  <si>
    <t>NCS2603260000700CCS</t>
  </si>
  <si>
    <t>R005687386WHOSP</t>
  </si>
  <si>
    <t>CFC2603260000647CFC</t>
  </si>
  <si>
    <t>2630575953OLOL</t>
  </si>
  <si>
    <t>CFC2603260000701CFC</t>
  </si>
  <si>
    <t>LWP2603260000745CSP</t>
  </si>
  <si>
    <t>LWP2603260000746CSP</t>
  </si>
  <si>
    <t>A10000275199BHS</t>
  </si>
  <si>
    <t>R005687387WHOSP</t>
  </si>
  <si>
    <t>CFC2603260000876CFC</t>
  </si>
  <si>
    <t>NBE2603260000878CHL</t>
  </si>
  <si>
    <t>NBE2603260000879CHL</t>
  </si>
  <si>
    <t>A10000275201BHS</t>
  </si>
  <si>
    <t>NHL2603260000954CHL</t>
  </si>
  <si>
    <t>CFC2603260000806CFC</t>
  </si>
  <si>
    <t>CFC2603260000742CFC</t>
  </si>
  <si>
    <t>CFC2603260000945CFC</t>
  </si>
  <si>
    <t>2630576050OLOL</t>
  </si>
  <si>
    <t>A10000275152BHS</t>
  </si>
  <si>
    <t>CFC2603260000985CFC</t>
  </si>
  <si>
    <t>R005687388WHOSP</t>
  </si>
  <si>
    <t>NHL2603260001041CHL</t>
  </si>
  <si>
    <t>NHL2603260001042CHL</t>
  </si>
  <si>
    <t>LWP2603260001016CSP</t>
  </si>
  <si>
    <t>2699576104OLOL</t>
  </si>
  <si>
    <t>A10000275203BHS</t>
  </si>
  <si>
    <t>A10000275202BHS</t>
  </si>
  <si>
    <t>LWP2603260001098CSP</t>
  </si>
  <si>
    <t>CFC2603260001083CFC</t>
  </si>
  <si>
    <t>CFC2603260001094CFC</t>
  </si>
  <si>
    <t>2699576135OLOL</t>
  </si>
  <si>
    <t>NHL2603260001116CHL</t>
  </si>
  <si>
    <t>2630576023OLOL</t>
  </si>
  <si>
    <t>2630576167OLOL</t>
  </si>
  <si>
    <t>LWP2603260001325CSP</t>
  </si>
  <si>
    <t>LWP2603260001327CSP</t>
  </si>
  <si>
    <t>NBE2603260001376CHL</t>
  </si>
  <si>
    <t>CFC2603260001380CFC</t>
  </si>
  <si>
    <t>CFC2603260001413CFC</t>
  </si>
  <si>
    <t>LWP2603260001004CSP</t>
  </si>
  <si>
    <t>LLA2603260024434CLC</t>
  </si>
  <si>
    <t>A10000275339BHS</t>
  </si>
  <si>
    <t>R005689803WHOSP</t>
  </si>
  <si>
    <t>A10000275338BHS</t>
  </si>
  <si>
    <t>US OB &gt;= 14 WK FETUS ADD GEST</t>
  </si>
  <si>
    <t>E289377020260326WFH</t>
  </si>
  <si>
    <t>E289377120260326WFH</t>
  </si>
  <si>
    <t>NHL2603260024562CHL</t>
  </si>
  <si>
    <t>NHL2603260024459CHL</t>
  </si>
  <si>
    <t>NHL2603260023857CHL</t>
  </si>
  <si>
    <t>NHL2603260024038CHL</t>
  </si>
  <si>
    <t>CFC2603260024454CFC</t>
  </si>
  <si>
    <t>R005689828WHOSP</t>
  </si>
  <si>
    <t>CFC2603260024404CFC</t>
  </si>
  <si>
    <t>380790920260326BBH</t>
  </si>
  <si>
    <t>CT PELVIS W AND WO</t>
  </si>
  <si>
    <t>380790820260326BBH</t>
  </si>
  <si>
    <t>LWP2603260024824CSP</t>
  </si>
  <si>
    <t>CFC2603260024568CFC</t>
  </si>
  <si>
    <t>R005689805WHOSP</t>
  </si>
  <si>
    <t>CFC2603260024193CFC</t>
  </si>
  <si>
    <t>LWP2603260024553CSP</t>
  </si>
  <si>
    <t>CFC2603260024613CFC</t>
  </si>
  <si>
    <t>NBE2603260024546CHL</t>
  </si>
  <si>
    <t>CFC2603260024923CFC</t>
  </si>
  <si>
    <t>NHL2603260024813CHL</t>
  </si>
  <si>
    <t>LWP2603260024907CSP</t>
  </si>
  <si>
    <t>CFC2603260024606CFC</t>
  </si>
  <si>
    <t>CFC2603260024607CFC</t>
  </si>
  <si>
    <t>CFC2603260024608CFC</t>
  </si>
  <si>
    <t>A10000275341BHS</t>
  </si>
  <si>
    <t>CFC2603260024797CFC</t>
  </si>
  <si>
    <t>CT ANKLE RIGHT WO CONTRAST</t>
  </si>
  <si>
    <t>CFC2603260024800CFC</t>
  </si>
  <si>
    <t>CT FOOT RIGHT WO CONTRAST</t>
  </si>
  <si>
    <t>LLA2603260025036CLC</t>
  </si>
  <si>
    <t>NBE2603260024945CHL</t>
  </si>
  <si>
    <t>CT ABD/PELVIS W W/O IV ONLY</t>
  </si>
  <si>
    <t>NHL2603260025108CHL</t>
  </si>
  <si>
    <t>CFC2603260024855CFC</t>
  </si>
  <si>
    <t>CFC2603260024850CFC</t>
  </si>
  <si>
    <t>NHL2603260024066CHL</t>
  </si>
  <si>
    <t>NHL2603260025265CHL</t>
  </si>
  <si>
    <t>LLA2603260025037CLC</t>
  </si>
  <si>
    <t>R005689831WHOSP</t>
  </si>
  <si>
    <t>NHL2603260024877CHL</t>
  </si>
  <si>
    <t>CFC2603260024994CFC</t>
  </si>
  <si>
    <t>LWP2603260025270CSP</t>
  </si>
  <si>
    <t>A10000275347BHS</t>
  </si>
  <si>
    <t>NHL2603260025177CHL</t>
  </si>
  <si>
    <t>LWP2603260025269CSP</t>
  </si>
  <si>
    <t>R005689830WHOSP</t>
  </si>
  <si>
    <t>CFC2603260025241CFC</t>
  </si>
  <si>
    <t>CFC2603260025133CFC</t>
  </si>
  <si>
    <t>LLA2603260025470CLC</t>
  </si>
  <si>
    <t>2630583613OLOL</t>
  </si>
  <si>
    <t>CFC2603260025238CFC</t>
  </si>
  <si>
    <t>LWP2603260025195CSP</t>
  </si>
  <si>
    <t>R005689832WHOSP</t>
  </si>
  <si>
    <t>NHL2603260025505CHL</t>
  </si>
  <si>
    <t>LLA2603260025605CLC</t>
  </si>
  <si>
    <t>LWP2603260025704CSP</t>
  </si>
  <si>
    <t>LWP2603260025707CSP</t>
  </si>
  <si>
    <t>LWP2603260025527CSP</t>
  </si>
  <si>
    <t>LWP2603260025526CSP</t>
  </si>
  <si>
    <t>LLA2603260025606CLC</t>
  </si>
  <si>
    <t>R005689833WHOSP</t>
  </si>
  <si>
    <t>2630583700OLOL</t>
  </si>
  <si>
    <t>2630583634OLOL</t>
  </si>
  <si>
    <t>2630583719OLOL</t>
  </si>
  <si>
    <t>2699583627OLOL</t>
  </si>
  <si>
    <t>2699583656OLOL</t>
  </si>
  <si>
    <t>A10000275350BHS</t>
  </si>
  <si>
    <t>2699583706OLOL</t>
  </si>
  <si>
    <t>2699583705OLOL</t>
  </si>
  <si>
    <t>2630583639OLOL</t>
  </si>
  <si>
    <t>CFC2603260025688CFC</t>
  </si>
  <si>
    <t>2699583626OLOL</t>
  </si>
  <si>
    <t>2630583636OLOL</t>
  </si>
  <si>
    <t>CFC2603260025766CFC</t>
  </si>
  <si>
    <t>CFC2603260025740CFC</t>
  </si>
  <si>
    <t>2699583745OLOL</t>
  </si>
  <si>
    <t>CFC2603260025457CFC</t>
  </si>
  <si>
    <t>2630583805OLOL</t>
  </si>
  <si>
    <t>LWP2603260024993CSP</t>
  </si>
  <si>
    <t>NHL2603260025262CHL</t>
  </si>
  <si>
    <t>LLA2603260024550CLC</t>
  </si>
  <si>
    <t>NBE2603270000238CHL</t>
  </si>
  <si>
    <t>LWP2603260025928CSP</t>
  </si>
  <si>
    <t>2630583816OLOL</t>
  </si>
  <si>
    <t>2630583806OLOL</t>
  </si>
  <si>
    <t>CFC2603270000222CFC</t>
  </si>
  <si>
    <t>2630583635OLOL</t>
  </si>
  <si>
    <t>CFC2603260025848CFC</t>
  </si>
  <si>
    <t>2699583832OLOL</t>
  </si>
  <si>
    <t>2699583833OLOL</t>
  </si>
  <si>
    <t>2630583752OLOL</t>
  </si>
  <si>
    <t>A10000275382BHS</t>
  </si>
  <si>
    <t>R005689838WHOSP</t>
  </si>
  <si>
    <t>NBE2603260024122CHL</t>
  </si>
  <si>
    <t>2630583828OLOL</t>
  </si>
  <si>
    <t>NBE2603270000237CHL</t>
  </si>
  <si>
    <t>LWP2603270000392CSP</t>
  </si>
  <si>
    <t>NHL2603270000407CHL</t>
  </si>
  <si>
    <t>CFC2603270000333CFC</t>
  </si>
  <si>
    <t>2630583875OLOL</t>
  </si>
  <si>
    <t>CFC2603270000310CFC</t>
  </si>
  <si>
    <t>CFC2603260025739CFC</t>
  </si>
  <si>
    <t>CFC2603270000320CFC</t>
  </si>
  <si>
    <t>CFC2603270000532CFC</t>
  </si>
  <si>
    <t>LWP2603270000562CSP</t>
  </si>
  <si>
    <t>2699583939OLOL</t>
  </si>
  <si>
    <t>CFC2603260025737CFC</t>
  </si>
  <si>
    <t>LWP2603270000452CSP</t>
  </si>
  <si>
    <t>LWP2603260025646CSP</t>
  </si>
  <si>
    <t>NHL2603270000450CHL</t>
  </si>
  <si>
    <t>2699583941OLOL</t>
  </si>
  <si>
    <t>2699583940OLOL</t>
  </si>
  <si>
    <t>NBE2603270000527CHL</t>
  </si>
  <si>
    <t>LWP2603270000711CSP</t>
  </si>
  <si>
    <t>2699583976OLOL</t>
  </si>
  <si>
    <t>NBE2603270000731CHL</t>
  </si>
  <si>
    <t>2630583910OLOL</t>
  </si>
  <si>
    <t>NHL2603270000730CHL</t>
  </si>
  <si>
    <t>2630583911OLOL</t>
  </si>
  <si>
    <t>CT ANGIOGRAM NECK</t>
  </si>
  <si>
    <t>2630583751OLOL</t>
  </si>
  <si>
    <t>2630583880OLOL</t>
  </si>
  <si>
    <t>2699583977OLOL</t>
  </si>
  <si>
    <t>2630583981OLOL</t>
  </si>
  <si>
    <t>2630584013OLOL</t>
  </si>
  <si>
    <t>LWP2603270001051CSP</t>
  </si>
  <si>
    <t>CT LOWER EXTREMITY WO CONTRAST</t>
  </si>
  <si>
    <t>A10000275394BHS</t>
  </si>
  <si>
    <t>CT26000776CMC</t>
  </si>
  <si>
    <t>CT26000777CMC</t>
  </si>
  <si>
    <t>CT C-SPINE WO</t>
  </si>
  <si>
    <t>LWP2603260025940CSP</t>
  </si>
  <si>
    <t>CT26000778CMC</t>
  </si>
  <si>
    <t>CT26000779CMC</t>
  </si>
  <si>
    <t>LWP2603270000176CSP</t>
  </si>
  <si>
    <t>VAS UPPER EXTREMITY ARTERIES RIGHT (VSC)</t>
  </si>
  <si>
    <t>2699584160OLOL</t>
  </si>
  <si>
    <t>CFC2603270000776CFC</t>
  </si>
  <si>
    <t>R005689849WHOSP</t>
  </si>
  <si>
    <t>2699584175OLOL</t>
  </si>
  <si>
    <t>NHL2603270021056CHL</t>
  </si>
  <si>
    <t>R005691959WHOSP</t>
  </si>
  <si>
    <t>A10000275509BHS</t>
  </si>
  <si>
    <t>CFC2603270020574CFC</t>
  </si>
  <si>
    <t>CFC2603270021452CFC</t>
  </si>
  <si>
    <t>LLA2603270021354CLC</t>
  </si>
  <si>
    <t>CFC2603270021141CFC</t>
  </si>
  <si>
    <t>CFC2603270021451CFC</t>
  </si>
  <si>
    <t>CFC2603270020591CFC</t>
  </si>
  <si>
    <t>CT26000790CMC</t>
  </si>
  <si>
    <t>CFC2603270021287CFC</t>
  </si>
  <si>
    <t>LWP2603270021547CSP</t>
  </si>
  <si>
    <t>LWP2603270021473CSP</t>
  </si>
  <si>
    <t>CFC2603270021447CFC</t>
  </si>
  <si>
    <t>CFC2603270021449CFC</t>
  </si>
  <si>
    <t>LWP2603270021544CSP</t>
  </si>
  <si>
    <t>CFC2603270021460CFC</t>
  </si>
  <si>
    <t>CFC2603270021587CFC</t>
  </si>
  <si>
    <t>A10000275511BHS</t>
  </si>
  <si>
    <t>A10000275512BHS</t>
  </si>
  <si>
    <t>E289380220260327WFH</t>
  </si>
  <si>
    <t>CT NECK-SOFT TISSUE WITH CONTRAST</t>
  </si>
  <si>
    <t>R005691960WHOSP</t>
  </si>
  <si>
    <t>LLA2603270021681CLC</t>
  </si>
  <si>
    <t>LWP2603270021745CSP</t>
  </si>
  <si>
    <t>LLA2603270021764CLC</t>
  </si>
  <si>
    <t>LLA2603270021588CLC</t>
  </si>
  <si>
    <t>LWP2603270021746CSP</t>
  </si>
  <si>
    <t>NHL2603270021254CHL</t>
  </si>
  <si>
    <t>LLA2603270021805CLC</t>
  </si>
  <si>
    <t>US BPP WO STRESS</t>
  </si>
  <si>
    <t>CFC2603270021955CFC</t>
  </si>
  <si>
    <t>LLA2603270021788CLC</t>
  </si>
  <si>
    <t>CFC2603270021956CFC</t>
  </si>
  <si>
    <t>CFC2603270021730CFC</t>
  </si>
  <si>
    <t>LWP2603270021058CSP</t>
  </si>
  <si>
    <t>CFC2603270021590CFC</t>
  </si>
  <si>
    <t>LWP2603270021878CSP</t>
  </si>
  <si>
    <t>LWP2603270021880CSP</t>
  </si>
  <si>
    <t>NHL2603270021515CHL</t>
  </si>
  <si>
    <t>CFC2603270021042CFC</t>
  </si>
  <si>
    <t>CT26000791CMC</t>
  </si>
  <si>
    <t>CFC2603270022067CFC</t>
  </si>
  <si>
    <t>NHL2603270021454CHL</t>
  </si>
  <si>
    <t>LLA2603270022161CLC</t>
  </si>
  <si>
    <t>LWP2603270022174CSP</t>
  </si>
  <si>
    <t>CFC2603270022170CFC</t>
  </si>
  <si>
    <t>R005691977WHOSP</t>
  </si>
  <si>
    <t>US INTRAOPERATIVE W/US TECH</t>
  </si>
  <si>
    <t>NHL2603270021346CHL</t>
  </si>
  <si>
    <t>LWP2603270022297CSP</t>
  </si>
  <si>
    <t>NBE2603270022430CHL</t>
  </si>
  <si>
    <t>R005691984WHOSP</t>
  </si>
  <si>
    <t>LWP2603270022298CSP</t>
  </si>
  <si>
    <t>A10000275514BHS</t>
  </si>
  <si>
    <t>CFC2603270022301CFC</t>
  </si>
  <si>
    <t>2630590122OLOL</t>
  </si>
  <si>
    <t>CFC2603270022300CFC</t>
  </si>
  <si>
    <t>VAS DUPLEX SCAN OF UPPER EXT VEINS BILAT (VSC)</t>
  </si>
  <si>
    <t>2630590123OLOL</t>
  </si>
  <si>
    <t>NHL2603270022487CHL</t>
  </si>
  <si>
    <t>CFC2603270022506CFC</t>
  </si>
  <si>
    <t>CFC2603270022385CFC</t>
  </si>
  <si>
    <t>CFC2603270022505CFC</t>
  </si>
  <si>
    <t>CFC2603270022281CFC</t>
  </si>
  <si>
    <t>CFC2603270022386CFC</t>
  </si>
  <si>
    <t>2699590358OLOL</t>
  </si>
  <si>
    <t>2699590359OLOL</t>
  </si>
  <si>
    <t>A10000275515BHS</t>
  </si>
  <si>
    <t>US VENOUS DUPLEX LE LT</t>
  </si>
  <si>
    <t>2699590431OLOL</t>
  </si>
  <si>
    <t>CFC2603280000029CFC</t>
  </si>
  <si>
    <t>2630590301OLOL</t>
  </si>
  <si>
    <t>2699590432OLOL</t>
  </si>
  <si>
    <t>2630590315OLOL</t>
  </si>
  <si>
    <t>2630590343OLOL</t>
  </si>
  <si>
    <t>2630590420OLOL</t>
  </si>
  <si>
    <t>2699590427OLOL</t>
  </si>
  <si>
    <t>2699590426OLOL</t>
  </si>
  <si>
    <t>2699590428OLOL</t>
  </si>
  <si>
    <t>CFC2603280000232CFC</t>
  </si>
  <si>
    <t>LWP2603280000210CSP</t>
  </si>
  <si>
    <t>CFC2603280000086CFC</t>
  </si>
  <si>
    <t>CFC2603280000125CFC</t>
  </si>
  <si>
    <t>LLA2603280000092CLC</t>
  </si>
  <si>
    <t>2630590423OLOL</t>
  </si>
  <si>
    <t>2699590521OLOL</t>
  </si>
  <si>
    <t>2630590469OLOL</t>
  </si>
  <si>
    <t>CFC2603280000254CFC</t>
  </si>
  <si>
    <t>LLA2603280000059CLC</t>
  </si>
  <si>
    <t>LLA2603280000346CLC</t>
  </si>
  <si>
    <t>2699590515OLOL</t>
  </si>
  <si>
    <t>2630590472OLOL</t>
  </si>
  <si>
    <t>2630590398OLOL</t>
  </si>
  <si>
    <t>2630590402OLOL</t>
  </si>
  <si>
    <t>NHL2603280000422CHL</t>
  </si>
  <si>
    <t>NHL2603280000492CHL</t>
  </si>
  <si>
    <t>CFC2603280000506CFC</t>
  </si>
  <si>
    <t>2630590591OLOL</t>
  </si>
  <si>
    <t>2630590563OLOL</t>
  </si>
  <si>
    <t>2630590519OLOL</t>
  </si>
  <si>
    <t>CFC2603280000587CFC</t>
  </si>
  <si>
    <t>R005691986WHOSP</t>
  </si>
  <si>
    <t>CFC2603280000623CFC</t>
  </si>
  <si>
    <t>CFC2603280000624CFC</t>
  </si>
  <si>
    <t>R005691987WHOSP</t>
  </si>
  <si>
    <t>CFC2603280000626CFC</t>
  </si>
  <si>
    <t>R005691988WHOSP</t>
  </si>
  <si>
    <t>A10000275518BHS</t>
  </si>
  <si>
    <t>A10000275519BHS</t>
  </si>
  <si>
    <t>2699590594OLOL</t>
  </si>
  <si>
    <t>2699590593OLOL</t>
  </si>
  <si>
    <t>2630590646OLOL</t>
  </si>
  <si>
    <t>R005691989WHOSP</t>
  </si>
  <si>
    <t>2699590697OLOL</t>
  </si>
  <si>
    <t>2630590647OLOL</t>
  </si>
  <si>
    <t>R005691991WHOSP</t>
  </si>
  <si>
    <t>LLA2603280001001CLC</t>
  </si>
  <si>
    <t>R005691992WHOSP</t>
  </si>
  <si>
    <t>2699590824OLOL</t>
  </si>
  <si>
    <t>R005691994WHOSP</t>
  </si>
  <si>
    <t>R005691993WHOSP</t>
  </si>
  <si>
    <t>2630590615OLOL</t>
  </si>
  <si>
    <t>2699590826OLOL</t>
  </si>
  <si>
    <t>2699590825OLOL</t>
  </si>
  <si>
    <t>R005692114WHOSP</t>
  </si>
  <si>
    <t>R005692113WHOSP</t>
  </si>
  <si>
    <t>LLA2603280008177CLC</t>
  </si>
  <si>
    <t>CFC2603280008062CFC</t>
  </si>
  <si>
    <t>LWP2603280008273CSP</t>
  </si>
  <si>
    <t>A10000275566BHS</t>
  </si>
  <si>
    <t>CFC2603280008270CFC</t>
  </si>
  <si>
    <t>CFC2603280008060CFC</t>
  </si>
  <si>
    <t>CFC2603280008214CFC</t>
  </si>
  <si>
    <t>LWP2603280008256CSP</t>
  </si>
  <si>
    <t>R005692115WHOSP</t>
  </si>
  <si>
    <t>CFC2603280008227CFC</t>
  </si>
  <si>
    <t>LWP2603280008379CSP</t>
  </si>
  <si>
    <t>LLA2603280008098CLC</t>
  </si>
  <si>
    <t>NHL2603280007540CHL</t>
  </si>
  <si>
    <t>NHL2603280008474CHL</t>
  </si>
  <si>
    <t>LWP2603280008163CSP</t>
  </si>
  <si>
    <t>NCS2603280008364CCS</t>
  </si>
  <si>
    <t>A10000275569BHS</t>
  </si>
  <si>
    <t>A10000275570BHS</t>
  </si>
  <si>
    <t>A10000275571BHS</t>
  </si>
  <si>
    <t>A10000275572BHS</t>
  </si>
  <si>
    <t>NHL2603280008473CHL</t>
  </si>
  <si>
    <t>LWP2603280008257CSP</t>
  </si>
  <si>
    <t>CFC2603280007935CFC</t>
  </si>
  <si>
    <t>CFC2603280007988CFC</t>
  </si>
  <si>
    <t>CFC2603280008475CFC</t>
  </si>
  <si>
    <t>380801520260328BBH</t>
  </si>
  <si>
    <t>CFC2603280008216CFC</t>
  </si>
  <si>
    <t>NBE2603280008299CHL</t>
  </si>
  <si>
    <t>LWP2603280008067CSP</t>
  </si>
  <si>
    <t>LWP2603280008066CSP</t>
  </si>
  <si>
    <t>R005692119WHOSP</t>
  </si>
  <si>
    <t>A10000275560BHS</t>
  </si>
  <si>
    <t>CT SOFT TISSUE NECK WO/W CON</t>
  </si>
  <si>
    <t>R005692120WHOSP</t>
  </si>
  <si>
    <t>A10000275565BHS</t>
  </si>
  <si>
    <t>CT ABDOMEN PELVIS WO/W CON</t>
  </si>
  <si>
    <t>CFC2603280007149CFC</t>
  </si>
  <si>
    <t>LWP2603280008065CSP</t>
  </si>
  <si>
    <t>XR CERVICAL SPINE 2 OR 3 VIEWS</t>
  </si>
  <si>
    <t>CFC2603280008147CFC</t>
  </si>
  <si>
    <t>LWP2603280008978CSP</t>
  </si>
  <si>
    <t>LWP2603280008979CSP</t>
  </si>
  <si>
    <t>NCS2603280008951CCS</t>
  </si>
  <si>
    <t>2699593130OLOL</t>
  </si>
  <si>
    <t>NCS2603280008953CCS</t>
  </si>
  <si>
    <t>NCS2603280008952CCS</t>
  </si>
  <si>
    <t>2699593131OLOL</t>
  </si>
  <si>
    <t>2630593161OLOL</t>
  </si>
  <si>
    <t>2699593132OLOL</t>
  </si>
  <si>
    <t>CFC2603280008485CFC</t>
  </si>
  <si>
    <t>CFC2603280008870CFC</t>
  </si>
  <si>
    <t>A10000275579BHS</t>
  </si>
  <si>
    <t>NCS2603280009126CCS</t>
  </si>
  <si>
    <t>CFC2603280008871CFC</t>
  </si>
  <si>
    <t>CFC2603280007936CFC</t>
  </si>
  <si>
    <t>2630593164OLOL</t>
  </si>
  <si>
    <t>CFC2603280008633CFC</t>
  </si>
  <si>
    <t>2630593159OLOL</t>
  </si>
  <si>
    <t>LWP2603280008973CSP</t>
  </si>
  <si>
    <t>LLA2603280009193CLC</t>
  </si>
  <si>
    <t>2699593228OLOL</t>
  </si>
  <si>
    <t>CFC2603280008854CFC</t>
  </si>
  <si>
    <t>2630593155OLOL</t>
  </si>
  <si>
    <t>CFC2603280009091CFC</t>
  </si>
  <si>
    <t>NCS2603280009125CCS</t>
  </si>
  <si>
    <t>CFC2603280009050CFC</t>
  </si>
  <si>
    <t>2630593229OLOL</t>
  </si>
  <si>
    <t>2630593178OLOL</t>
  </si>
  <si>
    <t>CFC2603280009206CFC</t>
  </si>
  <si>
    <t>NHL2603280008851CHL</t>
  </si>
  <si>
    <t>NHL2603280008852CHL</t>
  </si>
  <si>
    <t>2630593241OLOL</t>
  </si>
  <si>
    <t>NHL2603280009279CHL</t>
  </si>
  <si>
    <t>A10000275578BHS</t>
  </si>
  <si>
    <t>NHL2603280008604CHL</t>
  </si>
  <si>
    <t>LWP2603280009305CSP</t>
  </si>
  <si>
    <t>LWP2603280008264CSP</t>
  </si>
  <si>
    <t>CFC2603290000059CFC</t>
  </si>
  <si>
    <t>2699593334OLOL</t>
  </si>
  <si>
    <t>2699593335OLOL</t>
  </si>
  <si>
    <t>NHL2603280008901CHL</t>
  </si>
  <si>
    <t>LLA2603280009262CLC</t>
  </si>
  <si>
    <t>R005692128WHOSP</t>
  </si>
  <si>
    <t>2630593341OLOL</t>
  </si>
  <si>
    <t>2699593281OLOL</t>
  </si>
  <si>
    <t>CFC2603280009329CFC</t>
  </si>
  <si>
    <t>2630593343OLOL</t>
  </si>
  <si>
    <t>2699593376OLOL</t>
  </si>
  <si>
    <t>LLA2603290000366CLC</t>
  </si>
  <si>
    <t>NBE2603280008835CHL</t>
  </si>
  <si>
    <t>CFC2603290000409CFC</t>
  </si>
  <si>
    <t>LWP2603290000325CSP</t>
  </si>
  <si>
    <t>2630593434OLOL</t>
  </si>
  <si>
    <t>LLA2603290000474CLC</t>
  </si>
  <si>
    <t>LWP2603290000326CSP</t>
  </si>
  <si>
    <t>LLA2603290000505CLC</t>
  </si>
  <si>
    <t>LWP2603290000456CSP</t>
  </si>
  <si>
    <t>LLA2603290000545CLC</t>
  </si>
  <si>
    <t>NHL2603290000064CHL</t>
  </si>
  <si>
    <t>NHL2603290000136CHL</t>
  </si>
  <si>
    <t>NBE2603290000449CHL</t>
  </si>
  <si>
    <t>NBE2603290000185CHL</t>
  </si>
  <si>
    <t>NHL2603290000163CHL</t>
  </si>
  <si>
    <t>NHL2603280009300CHL</t>
  </si>
  <si>
    <t>NHL2603290000506CHL</t>
  </si>
  <si>
    <t>2630593417OLOL</t>
  </si>
  <si>
    <t>2699593514OLOL</t>
  </si>
  <si>
    <t>A10000275582BHS</t>
  </si>
  <si>
    <t>CT BONY PELVIS</t>
  </si>
  <si>
    <t>CFC2603290000592CFC</t>
  </si>
  <si>
    <t>CFC2603290000594CFC</t>
  </si>
  <si>
    <t>NBE2603290000731CHL</t>
  </si>
  <si>
    <t>CFC2603290000737CFC</t>
  </si>
  <si>
    <t>CFC2603290000735CFC</t>
  </si>
  <si>
    <t>CFC2603290000736CFC</t>
  </si>
  <si>
    <t>CFC2603290000821CFC</t>
  </si>
  <si>
    <t>2699593543OLOL</t>
  </si>
  <si>
    <t>2630593541OLOL</t>
  </si>
  <si>
    <t>R005692132WHOSP</t>
  </si>
  <si>
    <t>2699593517OLOL</t>
  </si>
  <si>
    <t>NBE2603290000608CHL</t>
  </si>
  <si>
    <t>NHL2603290000841CHL</t>
  </si>
  <si>
    <t>NBE2603290000609CHL</t>
  </si>
  <si>
    <t>CT CHEST ABDOMEN PELVIS W WO CONTRAST</t>
  </si>
  <si>
    <t>R005692133WHOSP</t>
  </si>
  <si>
    <t>2630593578OLOL</t>
  </si>
  <si>
    <t>LWP2603290000955CSP</t>
  </si>
  <si>
    <t>LWP2603290000956CSP</t>
  </si>
  <si>
    <t>NHL2603290001024CHL</t>
  </si>
  <si>
    <t>LWP2603290000975CSP</t>
  </si>
  <si>
    <t>2630593600OLOL</t>
  </si>
  <si>
    <t>R005692129WHOSP</t>
  </si>
  <si>
    <t>R005692131WHOSP</t>
  </si>
  <si>
    <t>R005692130WHOSP</t>
  </si>
  <si>
    <t>2630593651OLOL</t>
  </si>
  <si>
    <t>NBE2603290000825CHL</t>
  </si>
  <si>
    <t>E289381520260329WFH</t>
  </si>
  <si>
    <t>2630593623OLOL</t>
  </si>
  <si>
    <t>A10000275587BHS</t>
  </si>
  <si>
    <t>2630593620OLOL</t>
  </si>
  <si>
    <t>2630593559OLOL</t>
  </si>
  <si>
    <t>CFC2603290004981CFC</t>
  </si>
  <si>
    <t>CFC2603290007621CFC</t>
  </si>
  <si>
    <t>CFC2603290007619CFC</t>
  </si>
  <si>
    <t>LWP2603290007893CSP</t>
  </si>
  <si>
    <t>R005692273WHOSP</t>
  </si>
  <si>
    <t>NHL2603290008020CHL</t>
  </si>
  <si>
    <t>CFC2603290007650CFC</t>
  </si>
  <si>
    <t>MPCA135185MPH</t>
  </si>
  <si>
    <t>LWP2603290007980CSP</t>
  </si>
  <si>
    <t>R005692276WHOSP</t>
  </si>
  <si>
    <t>A10000275637BHS</t>
  </si>
  <si>
    <t>CFC2603290007943CFC</t>
  </si>
  <si>
    <t>A10000275638BHS</t>
  </si>
  <si>
    <t>CFC2603290007624CFC</t>
  </si>
  <si>
    <t>LLA2603290008698CLC</t>
  </si>
  <si>
    <t>CFC2603290007620CFC</t>
  </si>
  <si>
    <t>CFC2603290008106CFC</t>
  </si>
  <si>
    <t>R005692308WHOSP</t>
  </si>
  <si>
    <t>CFC2603290008640CFC</t>
  </si>
  <si>
    <t>NHL2603290008632CHL</t>
  </si>
  <si>
    <t>US APPENDIX</t>
  </si>
  <si>
    <t>NHL2603290008597CHL</t>
  </si>
  <si>
    <t>LWP2603290008803CSP</t>
  </si>
  <si>
    <t>LWP2603290008828CSP</t>
  </si>
  <si>
    <t>CFC2603290007979CFC</t>
  </si>
  <si>
    <t>CFC2603290008662CFC</t>
  </si>
  <si>
    <t>LLA2603290008668CLC</t>
  </si>
  <si>
    <t>LLA2603290008671CLC</t>
  </si>
  <si>
    <t>LLA2603290008669CLC</t>
  </si>
  <si>
    <t>NHL2603290008555CHL</t>
  </si>
  <si>
    <t>XR NECK SOFT TISSUE</t>
  </si>
  <si>
    <t>NHL2603290008114CHL</t>
  </si>
  <si>
    <t>CT ANGIOGRAM NECK W OR W/WO CONTRAST</t>
  </si>
  <si>
    <t>LLA2603290008164CLC</t>
  </si>
  <si>
    <t>NHL2603290009062CHL</t>
  </si>
  <si>
    <t>R005692309WHOSP</t>
  </si>
  <si>
    <t>CFC2603290009123CFC</t>
  </si>
  <si>
    <t>LLA2603290008740CLC</t>
  </si>
  <si>
    <t>NHL2603290009214CHL</t>
  </si>
  <si>
    <t>2699595946OLOL</t>
  </si>
  <si>
    <t>CT UPPER EXTREMITY LEFT W CONTRAST</t>
  </si>
  <si>
    <t>2699595949OLOL</t>
  </si>
  <si>
    <t>2699595950OLOL</t>
  </si>
  <si>
    <t>2699595971OLOL</t>
  </si>
  <si>
    <t>LWP2603290009133CSP</t>
  </si>
  <si>
    <t>2630595965OLOL</t>
  </si>
  <si>
    <t>LWP2603290009261CSP</t>
  </si>
  <si>
    <t>LWP2603290009392CSP</t>
  </si>
  <si>
    <t>CFC2603290009402CFC</t>
  </si>
  <si>
    <t>2699595953OLOL</t>
  </si>
  <si>
    <t>LLA2603290009294CLC</t>
  </si>
  <si>
    <t>2630595963OLOL</t>
  </si>
  <si>
    <t>2699595954OLOL</t>
  </si>
  <si>
    <t>2699595955OLOL</t>
  </si>
  <si>
    <t>2699596013OLOL</t>
  </si>
  <si>
    <t>2630595994OLOL</t>
  </si>
  <si>
    <t>A10000275644BHS</t>
  </si>
  <si>
    <t>CFC2603290008660CFC</t>
  </si>
  <si>
    <t>LLA2603290009488CLC</t>
  </si>
  <si>
    <t>CFC2603290009459CFC</t>
  </si>
  <si>
    <t>LWP2603290009538CSP</t>
  </si>
  <si>
    <t>CFC2603290009569CFC</t>
  </si>
  <si>
    <t>NHL2603290009242CHL</t>
  </si>
  <si>
    <t>NHL2603290008969CHL</t>
  </si>
  <si>
    <t>NHL2603290009064CHL</t>
  </si>
  <si>
    <t>LWP2603290009542CSP</t>
  </si>
  <si>
    <t>A10000275645BHS</t>
  </si>
  <si>
    <t>2699596014OLOL</t>
  </si>
  <si>
    <t>2630596091OLOL</t>
  </si>
  <si>
    <t>2699596110OLOL</t>
  </si>
  <si>
    <t>NHL2603300000358CHL</t>
  </si>
  <si>
    <t>2630596090OLOL</t>
  </si>
  <si>
    <t>A10000275643BHS</t>
  </si>
  <si>
    <t>2699596045OLOL</t>
  </si>
  <si>
    <t>NBE2603300000402CHL</t>
  </si>
  <si>
    <t>2699596046OLOL</t>
  </si>
  <si>
    <t>LWP2603300000215CSP</t>
  </si>
  <si>
    <t>LWP2603300000418CSP</t>
  </si>
  <si>
    <t>LWP2603300000419CSP</t>
  </si>
  <si>
    <t>R005692313WHOSP</t>
  </si>
  <si>
    <t>NHL2603300000296CHL</t>
  </si>
  <si>
    <t>LWP2603300000245CSP</t>
  </si>
  <si>
    <t>LWP2603300000247CSP</t>
  </si>
  <si>
    <t>NHL2603300000183CHL</t>
  </si>
  <si>
    <t>R005692312WHOSP</t>
  </si>
  <si>
    <t>CFC2603300000293CFC</t>
  </si>
  <si>
    <t>CFC2603300000451CFC</t>
  </si>
  <si>
    <t>CT26000801CMC</t>
  </si>
  <si>
    <t>CT26000802CMC</t>
  </si>
  <si>
    <t>CT26000800CMC</t>
  </si>
  <si>
    <t>LWP2603300000484CSP</t>
  </si>
  <si>
    <t>CT26000805CMC</t>
  </si>
  <si>
    <t>NHL2603300000476CHL</t>
  </si>
  <si>
    <t>CT26000803CMC</t>
  </si>
  <si>
    <t>CT26000804CMC</t>
  </si>
  <si>
    <t>2699596169OLOL</t>
  </si>
  <si>
    <t>2699596170OLOL</t>
  </si>
  <si>
    <t>2699596165OLOL</t>
  </si>
  <si>
    <t>2699596171OLOL</t>
  </si>
  <si>
    <t>2699596212OLOL</t>
  </si>
  <si>
    <t>LWP2603300000559CSP</t>
  </si>
  <si>
    <t>NHL2603300000644CHL</t>
  </si>
  <si>
    <t>2630596244OLOL</t>
  </si>
  <si>
    <t>A10000275680BHS</t>
  </si>
  <si>
    <t>2630596233OLOL</t>
  </si>
  <si>
    <t>R005692318WHOSP</t>
  </si>
  <si>
    <t>XR RIBS 2 VIEWS LEFT WITH CHEST ANTEROPOSTERIOR</t>
  </si>
  <si>
    <t>A10000275678BHS</t>
  </si>
  <si>
    <t>LWP2603300000650CSP</t>
  </si>
  <si>
    <t>LWP2603300000852CSP</t>
  </si>
  <si>
    <t>NHL2603300000836CHL</t>
  </si>
  <si>
    <t>A10000275679BHS</t>
  </si>
  <si>
    <t>CFC2603300000930CFC</t>
  </si>
  <si>
    <t>2630596328OLOL</t>
  </si>
  <si>
    <t>2630596327OLOL</t>
  </si>
  <si>
    <t>R005692319WHOSP</t>
  </si>
  <si>
    <t>2630596351OLOL</t>
  </si>
  <si>
    <t>R005692320WHOSP</t>
  </si>
  <si>
    <t>NHL2603300001158CHL</t>
  </si>
  <si>
    <t>2630596358OLOL</t>
  </si>
  <si>
    <t>NHL2603300001160CHL</t>
  </si>
  <si>
    <t>NHL2603290009243CHL</t>
  </si>
  <si>
    <t>NHL2603300001217CHL</t>
  </si>
  <si>
    <t>NHL2603300001218CHL</t>
  </si>
  <si>
    <t>R005692330WHOSP</t>
  </si>
  <si>
    <t>LWP2603300026303CSP</t>
  </si>
  <si>
    <t>NHL2603300025584CHL</t>
  </si>
  <si>
    <t>CFC2603300026304CFC</t>
  </si>
  <si>
    <t>MPCA135200MPH</t>
  </si>
  <si>
    <t>LLA2603300026418CLC</t>
  </si>
  <si>
    <t>R005695314WHOSP</t>
  </si>
  <si>
    <t>LWP2603300026533CSP</t>
  </si>
  <si>
    <t>NHL2603300026223CHL</t>
  </si>
  <si>
    <t>CFC2603300026234CFC</t>
  </si>
  <si>
    <t>CFC2603300026298CFC</t>
  </si>
  <si>
    <t>CFC2603300026372CFC</t>
  </si>
  <si>
    <t>A10000275828BHS</t>
  </si>
  <si>
    <t>CFC2603300026232CFC</t>
  </si>
  <si>
    <t>NHL2603300026479CHL</t>
  </si>
  <si>
    <t>76811 US OB COMPLETE MAT/FET EVAL</t>
  </si>
  <si>
    <t>LWP2603300026763CSP</t>
  </si>
  <si>
    <t>A10000275829BHS</t>
  </si>
  <si>
    <t>A10000275777BHS</t>
  </si>
  <si>
    <t>CFC2603300026082CFC</t>
  </si>
  <si>
    <t>CFC2603300026812CFC</t>
  </si>
  <si>
    <t>R005695316WHOSP</t>
  </si>
  <si>
    <t>R005695308WHOSP</t>
  </si>
  <si>
    <t>NHL2603300026771CHL</t>
  </si>
  <si>
    <t>R005695315WHOSP</t>
  </si>
  <si>
    <t>NHL2603300026770CHL</t>
  </si>
  <si>
    <t>CFC2603300025528CFC</t>
  </si>
  <si>
    <t>NCS2603300026913CCS</t>
  </si>
  <si>
    <t>R005695311WHOSP</t>
  </si>
  <si>
    <t>CT CHEST W IV CONTRAST</t>
  </si>
  <si>
    <t>CFC2603300025527CFC</t>
  </si>
  <si>
    <t>CFC2603300026908CFC</t>
  </si>
  <si>
    <t>R005695317WHOSP</t>
  </si>
  <si>
    <t>LWP2603300026966CSP</t>
  </si>
  <si>
    <t>CFC2603300026809CFC</t>
  </si>
  <si>
    <t>NHL2603300026863CHL</t>
  </si>
  <si>
    <t>NHL2603300026859CHL</t>
  </si>
  <si>
    <t>A10000275832BHS</t>
  </si>
  <si>
    <t>NHL2603300026856CHL</t>
  </si>
  <si>
    <t>NCS2603300027035CCS</t>
  </si>
  <si>
    <t>NBE2603300026297CHL</t>
  </si>
  <si>
    <t>LLA2603300027020CLC</t>
  </si>
  <si>
    <t>NBE2603300027090CHL</t>
  </si>
  <si>
    <t>2630604340OLOL</t>
  </si>
  <si>
    <t>R005695347WHOSP</t>
  </si>
  <si>
    <t>2630604275OLOL</t>
  </si>
  <si>
    <t>LWP2603300027201CSP</t>
  </si>
  <si>
    <t>LWP2603300027200CSP</t>
  </si>
  <si>
    <t>LWP2603300026857CSP</t>
  </si>
  <si>
    <t>CFC2603300027175CFC</t>
  </si>
  <si>
    <t>CFC2603300027159CFC</t>
  </si>
  <si>
    <t>A10000275830BHS</t>
  </si>
  <si>
    <t>2699604383OLOL</t>
  </si>
  <si>
    <t>LWP2603300027132CSP</t>
  </si>
  <si>
    <t>2699604399OLOL</t>
  </si>
  <si>
    <t>LLA2603300027308CLC</t>
  </si>
  <si>
    <t>CT IAC WO CONTRAST</t>
  </si>
  <si>
    <t>NBE2603300027385CHL</t>
  </si>
  <si>
    <t>CFC2603300027490CFC</t>
  </si>
  <si>
    <t>NBE2603300027403CHL</t>
  </si>
  <si>
    <t>R005695349WHOSP</t>
  </si>
  <si>
    <t>R005695350WHOSP</t>
  </si>
  <si>
    <t>LWP2603300027533CSP</t>
  </si>
  <si>
    <t>NHL2603310000356CHL</t>
  </si>
  <si>
    <t>LLA2603310000357CLC</t>
  </si>
  <si>
    <t>R005695354WHOSP</t>
  </si>
  <si>
    <t>R005695353WHOSP</t>
  </si>
  <si>
    <t>LWP2603310000377CSP</t>
  </si>
  <si>
    <t>2630604526OLOL</t>
  </si>
  <si>
    <t>NBE2603310000345CHL</t>
  </si>
  <si>
    <t>R005695356WHOSP</t>
  </si>
  <si>
    <t>CFC2603310000325CFC</t>
  </si>
  <si>
    <t>2699604582OLOL</t>
  </si>
  <si>
    <t>NBE2603310000498CHL</t>
  </si>
  <si>
    <t>2699604581OLOL</t>
  </si>
  <si>
    <t>2630604593OLOL</t>
  </si>
  <si>
    <t>2630604559OLOL</t>
  </si>
  <si>
    <t>A10000275886BHS</t>
  </si>
  <si>
    <t>CFC2603310000581CFC</t>
  </si>
  <si>
    <t>R005695363WHOSP</t>
  </si>
  <si>
    <t>LWP2603310000686CSP</t>
  </si>
  <si>
    <t>2699604612OLOL</t>
  </si>
  <si>
    <t>R005695362WHOSP</t>
  </si>
  <si>
    <t>NCS2603310000648CCS</t>
  </si>
  <si>
    <t>A10000275887BHS</t>
  </si>
  <si>
    <t>LLA2603310000918CLC</t>
  </si>
  <si>
    <t>LWP2603310000967CSP</t>
  </si>
  <si>
    <t>R005695365WHOSP</t>
  </si>
  <si>
    <t>2699604643OLOL</t>
  </si>
  <si>
    <t>2630604632OLOL</t>
  </si>
  <si>
    <t>R005695364WHOSP</t>
  </si>
  <si>
    <t>2630604631OLOL</t>
  </si>
  <si>
    <t>2699604642OLOL</t>
  </si>
  <si>
    <t>CFC2603310000973CFC</t>
  </si>
  <si>
    <t>CFC2603310000945CFC</t>
  </si>
  <si>
    <t>CFC2603310001098CFC</t>
  </si>
  <si>
    <t>A10000275888BHS</t>
  </si>
  <si>
    <t>CFC2603310000864CFC</t>
  </si>
  <si>
    <t>CFC2603310001075CFC</t>
  </si>
  <si>
    <t>2630604681OLOL</t>
  </si>
  <si>
    <t>2630604683OLOL</t>
  </si>
  <si>
    <t>2630604682OLOL</t>
  </si>
  <si>
    <t>2630604687OLOL</t>
  </si>
  <si>
    <t>NBE2603310001132CHL</t>
  </si>
  <si>
    <t>CFC2603310001158CFC</t>
  </si>
  <si>
    <t>MPCA135201MPH</t>
  </si>
  <si>
    <t>73700 LT-CT LOWER EXT; WO CONTRAST</t>
  </si>
  <si>
    <t>2630604742OLOL</t>
  </si>
  <si>
    <t>CFC2603310001171CFC</t>
  </si>
  <si>
    <t>LLA2603310025758CLC</t>
  </si>
  <si>
    <t>A10000276035BHS</t>
  </si>
  <si>
    <t>NBE2603310025791CHL</t>
  </si>
  <si>
    <t>NCS2603310026060CCS</t>
  </si>
  <si>
    <t>R005697920WHOSP</t>
  </si>
  <si>
    <t>LWP2603310026152CSP</t>
  </si>
  <si>
    <t>CFC2603310026178CFC</t>
  </si>
  <si>
    <t>LWP2603310022602CSP</t>
  </si>
  <si>
    <t>CT CHEST HIGH RESOLUTION</t>
  </si>
  <si>
    <t>R005697919WHOSP</t>
  </si>
  <si>
    <t>CFC2603310026303CFC</t>
  </si>
  <si>
    <t>R005697918WHOSP</t>
  </si>
  <si>
    <t>NBE2603310026193CHL</t>
  </si>
  <si>
    <t>CFC2603310026166CFC</t>
  </si>
  <si>
    <t>NHL2603310026296CHL</t>
  </si>
  <si>
    <t>NHL2603310026438CHL</t>
  </si>
  <si>
    <t>LWP2603310026329CSP</t>
  </si>
  <si>
    <t>LWP2603310026330CSP</t>
  </si>
  <si>
    <t>LLA2603310026123CLC</t>
  </si>
  <si>
    <t>LLA2603310026342CLC</t>
  </si>
  <si>
    <t>LWP2603310026478CSP</t>
  </si>
  <si>
    <t>LWP2603310026614CSP</t>
  </si>
  <si>
    <t>CFC2603310026448CFC</t>
  </si>
  <si>
    <t>LLA2603310025703CLC</t>
  </si>
  <si>
    <t>R005697966WHOSP</t>
  </si>
  <si>
    <t>NCS2603310026654CCS</t>
  </si>
  <si>
    <t>NBE2603310026083CHL</t>
  </si>
  <si>
    <t>LLA2603310026640CLC</t>
  </si>
  <si>
    <t>CFC2603310026635CFC</t>
  </si>
  <si>
    <t>A10000276043BHS</t>
  </si>
  <si>
    <t>A10000276044BHS</t>
  </si>
  <si>
    <t>A10000276042BHS</t>
  </si>
  <si>
    <t>R005697963WHOSP</t>
  </si>
  <si>
    <t>A10000276040BHS</t>
  </si>
  <si>
    <t>CFC2603310026593CFC</t>
  </si>
  <si>
    <t>A10000276041BHS</t>
  </si>
  <si>
    <t>NHL2603310026513CHL</t>
  </si>
  <si>
    <t>R005697968WHOSP</t>
  </si>
  <si>
    <t>LWP2603310026675CSP</t>
  </si>
  <si>
    <t>LWP2603310026573CSP</t>
  </si>
  <si>
    <t>LLA2603310026828CLC</t>
  </si>
  <si>
    <t>2699612352OLOL</t>
  </si>
  <si>
    <t>NBE2603310026802CHL</t>
  </si>
  <si>
    <t>R005698022WHOSP</t>
  </si>
  <si>
    <t>R005698004WHOSP</t>
  </si>
  <si>
    <t>A10000276047BHS</t>
  </si>
  <si>
    <t>LLA2603310026847CLC</t>
  </si>
  <si>
    <t>CT HAND RIGHT W CONTRAST</t>
  </si>
  <si>
    <t>R005698006WHOSP</t>
  </si>
  <si>
    <t>2630612241OLOL</t>
  </si>
  <si>
    <t>2630612328OLOL</t>
  </si>
  <si>
    <t>R005698024WHOSP</t>
  </si>
  <si>
    <t>2630612387OLOL</t>
  </si>
  <si>
    <t>A10000276046BHS</t>
  </si>
  <si>
    <t>A10000276049BHS</t>
  </si>
  <si>
    <t>2630612388OLOL</t>
  </si>
  <si>
    <t>LLA2603310026954CLC</t>
  </si>
  <si>
    <t>CT HAND LEFT W CONTRAST</t>
  </si>
  <si>
    <t>2630612386OLOL</t>
  </si>
  <si>
    <t>2630612429OLOL</t>
  </si>
  <si>
    <t>R005698026WHOSP</t>
  </si>
  <si>
    <t>CFC2603310026732CFC</t>
  </si>
  <si>
    <t>A10000276048BHS</t>
  </si>
  <si>
    <t>CFC2603310026893CFC</t>
  </si>
  <si>
    <t>CFC2603310026895CFC</t>
  </si>
  <si>
    <t>LLA2603310026986CLC</t>
  </si>
  <si>
    <t>CFC2603310026983CFC</t>
  </si>
  <si>
    <t>CFC2603310026914CFC</t>
  </si>
  <si>
    <t>2630612288OLOL</t>
  </si>
  <si>
    <t>2630612289OLOL</t>
  </si>
  <si>
    <t>CFC2603310026913CFC</t>
  </si>
  <si>
    <t>2630612290OLOL</t>
  </si>
  <si>
    <t>2630612291OLOL</t>
  </si>
  <si>
    <t>LWP2603310025851CSP</t>
  </si>
  <si>
    <t>LLA2604010000222CLC</t>
  </si>
  <si>
    <t>CFC2603310027168CFC</t>
  </si>
  <si>
    <t>NHL2604010000192CHL</t>
  </si>
  <si>
    <t>R005698028WHOSP</t>
  </si>
  <si>
    <t>2699612522OLOL</t>
  </si>
  <si>
    <t>CT26000818CMC</t>
  </si>
  <si>
    <t>NHL2603310027121CHL</t>
  </si>
  <si>
    <t>LWP2604010000332CSP</t>
  </si>
  <si>
    <t>LWP2604010000298CSP</t>
  </si>
  <si>
    <t>A10000276095BHS</t>
  </si>
  <si>
    <t>LLA2603310026423CLC</t>
  </si>
  <si>
    <t>2699612572OLOL</t>
  </si>
  <si>
    <t>A10000276096BHS</t>
  </si>
  <si>
    <t>A10000276097BHS</t>
  </si>
  <si>
    <t>2630612566OLOL</t>
  </si>
  <si>
    <t>R005698029WHOSP</t>
  </si>
  <si>
    <t>CFC2604010000381CFC</t>
  </si>
  <si>
    <t>R005698030WHOSP</t>
  </si>
  <si>
    <t>NBE2604010000549CHL</t>
  </si>
  <si>
    <t>2630612623OLOL</t>
  </si>
  <si>
    <t>CT26000819CMC</t>
  </si>
  <si>
    <t>CT26000820CMC</t>
  </si>
  <si>
    <t>2630612670OLOL</t>
  </si>
  <si>
    <t>A10000276099BHS</t>
  </si>
  <si>
    <t>LWP2604010000348CSP</t>
  </si>
  <si>
    <t>VAS LOWER EXT VENOUS MAPPING BIL (VSC)</t>
  </si>
  <si>
    <t>NBE2604010000651CHL</t>
  </si>
  <si>
    <t>LLA2604010000661CLC</t>
  </si>
  <si>
    <t>CFC2604010000377CFC</t>
  </si>
  <si>
    <t>2630612722OLOL</t>
  </si>
  <si>
    <t>LWP2604010000902CSP</t>
  </si>
  <si>
    <t>E289390520260401WFH</t>
  </si>
  <si>
    <t>CFC2604010000746CFC</t>
  </si>
  <si>
    <t>R005698032WHOSP</t>
  </si>
  <si>
    <t>CFC2604010001004CFC</t>
  </si>
  <si>
    <t>2630612766OLOL</t>
  </si>
  <si>
    <t>2699612735OLOL</t>
  </si>
  <si>
    <t>2699612785OLOL</t>
  </si>
  <si>
    <t>CFC2604010001003CFC</t>
  </si>
  <si>
    <t>A10000276104BHS</t>
  </si>
  <si>
    <t>CFC2604010001024CFC</t>
  </si>
  <si>
    <t>R005698038WHOSP</t>
  </si>
  <si>
    <t>LWP2604010001155CSP</t>
  </si>
  <si>
    <t>LWP2604010001136CSP</t>
  </si>
  <si>
    <t>2630612859OLOL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</si>
</sst>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400]h:mm:ss\ AM/PM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Calibri"/>
      <family val="2"/>
    </font>
    <font>
      <sz val="11"/>
      <color theme="1"/>
      <name val="Aptos Narrow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sz val="12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49" fontId="2" fillId="3" borderId="0" xfId="0" applyNumberFormat="1" applyFont="1" applyFill="1" applyAlignment="1">
      <alignment horizontal="center" wrapText="1"/>
    </xf>
    <xf numFmtId="164" fontId="2" fillId="3" borderId="0" xfId="0" applyNumberFormat="1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0" fontId="0" fillId="2" borderId="0" xfId="0" applyFill="1"/>
    <xf numFmtId="22" fontId="3" fillId="4" borderId="0" xfId="0" applyNumberFormat="1" applyFont="1" applyFill="1"/>
    <xf numFmtId="14" fontId="3" fillId="4" borderId="0" xfId="0" applyNumberFormat="1" applyFont="1" applyFill="1"/>
    <xf numFmtId="165" fontId="3" fillId="4" borderId="0" xfId="0" applyNumberFormat="1" applyFont="1" applyFill="1"/>
    <xf numFmtId="0" fontId="1" fillId="4" borderId="0" xfId="0" applyFont="1" applyFill="1"/>
    <xf numFmtId="0" fontId="3" fillId="4" borderId="0" xfId="0" applyFont="1" applyFill="1"/>
    <xf numFmtId="0" fontId="3" fillId="2" borderId="0" xfId="0" applyFont="1" applyFill="1"/>
    <xf numFmtId="164" fontId="4" fillId="2" borderId="0" xfId="0" applyNumberFormat="1" applyFont="1" applyFill="1"/>
    <xf numFmtId="164" fontId="5" fillId="2" borderId="0" xfId="0" applyNumberFormat="1" applyFont="1" applyFill="1"/>
    <xf numFmtId="164" fontId="6" fillId="4" borderId="0" xfId="0" applyNumberFormat="1" applyFont="1" applyFill="1"/>
    <xf numFmtId="4" fontId="5" fillId="4" borderId="0" xfId="0" applyNumberFormat="1" applyFont="1" applyFill="1"/>
    <xf numFmtId="4" fontId="6" fillId="4" borderId="0" xfId="0" applyNumberFormat="1" applyFont="1" applyFill="1"/>
    <xf numFmtId="164" fontId="6" fillId="2" borderId="0" xfId="0" applyNumberFormat="1" applyFont="1" applyFill="1"/>
    <xf numFmtId="22" fontId="3" fillId="2" borderId="0" xfId="0" applyNumberFormat="1" applyFont="1" applyFill="1"/>
    <xf numFmtId="14" fontId="3" fillId="2" borderId="0" xfId="0" applyNumberFormat="1" applyFont="1" applyFill="1"/>
    <xf numFmtId="165" fontId="3" fillId="2" borderId="0" xfId="0" applyNumberFormat="1" applyFont="1" applyFill="1"/>
    <xf numFmtId="0" fontId="1" fillId="5" borderId="0" xfId="0" applyFont="1" applyFill="1"/>
    <xf numFmtId="22" fontId="3" fillId="5" borderId="0" xfId="0" applyNumberFormat="1" applyFont="1" applyFill="1"/>
    <xf numFmtId="14" fontId="3" fillId="5" borderId="0" xfId="0" applyNumberFormat="1" applyFont="1" applyFill="1"/>
    <xf numFmtId="165" fontId="3" fillId="5" borderId="0" xfId="0" applyNumberFormat="1" applyFont="1" applyFill="1"/>
    <xf numFmtId="0" fontId="3" fillId="5" borderId="0" xfId="0" applyFont="1" applyFill="1"/>
    <xf numFmtId="22" fontId="3" fillId="6" borderId="0" xfId="0" applyNumberFormat="1" applyFont="1" applyFill="1"/>
    <xf numFmtId="14" fontId="3" fillId="6" borderId="0" xfId="0" applyNumberFormat="1" applyFont="1" applyFill="1"/>
    <xf numFmtId="165" fontId="3" fillId="6" borderId="0" xfId="0" applyNumberFormat="1" applyFont="1" applyFill="1"/>
    <xf numFmtId="0" fontId="1" fillId="6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55"/>
  <sheetViews>
    <sheetView tabSelected="1" topLeftCell="F1" workbookViewId="0">
      <pane ySplit="1" topLeftCell="A97" activePane="bottomLeft" state="frozen"/>
      <selection pane="bottomLeft" activeCell="O5" sqref="O5"/>
    </sheetView>
  </sheetViews>
  <sheetFormatPr baseColWidth="10" defaultColWidth="12.5" defaultRowHeight="15" customHeight="1" x14ac:dyDescent="0.2"/>
  <cols>
    <col min="1" max="1" width="8.5" style="6" hidden="1" customWidth="1"/>
    <col min="2" max="2" width="14.83203125" style="6" customWidth="1"/>
    <col min="3" max="3" width="13.83203125" style="6" customWidth="1"/>
    <col min="4" max="5" width="13.83203125" style="6" hidden="1" customWidth="1"/>
    <col min="6" max="6" width="20.6640625" style="6" customWidth="1"/>
    <col min="7" max="7" width="8.5" style="6" customWidth="1"/>
    <col min="8" max="8" width="15.5" style="6" customWidth="1"/>
    <col min="9" max="9" width="16.5" style="6" customWidth="1"/>
    <col min="10" max="10" width="16.33203125" style="6" customWidth="1"/>
    <col min="11" max="11" width="10.6640625" style="6" customWidth="1"/>
    <col min="12" max="12" width="10.33203125" style="6" customWidth="1"/>
    <col min="13" max="13" width="17.5" style="6" customWidth="1"/>
    <col min="14" max="14" width="12" style="6" customWidth="1"/>
    <col min="15" max="15" width="15.33203125" style="6" customWidth="1"/>
    <col min="16" max="16" width="15.5" style="6" customWidth="1"/>
    <col min="17" max="17" width="13.33203125" style="6" customWidth="1"/>
    <col min="18" max="18" width="12.1640625" style="6" customWidth="1"/>
    <col min="19" max="19" width="10.33203125" style="6" customWidth="1"/>
    <col min="20" max="16384" width="12.5" style="6"/>
  </cols>
  <sheetData>
    <row r="1" spans="1:19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4" t="s">
        <v>18</v>
      </c>
    </row>
    <row r="2" spans="1:19" ht="14.25" customHeight="1" x14ac:dyDescent="0.2">
      <c r="A2" s="1" t="s">
        <v>19</v>
      </c>
      <c r="B2" s="7">
        <v>46082.866793981484</v>
      </c>
      <c r="C2" s="7">
        <v>46082.878113425926</v>
      </c>
      <c r="D2" s="8">
        <v>46082</v>
      </c>
      <c r="E2" s="9">
        <v>0.87811342592613073</v>
      </c>
      <c r="F2" s="10" t="s">
        <v>20</v>
      </c>
      <c r="G2" s="10" t="s">
        <v>21</v>
      </c>
      <c r="H2" s="10" t="s">
        <v>22</v>
      </c>
      <c r="I2" s="10" t="s">
        <v>23</v>
      </c>
      <c r="J2" s="11">
        <v>0.83</v>
      </c>
      <c r="K2" s="12">
        <f>SUM(J2:J86)</f>
        <v>96.589999999999961</v>
      </c>
      <c r="L2" s="12">
        <f>SUM(J2:J9)</f>
        <v>9.2999999999999989</v>
      </c>
      <c r="M2" s="13">
        <f>L2*65</f>
        <v>604.49999999999989</v>
      </c>
      <c r="N2" s="14">
        <f>MAX(500,M2)</f>
        <v>604.49999999999989</v>
      </c>
      <c r="O2" s="15">
        <f>SUMIF(M:M, "&gt;500")</f>
        <v>266067.09999999992</v>
      </c>
      <c r="P2" s="15">
        <f>SUMIF(N:N, 500)</f>
        <v>37000</v>
      </c>
      <c r="Q2" s="15">
        <f>SUM(N:N)</f>
        <v>303067.09999999992</v>
      </c>
      <c r="R2" s="16">
        <f>O2/65</f>
        <v>4093.3399999999988</v>
      </c>
      <c r="S2" s="17">
        <f>P2/500</f>
        <v>74</v>
      </c>
    </row>
    <row r="3" spans="1:19" ht="14.25" customHeight="1" x14ac:dyDescent="0.2">
      <c r="A3" s="1" t="s">
        <v>24</v>
      </c>
      <c r="B3" s="7">
        <v>46082.866759259261</v>
      </c>
      <c r="C3" s="7">
        <v>46082.893692129626</v>
      </c>
      <c r="D3" s="8">
        <v>46082</v>
      </c>
      <c r="E3" s="9">
        <v>0.89369212962628808</v>
      </c>
      <c r="F3" s="10" t="s">
        <v>25</v>
      </c>
      <c r="G3" s="10" t="s">
        <v>26</v>
      </c>
      <c r="H3" s="10" t="s">
        <v>27</v>
      </c>
      <c r="I3" s="10" t="s">
        <v>23</v>
      </c>
      <c r="J3" s="10">
        <v>0.68</v>
      </c>
    </row>
    <row r="4" spans="1:19" ht="14.25" customHeight="1" x14ac:dyDescent="0.2">
      <c r="A4" s="1" t="s">
        <v>28</v>
      </c>
      <c r="B4" s="7">
        <v>46082.878136574072</v>
      </c>
      <c r="C4" s="7">
        <v>46082.896261574075</v>
      </c>
      <c r="D4" s="8">
        <v>46082</v>
      </c>
      <c r="E4" s="9">
        <v>0.89626157407474238</v>
      </c>
      <c r="F4" s="10" t="s">
        <v>29</v>
      </c>
      <c r="G4" s="10" t="s">
        <v>21</v>
      </c>
      <c r="H4" s="10" t="s">
        <v>22</v>
      </c>
      <c r="I4" s="10" t="s">
        <v>23</v>
      </c>
      <c r="J4" s="11">
        <v>0.83</v>
      </c>
      <c r="K4" s="12"/>
      <c r="L4" s="12"/>
      <c r="M4" s="12"/>
      <c r="N4" s="12"/>
      <c r="O4" s="12"/>
      <c r="P4" s="12"/>
      <c r="Q4" s="12"/>
      <c r="R4" s="12"/>
      <c r="S4" s="12"/>
    </row>
    <row r="5" spans="1:19" ht="14.25" customHeight="1" x14ac:dyDescent="0.2">
      <c r="A5" s="1" t="s">
        <v>28</v>
      </c>
      <c r="B5" s="7">
        <v>46082.880370370367</v>
      </c>
      <c r="C5" s="7">
        <v>46082.896608796298</v>
      </c>
      <c r="D5" s="8">
        <v>46082</v>
      </c>
      <c r="E5" s="9">
        <v>0.89660879629809642</v>
      </c>
      <c r="F5" s="10" t="s">
        <v>30</v>
      </c>
      <c r="G5" s="10" t="s">
        <v>21</v>
      </c>
      <c r="H5" s="10" t="s">
        <v>31</v>
      </c>
      <c r="I5" s="10" t="s">
        <v>23</v>
      </c>
      <c r="J5" s="11">
        <v>0.98</v>
      </c>
      <c r="K5" s="12"/>
      <c r="L5" s="12"/>
      <c r="M5" s="12"/>
      <c r="N5" s="12"/>
      <c r="O5" s="12"/>
      <c r="P5" s="12"/>
      <c r="Q5" s="12"/>
      <c r="R5" s="12"/>
      <c r="S5" s="12"/>
    </row>
    <row r="6" spans="1:19" ht="14.25" customHeight="1" x14ac:dyDescent="0.2">
      <c r="A6" s="1" t="s">
        <v>19</v>
      </c>
      <c r="B6" s="7">
        <v>46082.890902777777</v>
      </c>
      <c r="C6" s="7">
        <v>46082.907465277778</v>
      </c>
      <c r="D6" s="8">
        <v>46082</v>
      </c>
      <c r="E6" s="9">
        <v>0.90746527777810115</v>
      </c>
      <c r="F6" s="10" t="s">
        <v>32</v>
      </c>
      <c r="G6" s="10" t="s">
        <v>21</v>
      </c>
      <c r="H6" s="10" t="s">
        <v>22</v>
      </c>
      <c r="I6" s="10" t="s">
        <v>23</v>
      </c>
      <c r="J6" s="11">
        <v>0.83</v>
      </c>
      <c r="K6" s="12"/>
      <c r="L6" s="12"/>
      <c r="M6" s="12"/>
      <c r="N6" s="12"/>
      <c r="O6" s="12"/>
      <c r="P6" s="12"/>
      <c r="Q6" s="12"/>
      <c r="R6" s="12"/>
      <c r="S6" s="12"/>
    </row>
    <row r="7" spans="1:19" ht="14.25" customHeight="1" x14ac:dyDescent="0.2">
      <c r="A7" s="1" t="s">
        <v>33</v>
      </c>
      <c r="B7" s="7">
        <v>46082.89025462963</v>
      </c>
      <c r="C7" s="7">
        <v>46082.915682870371</v>
      </c>
      <c r="D7" s="8">
        <v>46082</v>
      </c>
      <c r="E7" s="9">
        <v>0.91568287037080154</v>
      </c>
      <c r="F7" s="10" t="s">
        <v>34</v>
      </c>
      <c r="G7" s="10" t="s">
        <v>21</v>
      </c>
      <c r="H7" s="10" t="s">
        <v>35</v>
      </c>
      <c r="I7" s="10" t="s">
        <v>23</v>
      </c>
      <c r="J7" s="11">
        <v>2.5</v>
      </c>
      <c r="K7" s="12"/>
      <c r="L7" s="12"/>
      <c r="M7" s="12"/>
      <c r="N7" s="12"/>
      <c r="O7" s="12"/>
      <c r="P7" s="12"/>
      <c r="Q7" s="12"/>
      <c r="R7" s="12"/>
      <c r="S7" s="12"/>
    </row>
    <row r="8" spans="1:19" ht="14.25" customHeight="1" x14ac:dyDescent="0.2">
      <c r="A8" s="1" t="s">
        <v>28</v>
      </c>
      <c r="B8" s="7">
        <v>46082.895868055559</v>
      </c>
      <c r="C8" s="7">
        <v>46082.915902777779</v>
      </c>
      <c r="D8" s="8">
        <v>46082</v>
      </c>
      <c r="E8" s="9">
        <v>0.91590277777868323</v>
      </c>
      <c r="F8" s="10" t="s">
        <v>36</v>
      </c>
      <c r="G8" s="10" t="s">
        <v>26</v>
      </c>
      <c r="H8" s="10" t="s">
        <v>37</v>
      </c>
      <c r="I8" s="10" t="s">
        <v>23</v>
      </c>
      <c r="J8" s="11">
        <v>0.88</v>
      </c>
      <c r="K8" s="12"/>
      <c r="L8" s="12"/>
      <c r="M8" s="12"/>
      <c r="N8" s="12"/>
      <c r="O8" s="12"/>
      <c r="P8" s="12"/>
      <c r="Q8" s="12"/>
      <c r="R8" s="12"/>
      <c r="S8" s="12"/>
    </row>
    <row r="9" spans="1:19" ht="14.25" customHeight="1" x14ac:dyDescent="0.2">
      <c r="A9" s="1" t="s">
        <v>28</v>
      </c>
      <c r="B9" s="7">
        <v>46082.903101851851</v>
      </c>
      <c r="C9" s="7">
        <v>46082.916307870371</v>
      </c>
      <c r="D9" s="8">
        <v>46082</v>
      </c>
      <c r="E9" s="9">
        <v>0.91630787037138361</v>
      </c>
      <c r="F9" s="10" t="s">
        <v>38</v>
      </c>
      <c r="G9" s="10" t="s">
        <v>21</v>
      </c>
      <c r="H9" s="10" t="s">
        <v>39</v>
      </c>
      <c r="I9" s="10" t="s">
        <v>23</v>
      </c>
      <c r="J9" s="11">
        <v>1.77</v>
      </c>
      <c r="K9" s="12"/>
      <c r="L9" s="12"/>
      <c r="M9" s="12"/>
      <c r="N9" s="12"/>
      <c r="O9" s="12"/>
      <c r="P9" s="12"/>
      <c r="Q9" s="12"/>
      <c r="R9" s="12"/>
      <c r="S9" s="12"/>
    </row>
    <row r="10" spans="1:19" ht="14.25" customHeight="1" x14ac:dyDescent="0.2">
      <c r="A10" s="1" t="s">
        <v>24</v>
      </c>
      <c r="B10" s="7">
        <v>46082.893437500003</v>
      </c>
      <c r="C10" s="7">
        <v>46082.917233796295</v>
      </c>
      <c r="D10" s="8">
        <v>46082</v>
      </c>
      <c r="E10" s="9">
        <v>0.91723379629547708</v>
      </c>
      <c r="F10" s="10" t="s">
        <v>40</v>
      </c>
      <c r="G10" s="10" t="s">
        <v>21</v>
      </c>
      <c r="H10" s="10" t="s">
        <v>41</v>
      </c>
      <c r="I10" s="10" t="s">
        <v>23</v>
      </c>
      <c r="J10" s="11">
        <v>1.77</v>
      </c>
      <c r="K10" s="12"/>
      <c r="L10" s="12">
        <f>SUM(J10:J27)</f>
        <v>18.66</v>
      </c>
      <c r="M10" s="13">
        <f>L10*65</f>
        <v>1212.9000000000001</v>
      </c>
      <c r="N10" s="14">
        <f>MAX(500,M10)</f>
        <v>1212.9000000000001</v>
      </c>
      <c r="O10" s="18"/>
      <c r="P10" s="12"/>
      <c r="Q10" s="12"/>
      <c r="R10" s="12"/>
      <c r="S10" s="12"/>
    </row>
    <row r="11" spans="1:19" ht="14.25" customHeight="1" x14ac:dyDescent="0.2">
      <c r="A11" s="1" t="s">
        <v>42</v>
      </c>
      <c r="B11" s="7">
        <v>46082.892685185187</v>
      </c>
      <c r="C11" s="7">
        <v>46082.917812500003</v>
      </c>
      <c r="D11" s="8">
        <v>46082</v>
      </c>
      <c r="E11" s="9">
        <v>0.91781250000349246</v>
      </c>
      <c r="F11" s="10" t="s">
        <v>43</v>
      </c>
      <c r="G11" s="10" t="s">
        <v>44</v>
      </c>
      <c r="H11" s="10" t="s">
        <v>45</v>
      </c>
      <c r="I11" s="10" t="s">
        <v>23</v>
      </c>
      <c r="J11" s="11">
        <v>0.18</v>
      </c>
      <c r="K11" s="12"/>
      <c r="L11" s="12"/>
      <c r="M11" s="12"/>
      <c r="N11" s="12"/>
      <c r="O11" s="12"/>
      <c r="P11" s="12"/>
      <c r="Q11" s="12"/>
      <c r="R11" s="12"/>
      <c r="S11" s="12"/>
    </row>
    <row r="12" spans="1:19" ht="14.25" customHeight="1" x14ac:dyDescent="0.2">
      <c r="A12" s="1" t="s">
        <v>46</v>
      </c>
      <c r="B12" s="7">
        <v>46082.880706018521</v>
      </c>
      <c r="C12" s="7">
        <v>46082.918958333335</v>
      </c>
      <c r="D12" s="8">
        <v>46082</v>
      </c>
      <c r="E12" s="9">
        <v>0.91895833333546761</v>
      </c>
      <c r="F12" s="10" t="s">
        <v>47</v>
      </c>
      <c r="G12" s="10" t="s">
        <v>44</v>
      </c>
      <c r="H12" s="10" t="s">
        <v>48</v>
      </c>
      <c r="I12" s="10" t="s">
        <v>23</v>
      </c>
      <c r="J12" s="11">
        <v>0.21</v>
      </c>
      <c r="K12" s="12"/>
      <c r="L12" s="12"/>
      <c r="M12" s="12"/>
      <c r="N12" s="12"/>
      <c r="O12" s="12"/>
      <c r="P12" s="12"/>
      <c r="Q12" s="12"/>
      <c r="R12" s="12"/>
      <c r="S12" s="12"/>
    </row>
    <row r="13" spans="1:19" ht="14.25" customHeight="1" x14ac:dyDescent="0.2">
      <c r="A13" s="1" t="s">
        <v>42</v>
      </c>
      <c r="B13" s="7">
        <v>46082.901516203703</v>
      </c>
      <c r="C13" s="7">
        <v>46082.920613425929</v>
      </c>
      <c r="D13" s="8">
        <v>46082</v>
      </c>
      <c r="E13" s="9">
        <v>0.92061342592933215</v>
      </c>
      <c r="F13" s="10" t="s">
        <v>49</v>
      </c>
      <c r="G13" s="10" t="s">
        <v>44</v>
      </c>
      <c r="H13" s="10" t="s">
        <v>50</v>
      </c>
      <c r="I13" s="10" t="s">
        <v>23</v>
      </c>
      <c r="J13" s="11">
        <v>0.18</v>
      </c>
      <c r="K13" s="12"/>
      <c r="L13" s="12"/>
      <c r="M13" s="12"/>
      <c r="N13" s="12"/>
      <c r="O13" s="12"/>
      <c r="P13" s="12"/>
      <c r="Q13" s="12"/>
      <c r="R13" s="12"/>
      <c r="S13" s="12"/>
    </row>
    <row r="14" spans="1:19" ht="14.25" customHeight="1" x14ac:dyDescent="0.2">
      <c r="A14" s="1" t="s">
        <v>24</v>
      </c>
      <c r="B14" s="7">
        <v>46082.90121527778</v>
      </c>
      <c r="C14" s="7">
        <v>46082.921307870369</v>
      </c>
      <c r="D14" s="8">
        <v>46082</v>
      </c>
      <c r="E14" s="9">
        <v>0.92130787036876427</v>
      </c>
      <c r="F14" s="10" t="s">
        <v>51</v>
      </c>
      <c r="G14" s="10" t="s">
        <v>21</v>
      </c>
      <c r="H14" s="10" t="s">
        <v>52</v>
      </c>
      <c r="I14" s="10" t="s">
        <v>23</v>
      </c>
      <c r="J14" s="11">
        <v>0.98</v>
      </c>
      <c r="K14" s="12"/>
      <c r="L14" s="12"/>
      <c r="M14" s="12"/>
      <c r="N14" s="12"/>
      <c r="O14" s="12"/>
      <c r="P14" s="12"/>
      <c r="Q14" s="12"/>
      <c r="R14" s="12"/>
      <c r="S14" s="12"/>
    </row>
    <row r="15" spans="1:19" ht="14.25" customHeight="1" x14ac:dyDescent="0.2">
      <c r="A15" s="1" t="s">
        <v>24</v>
      </c>
      <c r="B15" s="7">
        <v>46082.90121527778</v>
      </c>
      <c r="C15" s="7">
        <v>46082.921597222223</v>
      </c>
      <c r="D15" s="8">
        <v>46082</v>
      </c>
      <c r="E15" s="9">
        <v>0.92159722222277196</v>
      </c>
      <c r="F15" s="10" t="s">
        <v>53</v>
      </c>
      <c r="G15" s="10" t="s">
        <v>21</v>
      </c>
      <c r="H15" s="10" t="s">
        <v>54</v>
      </c>
      <c r="I15" s="10" t="s">
        <v>23</v>
      </c>
      <c r="J15" s="11">
        <v>0.83</v>
      </c>
      <c r="K15" s="12"/>
      <c r="L15" s="12"/>
      <c r="M15" s="12"/>
      <c r="N15" s="12"/>
      <c r="O15" s="12"/>
      <c r="P15" s="12"/>
      <c r="Q15" s="12"/>
      <c r="R15" s="12"/>
      <c r="S15" s="12"/>
    </row>
    <row r="16" spans="1:19" ht="14.25" customHeight="1" x14ac:dyDescent="0.2">
      <c r="A16" s="1" t="s">
        <v>42</v>
      </c>
      <c r="B16" s="7">
        <v>46082.900185185186</v>
      </c>
      <c r="C16" s="7">
        <v>46082.922476851854</v>
      </c>
      <c r="D16" s="8">
        <v>46082</v>
      </c>
      <c r="E16" s="9">
        <v>0.92247685185429873</v>
      </c>
      <c r="F16" s="10" t="s">
        <v>55</v>
      </c>
      <c r="G16" s="10" t="s">
        <v>26</v>
      </c>
      <c r="H16" s="10" t="s">
        <v>56</v>
      </c>
      <c r="I16" s="10" t="s">
        <v>23</v>
      </c>
      <c r="J16" s="11">
        <v>0.73</v>
      </c>
      <c r="K16" s="12"/>
      <c r="L16" s="12"/>
      <c r="M16" s="12"/>
      <c r="N16" s="12"/>
      <c r="O16" s="12"/>
      <c r="P16" s="12"/>
      <c r="Q16" s="12"/>
      <c r="R16" s="12"/>
      <c r="S16" s="12"/>
    </row>
    <row r="17" spans="1:19" ht="14.25" customHeight="1" x14ac:dyDescent="0.2">
      <c r="A17" s="1" t="s">
        <v>57</v>
      </c>
      <c r="B17" s="7">
        <v>46082.910891203705</v>
      </c>
      <c r="C17" s="7">
        <v>46082.936006944445</v>
      </c>
      <c r="D17" s="8">
        <v>46082</v>
      </c>
      <c r="E17" s="9">
        <v>0.93600694444467081</v>
      </c>
      <c r="F17" s="10" t="s">
        <v>58</v>
      </c>
      <c r="G17" s="10" t="s">
        <v>21</v>
      </c>
      <c r="H17" s="10" t="s">
        <v>59</v>
      </c>
      <c r="I17" s="10" t="s">
        <v>23</v>
      </c>
      <c r="J17" s="11">
        <v>0.83</v>
      </c>
      <c r="K17" s="12"/>
      <c r="L17" s="12"/>
      <c r="M17" s="12"/>
      <c r="N17" s="12"/>
      <c r="O17" s="12"/>
      <c r="P17" s="12"/>
      <c r="Q17" s="12"/>
      <c r="R17" s="12"/>
      <c r="S17" s="12"/>
    </row>
    <row r="18" spans="1:19" ht="14.25" customHeight="1" x14ac:dyDescent="0.2">
      <c r="A18" s="1" t="s">
        <v>24</v>
      </c>
      <c r="B18" s="7">
        <v>46082.90121527778</v>
      </c>
      <c r="C18" s="7">
        <v>46082.937037037038</v>
      </c>
      <c r="D18" s="8">
        <v>46082</v>
      </c>
      <c r="E18" s="9">
        <v>0.93703703703795327</v>
      </c>
      <c r="F18" s="10" t="s">
        <v>60</v>
      </c>
      <c r="G18" s="10" t="s">
        <v>21</v>
      </c>
      <c r="H18" s="10" t="s">
        <v>61</v>
      </c>
      <c r="I18" s="10" t="s">
        <v>23</v>
      </c>
      <c r="J18" s="11">
        <v>2.5</v>
      </c>
      <c r="K18" s="12"/>
      <c r="L18" s="12"/>
      <c r="M18" s="12"/>
      <c r="N18" s="12"/>
      <c r="O18" s="12"/>
      <c r="P18" s="12"/>
      <c r="Q18" s="12"/>
      <c r="R18" s="12"/>
      <c r="S18" s="12"/>
    </row>
    <row r="19" spans="1:19" ht="14.25" customHeight="1" x14ac:dyDescent="0.2">
      <c r="A19" s="1" t="s">
        <v>19</v>
      </c>
      <c r="B19" s="7">
        <v>46082.918912037036</v>
      </c>
      <c r="C19" s="7">
        <v>46082.9375</v>
      </c>
      <c r="D19" s="8">
        <v>46082</v>
      </c>
      <c r="E19" s="9">
        <v>0.9375</v>
      </c>
      <c r="F19" s="10" t="s">
        <v>62</v>
      </c>
      <c r="G19" s="10" t="s">
        <v>21</v>
      </c>
      <c r="H19" s="10" t="s">
        <v>39</v>
      </c>
      <c r="I19" s="10" t="s">
        <v>23</v>
      </c>
      <c r="J19" s="11">
        <v>1.77</v>
      </c>
      <c r="K19" s="12"/>
      <c r="L19" s="12"/>
      <c r="M19" s="12"/>
      <c r="N19" s="12"/>
      <c r="O19" s="12"/>
      <c r="P19" s="12"/>
      <c r="Q19" s="12"/>
      <c r="R19" s="12"/>
      <c r="S19" s="12"/>
    </row>
    <row r="20" spans="1:19" ht="14.25" customHeight="1" x14ac:dyDescent="0.2">
      <c r="A20" s="1" t="s">
        <v>63</v>
      </c>
      <c r="B20" s="7">
        <v>46082.923819444448</v>
      </c>
      <c r="C20" s="7">
        <v>46082.939444444448</v>
      </c>
      <c r="D20" s="8">
        <v>46082</v>
      </c>
      <c r="E20" s="9">
        <v>0.93944444444787223</v>
      </c>
      <c r="F20" s="10" t="s">
        <v>64</v>
      </c>
      <c r="G20" s="10" t="s">
        <v>21</v>
      </c>
      <c r="H20" s="10" t="s">
        <v>65</v>
      </c>
      <c r="I20" s="10" t="s">
        <v>23</v>
      </c>
      <c r="J20" s="11">
        <v>1.1299999999999999</v>
      </c>
      <c r="K20" s="12"/>
      <c r="L20" s="12"/>
      <c r="M20" s="12"/>
      <c r="N20" s="12"/>
      <c r="O20" s="12"/>
      <c r="P20" s="12"/>
      <c r="Q20" s="12"/>
      <c r="R20" s="12"/>
      <c r="S20" s="12"/>
    </row>
    <row r="21" spans="1:19" ht="14.25" customHeight="1" x14ac:dyDescent="0.2">
      <c r="A21" s="1" t="s">
        <v>63</v>
      </c>
      <c r="B21" s="7">
        <v>46082.925949074073</v>
      </c>
      <c r="C21" s="7">
        <v>46082.94258101852</v>
      </c>
      <c r="D21" s="8">
        <v>46082</v>
      </c>
      <c r="E21" s="9">
        <v>0.94258101852028631</v>
      </c>
      <c r="F21" s="10" t="s">
        <v>66</v>
      </c>
      <c r="G21" s="10" t="s">
        <v>21</v>
      </c>
      <c r="H21" s="10" t="s">
        <v>67</v>
      </c>
      <c r="I21" s="10" t="s">
        <v>23</v>
      </c>
      <c r="J21" s="11">
        <v>1.77</v>
      </c>
      <c r="K21" s="12"/>
      <c r="L21" s="12"/>
      <c r="M21" s="12"/>
      <c r="N21" s="12"/>
      <c r="O21" s="12"/>
      <c r="P21" s="12"/>
      <c r="Q21" s="12"/>
      <c r="R21" s="12"/>
      <c r="S21" s="12"/>
    </row>
    <row r="22" spans="1:19" ht="14.25" customHeight="1" x14ac:dyDescent="0.2">
      <c r="A22" s="1" t="s">
        <v>33</v>
      </c>
      <c r="B22" s="7">
        <v>46082.928391203706</v>
      </c>
      <c r="C22" s="7">
        <v>46082.943090277775</v>
      </c>
      <c r="D22" s="8">
        <v>46082</v>
      </c>
      <c r="E22" s="9">
        <v>0.94309027777489973</v>
      </c>
      <c r="F22" s="10" t="s">
        <v>68</v>
      </c>
      <c r="G22" s="10" t="s">
        <v>21</v>
      </c>
      <c r="H22" s="10" t="s">
        <v>39</v>
      </c>
      <c r="I22" s="10" t="s">
        <v>23</v>
      </c>
      <c r="J22" s="11">
        <v>1.77</v>
      </c>
      <c r="K22" s="12"/>
      <c r="L22" s="12"/>
      <c r="M22" s="12"/>
      <c r="N22" s="12"/>
      <c r="O22" s="12"/>
      <c r="P22" s="12"/>
      <c r="Q22" s="12"/>
      <c r="R22" s="12"/>
      <c r="S22" s="12"/>
    </row>
    <row r="23" spans="1:19" ht="14.25" customHeight="1" x14ac:dyDescent="0.2">
      <c r="A23" s="1" t="s">
        <v>24</v>
      </c>
      <c r="B23" s="7">
        <v>46082.925243055557</v>
      </c>
      <c r="C23" s="7">
        <v>46082.954467592594</v>
      </c>
      <c r="D23" s="8">
        <v>46082</v>
      </c>
      <c r="E23" s="9">
        <v>0.9544675925935735</v>
      </c>
      <c r="F23" s="10" t="s">
        <v>69</v>
      </c>
      <c r="G23" s="10" t="s">
        <v>26</v>
      </c>
      <c r="H23" s="10" t="s">
        <v>27</v>
      </c>
      <c r="I23" s="10" t="s">
        <v>23</v>
      </c>
      <c r="J23" s="11">
        <v>0.68</v>
      </c>
      <c r="K23" s="12"/>
      <c r="L23" s="12"/>
      <c r="M23" s="12"/>
      <c r="N23" s="12"/>
      <c r="O23" s="12"/>
      <c r="P23" s="12"/>
      <c r="Q23" s="12"/>
      <c r="R23" s="12"/>
      <c r="S23" s="12"/>
    </row>
    <row r="24" spans="1:19" ht="14.25" customHeight="1" x14ac:dyDescent="0.2">
      <c r="A24" s="1" t="s">
        <v>46</v>
      </c>
      <c r="B24" s="7">
        <v>46082.940671296295</v>
      </c>
      <c r="C24" s="7">
        <v>46082.955543981479</v>
      </c>
      <c r="D24" s="8">
        <v>46082</v>
      </c>
      <c r="E24" s="9">
        <v>0.95554398147942265</v>
      </c>
      <c r="F24" s="10" t="s">
        <v>70</v>
      </c>
      <c r="G24" s="10" t="s">
        <v>21</v>
      </c>
      <c r="H24" s="10" t="s">
        <v>71</v>
      </c>
      <c r="I24" s="10" t="s">
        <v>23</v>
      </c>
      <c r="J24" s="11">
        <v>1.05</v>
      </c>
      <c r="K24" s="12"/>
      <c r="L24" s="12"/>
      <c r="M24" s="12"/>
      <c r="N24" s="12"/>
      <c r="O24" s="12"/>
      <c r="P24" s="12"/>
      <c r="Q24" s="12"/>
      <c r="R24" s="12"/>
      <c r="S24" s="12"/>
    </row>
    <row r="25" spans="1:19" ht="14.25" customHeight="1" x14ac:dyDescent="0.2">
      <c r="A25" s="1" t="s">
        <v>28</v>
      </c>
      <c r="B25" s="7">
        <v>46082.937673611108</v>
      </c>
      <c r="C25" s="7">
        <v>46082.956331018519</v>
      </c>
      <c r="D25" s="8">
        <v>46082</v>
      </c>
      <c r="E25" s="9">
        <v>0.95633101851854008</v>
      </c>
      <c r="F25" s="10" t="s">
        <v>72</v>
      </c>
      <c r="G25" s="10" t="s">
        <v>21</v>
      </c>
      <c r="H25" s="10" t="s">
        <v>71</v>
      </c>
      <c r="I25" s="10" t="s">
        <v>23</v>
      </c>
      <c r="J25" s="11">
        <v>1.05</v>
      </c>
      <c r="K25" s="12"/>
      <c r="L25" s="12"/>
      <c r="M25" s="12"/>
      <c r="N25" s="12"/>
      <c r="O25" s="12"/>
      <c r="P25" s="12"/>
      <c r="Q25" s="12"/>
      <c r="R25" s="12"/>
      <c r="S25" s="12"/>
    </row>
    <row r="26" spans="1:19" ht="14.25" customHeight="1" x14ac:dyDescent="0.2">
      <c r="A26" s="1" t="s">
        <v>42</v>
      </c>
      <c r="B26" s="7">
        <v>46082.941874999997</v>
      </c>
      <c r="C26" s="7">
        <v>46082.956493055557</v>
      </c>
      <c r="D26" s="8">
        <v>46082</v>
      </c>
      <c r="E26" s="9">
        <v>0.95649305555707542</v>
      </c>
      <c r="F26" s="10" t="s">
        <v>73</v>
      </c>
      <c r="G26" s="10" t="s">
        <v>44</v>
      </c>
      <c r="H26" s="10" t="s">
        <v>45</v>
      </c>
      <c r="I26" s="10" t="s">
        <v>23</v>
      </c>
      <c r="J26" s="11">
        <v>0.18</v>
      </c>
      <c r="K26" s="12"/>
      <c r="L26" s="12"/>
      <c r="M26" s="12"/>
      <c r="N26" s="12"/>
      <c r="O26" s="12"/>
      <c r="P26" s="12"/>
      <c r="Q26" s="12"/>
      <c r="R26" s="12"/>
      <c r="S26" s="12"/>
    </row>
    <row r="27" spans="1:19" ht="14.25" customHeight="1" x14ac:dyDescent="0.2">
      <c r="A27" s="1" t="s">
        <v>24</v>
      </c>
      <c r="B27" s="7">
        <v>46082.947465277779</v>
      </c>
      <c r="C27" s="7">
        <v>46082.957627314812</v>
      </c>
      <c r="D27" s="8">
        <v>46082</v>
      </c>
      <c r="E27" s="9">
        <v>0.95762731481227092</v>
      </c>
      <c r="F27" s="10" t="s">
        <v>74</v>
      </c>
      <c r="G27" s="10" t="s">
        <v>21</v>
      </c>
      <c r="H27" s="10" t="s">
        <v>71</v>
      </c>
      <c r="I27" s="10" t="s">
        <v>23</v>
      </c>
      <c r="J27" s="11">
        <v>1.05</v>
      </c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14.25" customHeight="1" x14ac:dyDescent="0.2">
      <c r="A28" s="1" t="s">
        <v>42</v>
      </c>
      <c r="B28" s="7">
        <v>46082.936574074076</v>
      </c>
      <c r="C28" s="7">
        <v>46082.965636574074</v>
      </c>
      <c r="D28" s="8">
        <v>46082</v>
      </c>
      <c r="E28" s="9">
        <v>0.96563657407386927</v>
      </c>
      <c r="F28" s="10" t="s">
        <v>75</v>
      </c>
      <c r="G28" s="10" t="s">
        <v>26</v>
      </c>
      <c r="H28" s="10" t="s">
        <v>76</v>
      </c>
      <c r="I28" s="10" t="s">
        <v>23</v>
      </c>
      <c r="J28" s="11">
        <v>0.75</v>
      </c>
      <c r="K28" s="12"/>
      <c r="L28" s="12">
        <f>SUM(J28:J45)</f>
        <v>18.45</v>
      </c>
      <c r="M28" s="13">
        <f>L28*65</f>
        <v>1199.25</v>
      </c>
      <c r="N28" s="14">
        <f>MAX(500,M28)</f>
        <v>1199.25</v>
      </c>
      <c r="O28" s="12"/>
      <c r="P28" s="12"/>
      <c r="Q28" s="12"/>
      <c r="R28" s="12"/>
      <c r="S28" s="12"/>
    </row>
    <row r="29" spans="1:19" ht="14.25" customHeight="1" x14ac:dyDescent="0.2">
      <c r="A29" s="1" t="s">
        <v>42</v>
      </c>
      <c r="B29" s="7">
        <v>46082.924988425926</v>
      </c>
      <c r="C29" s="7">
        <v>46082.965960648151</v>
      </c>
      <c r="D29" s="8">
        <v>46082</v>
      </c>
      <c r="E29" s="9">
        <v>0.96596064815093996</v>
      </c>
      <c r="F29" s="10" t="s">
        <v>77</v>
      </c>
      <c r="G29" s="10" t="s">
        <v>26</v>
      </c>
      <c r="H29" s="10" t="s">
        <v>78</v>
      </c>
      <c r="I29" s="10" t="s">
        <v>23</v>
      </c>
      <c r="J29" s="11">
        <v>0.56999999999999995</v>
      </c>
      <c r="K29" s="12"/>
      <c r="L29" s="12"/>
      <c r="M29" s="12"/>
      <c r="N29" s="12"/>
      <c r="O29" s="12"/>
      <c r="P29" s="12"/>
      <c r="Q29" s="12"/>
      <c r="R29" s="12"/>
      <c r="S29" s="12"/>
    </row>
    <row r="30" spans="1:19" ht="14.25" customHeight="1" x14ac:dyDescent="0.2">
      <c r="A30" s="1" t="s">
        <v>24</v>
      </c>
      <c r="B30" s="7">
        <v>46082.953252314815</v>
      </c>
      <c r="C30" s="7">
        <v>46082.969849537039</v>
      </c>
      <c r="D30" s="8">
        <v>46082</v>
      </c>
      <c r="E30" s="9">
        <v>0.96984953703940846</v>
      </c>
      <c r="F30" s="10" t="s">
        <v>79</v>
      </c>
      <c r="G30" s="10" t="s">
        <v>26</v>
      </c>
      <c r="H30" s="10" t="s">
        <v>80</v>
      </c>
      <c r="I30" s="10" t="s">
        <v>23</v>
      </c>
      <c r="J30" s="11">
        <v>0.56999999999999995</v>
      </c>
      <c r="K30" s="12"/>
      <c r="L30" s="12"/>
      <c r="M30" s="12"/>
      <c r="N30" s="12"/>
      <c r="O30" s="12"/>
      <c r="P30" s="12"/>
      <c r="Q30" s="12"/>
      <c r="R30" s="12"/>
      <c r="S30" s="12"/>
    </row>
    <row r="31" spans="1:19" ht="14.25" customHeight="1" x14ac:dyDescent="0.2">
      <c r="A31" s="1" t="s">
        <v>42</v>
      </c>
      <c r="B31" s="7">
        <v>46082.944641203707</v>
      </c>
      <c r="C31" s="7">
        <v>46082.970104166663</v>
      </c>
      <c r="D31" s="8">
        <v>46082</v>
      </c>
      <c r="E31" s="9">
        <v>0.97010416666307719</v>
      </c>
      <c r="F31" s="10" t="s">
        <v>81</v>
      </c>
      <c r="G31" s="10" t="s">
        <v>26</v>
      </c>
      <c r="H31" s="10" t="s">
        <v>82</v>
      </c>
      <c r="I31" s="10" t="s">
        <v>23</v>
      </c>
      <c r="J31" s="11">
        <v>0.49</v>
      </c>
      <c r="K31" s="12"/>
      <c r="L31" s="12"/>
      <c r="M31" s="12"/>
      <c r="N31" s="12"/>
      <c r="O31" s="12"/>
      <c r="P31" s="12"/>
      <c r="Q31" s="12"/>
      <c r="R31" s="12"/>
      <c r="S31" s="12"/>
    </row>
    <row r="32" spans="1:19" ht="14.25" customHeight="1" x14ac:dyDescent="0.2">
      <c r="A32" s="1" t="s">
        <v>19</v>
      </c>
      <c r="B32" s="7">
        <v>46082.956469907411</v>
      </c>
      <c r="C32" s="7">
        <v>46082.970277777778</v>
      </c>
      <c r="D32" s="8">
        <v>46082</v>
      </c>
      <c r="E32" s="9">
        <v>0.97027777777839219</v>
      </c>
      <c r="F32" s="10" t="s">
        <v>83</v>
      </c>
      <c r="G32" s="10" t="s">
        <v>21</v>
      </c>
      <c r="H32" s="10" t="s">
        <v>22</v>
      </c>
      <c r="I32" s="10" t="s">
        <v>23</v>
      </c>
      <c r="J32" s="11">
        <v>0.83</v>
      </c>
      <c r="K32" s="12"/>
      <c r="L32" s="12"/>
      <c r="M32" s="12"/>
      <c r="N32" s="12"/>
      <c r="O32" s="12"/>
      <c r="P32" s="12"/>
      <c r="Q32" s="12"/>
      <c r="R32" s="12"/>
      <c r="S32" s="12"/>
    </row>
    <row r="33" spans="1:19" ht="14.25" customHeight="1" x14ac:dyDescent="0.2">
      <c r="A33" s="1" t="s">
        <v>19</v>
      </c>
      <c r="B33" s="7">
        <v>46082.95648148148</v>
      </c>
      <c r="C33" s="7">
        <v>46082.970486111109</v>
      </c>
      <c r="D33" s="8">
        <v>46082</v>
      </c>
      <c r="E33" s="9">
        <v>0.97048611110949423</v>
      </c>
      <c r="F33" s="10" t="s">
        <v>84</v>
      </c>
      <c r="G33" s="10" t="s">
        <v>21</v>
      </c>
      <c r="H33" s="10" t="s">
        <v>52</v>
      </c>
      <c r="I33" s="10" t="s">
        <v>23</v>
      </c>
      <c r="J33" s="11">
        <v>0.98</v>
      </c>
      <c r="K33" s="12"/>
      <c r="L33" s="12"/>
      <c r="M33" s="12"/>
      <c r="N33" s="12"/>
      <c r="O33" s="12"/>
      <c r="P33" s="12"/>
      <c r="Q33" s="12"/>
      <c r="R33" s="12"/>
      <c r="S33" s="12"/>
    </row>
    <row r="34" spans="1:19" ht="14.25" customHeight="1" x14ac:dyDescent="0.2">
      <c r="A34" s="1" t="s">
        <v>33</v>
      </c>
      <c r="B34" s="7">
        <v>46082.941111111111</v>
      </c>
      <c r="C34" s="7">
        <v>46082.971724537034</v>
      </c>
      <c r="D34" s="8">
        <v>46082</v>
      </c>
      <c r="E34" s="9">
        <v>0.97172453703387873</v>
      </c>
      <c r="F34" s="10" t="s">
        <v>85</v>
      </c>
      <c r="G34" s="10" t="s">
        <v>26</v>
      </c>
      <c r="H34" s="10" t="s">
        <v>86</v>
      </c>
      <c r="I34" s="10" t="s">
        <v>23</v>
      </c>
      <c r="J34" s="11">
        <v>0.88</v>
      </c>
      <c r="K34" s="12"/>
      <c r="L34" s="12"/>
      <c r="M34" s="12"/>
      <c r="N34" s="12"/>
      <c r="O34" s="12"/>
      <c r="P34" s="12"/>
      <c r="Q34" s="12"/>
      <c r="R34" s="12"/>
      <c r="S34" s="12"/>
    </row>
    <row r="35" spans="1:19" ht="14.25" customHeight="1" x14ac:dyDescent="0.2">
      <c r="A35" s="1" t="s">
        <v>24</v>
      </c>
      <c r="B35" s="7">
        <v>46082.961504629631</v>
      </c>
      <c r="C35" s="7">
        <v>46082.974282407406</v>
      </c>
      <c r="D35" s="8">
        <v>46082</v>
      </c>
      <c r="E35" s="9">
        <v>0.97428240740555339</v>
      </c>
      <c r="F35" s="10" t="s">
        <v>87</v>
      </c>
      <c r="G35" s="10" t="s">
        <v>21</v>
      </c>
      <c r="H35" s="10" t="s">
        <v>22</v>
      </c>
      <c r="I35" s="10" t="s">
        <v>23</v>
      </c>
      <c r="J35" s="11">
        <v>0.83</v>
      </c>
      <c r="K35" s="12"/>
      <c r="L35" s="12"/>
      <c r="M35" s="12"/>
      <c r="N35" s="12"/>
      <c r="O35" s="12"/>
      <c r="P35" s="12"/>
      <c r="Q35" s="12"/>
      <c r="R35" s="12"/>
      <c r="S35" s="12"/>
    </row>
    <row r="36" spans="1:19" ht="14.25" customHeight="1" x14ac:dyDescent="0.2">
      <c r="A36" s="1" t="s">
        <v>24</v>
      </c>
      <c r="B36" s="7">
        <v>46082.96297453704</v>
      </c>
      <c r="C36" s="7">
        <v>46082.979189814818</v>
      </c>
      <c r="D36" s="8">
        <v>46082</v>
      </c>
      <c r="E36" s="9">
        <v>0.97918981481780065</v>
      </c>
      <c r="F36" s="10" t="s">
        <v>88</v>
      </c>
      <c r="G36" s="10" t="s">
        <v>21</v>
      </c>
      <c r="H36" s="10" t="s">
        <v>71</v>
      </c>
      <c r="I36" s="10" t="s">
        <v>23</v>
      </c>
      <c r="J36" s="11">
        <v>1.05</v>
      </c>
      <c r="K36" s="12"/>
      <c r="L36" s="12"/>
      <c r="M36" s="12"/>
      <c r="N36" s="12"/>
      <c r="O36" s="12"/>
      <c r="P36" s="12"/>
      <c r="Q36" s="12"/>
      <c r="R36" s="12"/>
      <c r="S36" s="12"/>
    </row>
    <row r="37" spans="1:19" ht="14.25" customHeight="1" x14ac:dyDescent="0.2">
      <c r="A37" s="1" t="s">
        <v>19</v>
      </c>
      <c r="B37" s="7">
        <v>46082.940462962964</v>
      </c>
      <c r="C37" s="7">
        <v>46082.98064814815</v>
      </c>
      <c r="D37" s="8">
        <v>46082</v>
      </c>
      <c r="E37" s="9">
        <v>0.98064814815006685</v>
      </c>
      <c r="F37" s="10" t="s">
        <v>89</v>
      </c>
      <c r="G37" s="10" t="s">
        <v>26</v>
      </c>
      <c r="H37" s="10" t="s">
        <v>90</v>
      </c>
      <c r="I37" s="10" t="s">
        <v>23</v>
      </c>
      <c r="J37" s="11">
        <v>1.34</v>
      </c>
      <c r="K37" s="12"/>
      <c r="L37" s="12"/>
      <c r="M37" s="12"/>
      <c r="N37" s="12"/>
      <c r="O37" s="12"/>
      <c r="P37" s="12"/>
      <c r="Q37" s="12"/>
      <c r="R37" s="12"/>
      <c r="S37" s="12"/>
    </row>
    <row r="38" spans="1:19" ht="14.25" customHeight="1" x14ac:dyDescent="0.2">
      <c r="A38" s="1" t="s">
        <v>28</v>
      </c>
      <c r="B38" s="7">
        <v>46082.939583333333</v>
      </c>
      <c r="C38" s="7">
        <v>46082.981550925928</v>
      </c>
      <c r="D38" s="8">
        <v>46082</v>
      </c>
      <c r="E38" s="9">
        <v>0.98155092592787696</v>
      </c>
      <c r="F38" s="10" t="s">
        <v>91</v>
      </c>
      <c r="G38" s="10" t="s">
        <v>26</v>
      </c>
      <c r="H38" s="10" t="s">
        <v>92</v>
      </c>
      <c r="I38" s="10" t="s">
        <v>23</v>
      </c>
      <c r="J38" s="11">
        <v>0.63</v>
      </c>
      <c r="K38" s="12"/>
      <c r="L38" s="12"/>
      <c r="M38" s="12"/>
      <c r="N38" s="12"/>
      <c r="O38" s="12"/>
      <c r="P38" s="12"/>
      <c r="Q38" s="12"/>
      <c r="R38" s="12"/>
      <c r="S38" s="12"/>
    </row>
    <row r="39" spans="1:19" ht="14.25" customHeight="1" x14ac:dyDescent="0.2">
      <c r="A39" s="1" t="s">
        <v>28</v>
      </c>
      <c r="B39" s="7">
        <v>46082.967245370368</v>
      </c>
      <c r="C39" s="7">
        <v>46082.982881944445</v>
      </c>
      <c r="D39" s="8">
        <v>46082</v>
      </c>
      <c r="E39" s="9">
        <v>0.98288194444467081</v>
      </c>
      <c r="F39" s="10" t="s">
        <v>93</v>
      </c>
      <c r="G39" s="10" t="s">
        <v>26</v>
      </c>
      <c r="H39" s="10" t="s">
        <v>92</v>
      </c>
      <c r="I39" s="10" t="s">
        <v>23</v>
      </c>
      <c r="J39" s="11">
        <v>0.63</v>
      </c>
      <c r="K39" s="12"/>
      <c r="L39" s="12"/>
      <c r="M39" s="12"/>
      <c r="N39" s="12"/>
      <c r="O39" s="12"/>
      <c r="P39" s="12"/>
      <c r="Q39" s="12"/>
      <c r="R39" s="12"/>
      <c r="S39" s="12"/>
    </row>
    <row r="40" spans="1:19" ht="14.25" customHeight="1" x14ac:dyDescent="0.2">
      <c r="A40" s="1" t="s">
        <v>24</v>
      </c>
      <c r="B40" s="7">
        <v>46082.957719907405</v>
      </c>
      <c r="C40" s="7">
        <v>46082.984016203707</v>
      </c>
      <c r="D40" s="8">
        <v>46082</v>
      </c>
      <c r="E40" s="9">
        <v>0.98401620370714227</v>
      </c>
      <c r="F40" s="10" t="s">
        <v>94</v>
      </c>
      <c r="G40" s="10" t="s">
        <v>21</v>
      </c>
      <c r="H40" s="10" t="s">
        <v>39</v>
      </c>
      <c r="I40" s="10" t="s">
        <v>23</v>
      </c>
      <c r="J40" s="11">
        <v>1.77</v>
      </c>
      <c r="K40" s="12"/>
      <c r="L40" s="12"/>
      <c r="M40" s="12"/>
      <c r="N40" s="12"/>
      <c r="O40" s="12"/>
      <c r="P40" s="12"/>
      <c r="Q40" s="12"/>
      <c r="R40" s="12"/>
      <c r="S40" s="12"/>
    </row>
    <row r="41" spans="1:19" ht="14.25" customHeight="1" x14ac:dyDescent="0.2">
      <c r="A41" s="1" t="s">
        <v>95</v>
      </c>
      <c r="B41" s="7">
        <v>46082.972604166665</v>
      </c>
      <c r="C41" s="7">
        <v>46082.984733796293</v>
      </c>
      <c r="D41" s="8">
        <v>46082</v>
      </c>
      <c r="E41" s="9">
        <v>0.98473379629285773</v>
      </c>
      <c r="F41" s="10" t="s">
        <v>96</v>
      </c>
      <c r="G41" s="10" t="s">
        <v>21</v>
      </c>
      <c r="H41" s="10" t="s">
        <v>97</v>
      </c>
      <c r="I41" s="10" t="s">
        <v>23</v>
      </c>
      <c r="J41" s="11">
        <v>1.77</v>
      </c>
      <c r="K41" s="12"/>
      <c r="L41" s="12"/>
      <c r="M41" s="12"/>
      <c r="N41" s="12"/>
      <c r="O41" s="12"/>
      <c r="P41" s="12"/>
      <c r="Q41" s="12"/>
      <c r="R41" s="12"/>
      <c r="S41" s="12"/>
    </row>
    <row r="42" spans="1:19" ht="14.25" customHeight="1" x14ac:dyDescent="0.2">
      <c r="A42" s="1" t="s">
        <v>42</v>
      </c>
      <c r="B42" s="7">
        <v>46082.971585648149</v>
      </c>
      <c r="C42" s="7">
        <v>46082.98505787037</v>
      </c>
      <c r="D42" s="8">
        <v>46082</v>
      </c>
      <c r="E42" s="9">
        <v>0.98505787036992842</v>
      </c>
      <c r="F42" s="10" t="s">
        <v>98</v>
      </c>
      <c r="G42" s="10" t="s">
        <v>44</v>
      </c>
      <c r="H42" s="10" t="s">
        <v>99</v>
      </c>
      <c r="I42" s="10" t="s">
        <v>23</v>
      </c>
      <c r="J42" s="11">
        <v>0.18</v>
      </c>
      <c r="K42" s="12"/>
      <c r="L42" s="12"/>
      <c r="M42" s="12"/>
      <c r="N42" s="12"/>
      <c r="O42" s="12"/>
      <c r="P42" s="12"/>
      <c r="Q42" s="12"/>
      <c r="R42" s="12"/>
      <c r="S42" s="12"/>
    </row>
    <row r="43" spans="1:19" ht="14.25" customHeight="1" x14ac:dyDescent="0.2">
      <c r="A43" s="1" t="s">
        <v>24</v>
      </c>
      <c r="B43" s="7">
        <v>46082.972685185188</v>
      </c>
      <c r="C43" s="7">
        <v>46082.98578703704</v>
      </c>
      <c r="D43" s="8">
        <v>46082</v>
      </c>
      <c r="E43" s="9">
        <v>0.9857870370396995</v>
      </c>
      <c r="F43" s="10" t="s">
        <v>100</v>
      </c>
      <c r="G43" s="10" t="s">
        <v>21</v>
      </c>
      <c r="H43" s="10" t="s">
        <v>101</v>
      </c>
      <c r="I43" s="10" t="s">
        <v>23</v>
      </c>
      <c r="J43" s="11">
        <v>1.7</v>
      </c>
      <c r="K43" s="12"/>
      <c r="L43" s="12"/>
      <c r="M43" s="12"/>
      <c r="N43" s="12"/>
      <c r="O43" s="12"/>
      <c r="P43" s="12"/>
      <c r="Q43" s="12"/>
      <c r="R43" s="12"/>
      <c r="S43" s="12"/>
    </row>
    <row r="44" spans="1:19" ht="14.25" customHeight="1" x14ac:dyDescent="0.2">
      <c r="A44" s="1" t="s">
        <v>95</v>
      </c>
      <c r="B44" s="7">
        <v>46082.97420138889</v>
      </c>
      <c r="C44" s="7">
        <v>46082.993171296293</v>
      </c>
      <c r="D44" s="8">
        <v>46082</v>
      </c>
      <c r="E44" s="9">
        <v>0.99317129629343981</v>
      </c>
      <c r="F44" s="10" t="s">
        <v>102</v>
      </c>
      <c r="G44" s="10" t="s">
        <v>21</v>
      </c>
      <c r="H44" s="10" t="s">
        <v>103</v>
      </c>
      <c r="I44" s="10" t="s">
        <v>23</v>
      </c>
      <c r="J44" s="11">
        <v>0.98</v>
      </c>
      <c r="K44" s="12"/>
      <c r="L44" s="12"/>
      <c r="M44" s="12"/>
      <c r="N44" s="12"/>
      <c r="O44" s="12"/>
      <c r="P44" s="12"/>
      <c r="Q44" s="12"/>
      <c r="R44" s="12"/>
      <c r="S44" s="12"/>
    </row>
    <row r="45" spans="1:19" ht="14.25" customHeight="1" x14ac:dyDescent="0.2">
      <c r="A45" s="1" t="s">
        <v>95</v>
      </c>
      <c r="B45" s="7">
        <v>46082.959791666668</v>
      </c>
      <c r="C45" s="7">
        <v>46082.995520833334</v>
      </c>
      <c r="D45" s="8">
        <v>46082</v>
      </c>
      <c r="E45" s="9">
        <v>0.99552083333401242</v>
      </c>
      <c r="F45" s="10" t="s">
        <v>104</v>
      </c>
      <c r="G45" s="10" t="s">
        <v>21</v>
      </c>
      <c r="H45" s="10" t="s">
        <v>105</v>
      </c>
      <c r="I45" s="10" t="s">
        <v>23</v>
      </c>
      <c r="J45" s="11">
        <v>2.5</v>
      </c>
      <c r="K45" s="12"/>
      <c r="L45" s="12"/>
      <c r="M45" s="12"/>
      <c r="N45" s="12"/>
      <c r="O45" s="12"/>
      <c r="P45" s="12"/>
      <c r="Q45" s="12"/>
      <c r="R45" s="12"/>
      <c r="S45" s="12"/>
    </row>
    <row r="46" spans="1:19" ht="14.25" customHeight="1" x14ac:dyDescent="0.2">
      <c r="A46" s="1" t="s">
        <v>42</v>
      </c>
      <c r="B46" s="7">
        <v>46082.971562500003</v>
      </c>
      <c r="C46" s="7">
        <v>46083.003217592595</v>
      </c>
      <c r="D46" s="8">
        <v>46083</v>
      </c>
      <c r="E46" s="9">
        <v>3.2175925953197293E-3</v>
      </c>
      <c r="F46" s="10" t="s">
        <v>106</v>
      </c>
      <c r="G46" s="10" t="s">
        <v>26</v>
      </c>
      <c r="H46" s="10" t="s">
        <v>56</v>
      </c>
      <c r="I46" s="10" t="s">
        <v>23</v>
      </c>
      <c r="J46" s="11">
        <v>0.73</v>
      </c>
      <c r="K46" s="12"/>
      <c r="L46" s="12">
        <f>SUM(J46:J61)</f>
        <v>19.010000000000002</v>
      </c>
      <c r="M46" s="13">
        <f>L46*65</f>
        <v>1235.6500000000001</v>
      </c>
      <c r="N46" s="14">
        <f>MAX(500,M46)</f>
        <v>1235.6500000000001</v>
      </c>
      <c r="O46" s="12"/>
      <c r="P46" s="12"/>
      <c r="Q46" s="12"/>
      <c r="R46" s="12"/>
      <c r="S46" s="12"/>
    </row>
    <row r="47" spans="1:19" ht="14.25" customHeight="1" x14ac:dyDescent="0.2">
      <c r="A47" s="1" t="s">
        <v>95</v>
      </c>
      <c r="B47" s="7">
        <v>46082.993275462963</v>
      </c>
      <c r="C47" s="7">
        <v>46083.004849537036</v>
      </c>
      <c r="D47" s="8">
        <v>46083</v>
      </c>
      <c r="E47" s="9">
        <v>4.8495370356249623E-3</v>
      </c>
      <c r="F47" s="10" t="s">
        <v>107</v>
      </c>
      <c r="G47" s="10" t="s">
        <v>21</v>
      </c>
      <c r="H47" s="10" t="s">
        <v>108</v>
      </c>
      <c r="I47" s="10" t="s">
        <v>23</v>
      </c>
      <c r="J47" s="11">
        <v>1.7</v>
      </c>
      <c r="K47" s="12"/>
      <c r="L47" s="12"/>
      <c r="M47" s="12"/>
      <c r="N47" s="12"/>
      <c r="O47" s="12"/>
      <c r="P47" s="12"/>
      <c r="Q47" s="12"/>
      <c r="R47" s="12"/>
      <c r="S47" s="12"/>
    </row>
    <row r="48" spans="1:19" ht="14.25" customHeight="1" x14ac:dyDescent="0.2">
      <c r="A48" s="1" t="s">
        <v>95</v>
      </c>
      <c r="B48" s="7">
        <v>46082.995451388888</v>
      </c>
      <c r="C48" s="7">
        <v>46083.005208333336</v>
      </c>
      <c r="D48" s="8">
        <v>46083</v>
      </c>
      <c r="E48" s="9">
        <v>5.2083333357586525E-3</v>
      </c>
      <c r="F48" s="10" t="s">
        <v>109</v>
      </c>
      <c r="G48" s="10" t="s">
        <v>21</v>
      </c>
      <c r="H48" s="10" t="s">
        <v>110</v>
      </c>
      <c r="I48" s="10" t="s">
        <v>23</v>
      </c>
      <c r="J48" s="11">
        <v>0.83</v>
      </c>
      <c r="K48" s="12"/>
      <c r="L48" s="12"/>
      <c r="M48" s="12"/>
      <c r="N48" s="12"/>
      <c r="O48" s="12"/>
      <c r="P48" s="12"/>
      <c r="Q48" s="12"/>
      <c r="R48" s="12"/>
      <c r="S48" s="12"/>
    </row>
    <row r="49" spans="1:19" ht="14.25" customHeight="1" x14ac:dyDescent="0.2">
      <c r="A49" s="1" t="s">
        <v>19</v>
      </c>
      <c r="B49" s="7">
        <v>46082.973865740743</v>
      </c>
      <c r="C49" s="7">
        <v>46083.00571759259</v>
      </c>
      <c r="D49" s="8">
        <v>46083</v>
      </c>
      <c r="E49" s="9">
        <v>5.7175925903720781E-3</v>
      </c>
      <c r="F49" s="10" t="s">
        <v>111</v>
      </c>
      <c r="G49" s="10" t="s">
        <v>21</v>
      </c>
      <c r="H49" s="10" t="s">
        <v>54</v>
      </c>
      <c r="I49" s="10" t="s">
        <v>23</v>
      </c>
      <c r="J49" s="11">
        <v>0.83</v>
      </c>
      <c r="K49" s="12"/>
      <c r="L49" s="12"/>
      <c r="M49" s="12"/>
      <c r="N49" s="12"/>
      <c r="O49" s="12"/>
      <c r="P49" s="12"/>
      <c r="Q49" s="12"/>
      <c r="R49" s="12"/>
      <c r="S49" s="12"/>
    </row>
    <row r="50" spans="1:19" ht="14.25" customHeight="1" x14ac:dyDescent="0.2">
      <c r="A50" s="1" t="s">
        <v>112</v>
      </c>
      <c r="B50" s="7">
        <v>46082.971087962964</v>
      </c>
      <c r="C50" s="7">
        <v>46083.006689814814</v>
      </c>
      <c r="D50" s="8">
        <v>46083</v>
      </c>
      <c r="E50" s="9">
        <v>6.6898148143081926E-3</v>
      </c>
      <c r="F50" s="10" t="s">
        <v>113</v>
      </c>
      <c r="G50" s="10" t="s">
        <v>21</v>
      </c>
      <c r="H50" s="10" t="s">
        <v>114</v>
      </c>
      <c r="I50" s="10" t="s">
        <v>23</v>
      </c>
      <c r="J50" s="11">
        <v>1.7</v>
      </c>
      <c r="K50" s="12"/>
      <c r="L50" s="12"/>
      <c r="M50" s="12"/>
      <c r="N50" s="12"/>
      <c r="O50" s="12"/>
      <c r="P50" s="12"/>
      <c r="Q50" s="12"/>
      <c r="R50" s="12"/>
      <c r="S50" s="12"/>
    </row>
    <row r="51" spans="1:19" ht="14.25" customHeight="1" x14ac:dyDescent="0.2">
      <c r="A51" s="1" t="s">
        <v>19</v>
      </c>
      <c r="B51" s="7">
        <v>46082.996516203704</v>
      </c>
      <c r="C51" s="7">
        <v>46083.007418981484</v>
      </c>
      <c r="D51" s="8">
        <v>46083</v>
      </c>
      <c r="E51" s="9">
        <v>7.4189814840792678E-3</v>
      </c>
      <c r="F51" s="10" t="s">
        <v>115</v>
      </c>
      <c r="G51" s="10" t="s">
        <v>21</v>
      </c>
      <c r="H51" s="10" t="s">
        <v>41</v>
      </c>
      <c r="I51" s="10" t="s">
        <v>23</v>
      </c>
      <c r="J51" s="11">
        <v>1.77</v>
      </c>
      <c r="K51" s="12"/>
      <c r="L51" s="12"/>
      <c r="M51" s="12"/>
      <c r="N51" s="12"/>
      <c r="O51" s="12"/>
      <c r="P51" s="12"/>
      <c r="Q51" s="12"/>
      <c r="R51" s="12"/>
      <c r="S51" s="12"/>
    </row>
    <row r="52" spans="1:19" ht="14.25" customHeight="1" x14ac:dyDescent="0.2">
      <c r="A52" s="1" t="s">
        <v>112</v>
      </c>
      <c r="B52" s="7">
        <v>46082.963796296295</v>
      </c>
      <c r="C52" s="7">
        <v>46083.007835648146</v>
      </c>
      <c r="D52" s="8">
        <v>46083</v>
      </c>
      <c r="E52" s="9">
        <v>7.8356481462833472E-3</v>
      </c>
      <c r="F52" s="10" t="s">
        <v>116</v>
      </c>
      <c r="G52" s="10" t="s">
        <v>21</v>
      </c>
      <c r="H52" s="10" t="s">
        <v>117</v>
      </c>
      <c r="I52" s="10" t="s">
        <v>23</v>
      </c>
      <c r="J52" s="11">
        <v>0.83</v>
      </c>
      <c r="K52" s="12"/>
      <c r="L52" s="12"/>
      <c r="M52" s="12"/>
      <c r="N52" s="12"/>
      <c r="O52" s="12"/>
      <c r="P52" s="12"/>
      <c r="Q52" s="12"/>
      <c r="R52" s="12"/>
      <c r="S52" s="12"/>
    </row>
    <row r="53" spans="1:19" ht="14.25" customHeight="1" x14ac:dyDescent="0.2">
      <c r="A53" s="1" t="s">
        <v>95</v>
      </c>
      <c r="B53" s="7">
        <v>46082.997986111113</v>
      </c>
      <c r="C53" s="7">
        <v>46083.008090277777</v>
      </c>
      <c r="D53" s="8">
        <v>46083</v>
      </c>
      <c r="E53" s="9">
        <v>8.0902777772280388E-3</v>
      </c>
      <c r="F53" s="10" t="s">
        <v>118</v>
      </c>
      <c r="G53" s="10" t="s">
        <v>21</v>
      </c>
      <c r="H53" s="10" t="s">
        <v>52</v>
      </c>
      <c r="I53" s="10" t="s">
        <v>23</v>
      </c>
      <c r="J53" s="11">
        <v>0.98</v>
      </c>
      <c r="K53" s="12"/>
      <c r="L53" s="12"/>
      <c r="M53" s="12"/>
      <c r="N53" s="12"/>
      <c r="O53" s="12"/>
      <c r="P53" s="12"/>
      <c r="Q53" s="12"/>
      <c r="R53" s="12"/>
      <c r="S53" s="12"/>
    </row>
    <row r="54" spans="1:19" ht="14.25" customHeight="1" x14ac:dyDescent="0.2">
      <c r="A54" s="1" t="s">
        <v>112</v>
      </c>
      <c r="B54" s="7">
        <v>46082.967442129629</v>
      </c>
      <c r="C54" s="7">
        <v>46083.008784722224</v>
      </c>
      <c r="D54" s="8">
        <v>46083</v>
      </c>
      <c r="E54" s="9">
        <v>8.7847222239361145E-3</v>
      </c>
      <c r="F54" s="10" t="s">
        <v>119</v>
      </c>
      <c r="G54" s="10" t="s">
        <v>21</v>
      </c>
      <c r="H54" s="10" t="s">
        <v>120</v>
      </c>
      <c r="I54" s="10" t="s">
        <v>23</v>
      </c>
      <c r="J54" s="11">
        <v>0.98</v>
      </c>
      <c r="K54" s="12"/>
      <c r="L54" s="12"/>
      <c r="M54" s="12"/>
      <c r="N54" s="12"/>
      <c r="O54" s="12"/>
      <c r="P54" s="12"/>
      <c r="Q54" s="12"/>
      <c r="R54" s="12"/>
      <c r="S54" s="12"/>
    </row>
    <row r="55" spans="1:19" ht="14.25" customHeight="1" x14ac:dyDescent="0.2">
      <c r="A55" s="1" t="s">
        <v>19</v>
      </c>
      <c r="B55" s="7">
        <v>46082.976006944446</v>
      </c>
      <c r="C55" s="7">
        <v>46083.010277777779</v>
      </c>
      <c r="D55" s="8">
        <v>46083</v>
      </c>
      <c r="E55" s="9">
        <v>1.0277777779265307E-2</v>
      </c>
      <c r="F55" s="10" t="s">
        <v>121</v>
      </c>
      <c r="G55" s="10" t="s">
        <v>21</v>
      </c>
      <c r="H55" s="10" t="s">
        <v>61</v>
      </c>
      <c r="I55" s="10" t="s">
        <v>23</v>
      </c>
      <c r="J55" s="11">
        <v>2.5</v>
      </c>
      <c r="K55" s="12"/>
      <c r="L55" s="12"/>
      <c r="M55" s="12"/>
      <c r="N55" s="12"/>
      <c r="O55" s="12"/>
      <c r="P55" s="12"/>
      <c r="Q55" s="12"/>
      <c r="R55" s="12"/>
      <c r="S55" s="12"/>
    </row>
    <row r="56" spans="1:19" ht="14.25" customHeight="1" x14ac:dyDescent="0.2">
      <c r="A56" s="1" t="s">
        <v>112</v>
      </c>
      <c r="B56" s="7">
        <v>46082.971087962964</v>
      </c>
      <c r="C56" s="7">
        <v>46083.011192129627</v>
      </c>
      <c r="D56" s="8">
        <v>46083</v>
      </c>
      <c r="E56" s="9">
        <v>1.1192129626579117E-2</v>
      </c>
      <c r="F56" s="10" t="s">
        <v>122</v>
      </c>
      <c r="G56" s="10" t="s">
        <v>21</v>
      </c>
      <c r="H56" s="10" t="s">
        <v>123</v>
      </c>
      <c r="I56" s="10" t="s">
        <v>23</v>
      </c>
      <c r="J56" s="11">
        <v>1.05</v>
      </c>
      <c r="K56" s="12"/>
      <c r="L56" s="12"/>
      <c r="M56" s="12"/>
      <c r="N56" s="12"/>
      <c r="O56" s="12"/>
      <c r="P56" s="12"/>
      <c r="Q56" s="12"/>
      <c r="R56" s="12"/>
      <c r="S56" s="12"/>
    </row>
    <row r="57" spans="1:19" ht="14.25" customHeight="1" x14ac:dyDescent="0.2">
      <c r="A57" s="1" t="s">
        <v>42</v>
      </c>
      <c r="B57" s="7">
        <v>46082.985925925925</v>
      </c>
      <c r="C57" s="7">
        <v>46083.01699074074</v>
      </c>
      <c r="D57" s="8">
        <v>46083</v>
      </c>
      <c r="E57" s="9">
        <v>1.6990740739856847E-2</v>
      </c>
      <c r="F57" s="10" t="s">
        <v>124</v>
      </c>
      <c r="G57" s="10" t="s">
        <v>26</v>
      </c>
      <c r="H57" s="10" t="s">
        <v>125</v>
      </c>
      <c r="I57" s="10" t="s">
        <v>23</v>
      </c>
      <c r="J57" s="11">
        <v>0.63</v>
      </c>
      <c r="K57" s="12"/>
      <c r="L57" s="12"/>
      <c r="M57" s="12"/>
      <c r="N57" s="12"/>
      <c r="O57" s="12"/>
      <c r="P57" s="12"/>
      <c r="Q57" s="12"/>
      <c r="R57" s="12"/>
      <c r="S57" s="12"/>
    </row>
    <row r="58" spans="1:19" ht="14.25" customHeight="1" x14ac:dyDescent="0.2">
      <c r="A58" s="1" t="s">
        <v>95</v>
      </c>
      <c r="B58" s="7">
        <v>46083.019837962966</v>
      </c>
      <c r="C58" s="7">
        <v>46083.020381944443</v>
      </c>
      <c r="D58" s="8">
        <v>46083</v>
      </c>
      <c r="E58" s="9">
        <v>2.0381944443215616E-2</v>
      </c>
      <c r="F58" s="10" t="s">
        <v>126</v>
      </c>
      <c r="G58" s="10" t="s">
        <v>21</v>
      </c>
      <c r="H58" s="10" t="s">
        <v>110</v>
      </c>
      <c r="I58" s="10" t="s">
        <v>23</v>
      </c>
      <c r="J58" s="11">
        <v>0.83</v>
      </c>
      <c r="K58" s="12"/>
      <c r="L58" s="12"/>
      <c r="M58" s="12"/>
      <c r="N58" s="12"/>
      <c r="O58" s="12"/>
      <c r="P58" s="12"/>
      <c r="Q58" s="12"/>
      <c r="R58" s="12"/>
      <c r="S58" s="12"/>
    </row>
    <row r="59" spans="1:19" ht="14.25" customHeight="1" x14ac:dyDescent="0.2">
      <c r="A59" s="1" t="s">
        <v>24</v>
      </c>
      <c r="B59" s="7">
        <v>46083.001886574071</v>
      </c>
      <c r="C59" s="7">
        <v>46083.02511574074</v>
      </c>
      <c r="D59" s="8">
        <v>46083</v>
      </c>
      <c r="E59" s="9">
        <v>2.5115740740147885E-2</v>
      </c>
      <c r="F59" s="10" t="s">
        <v>127</v>
      </c>
      <c r="G59" s="10" t="s">
        <v>26</v>
      </c>
      <c r="H59" s="10" t="s">
        <v>128</v>
      </c>
      <c r="I59" s="10" t="s">
        <v>23</v>
      </c>
      <c r="J59" s="11">
        <v>0.97</v>
      </c>
      <c r="K59" s="12"/>
      <c r="L59" s="12"/>
      <c r="M59" s="12"/>
      <c r="N59" s="12"/>
      <c r="O59" s="12"/>
      <c r="P59" s="12"/>
      <c r="Q59" s="12"/>
      <c r="R59" s="12"/>
      <c r="S59" s="12"/>
    </row>
    <row r="60" spans="1:19" ht="14.25" customHeight="1" x14ac:dyDescent="0.2">
      <c r="A60" s="1" t="s">
        <v>95</v>
      </c>
      <c r="B60" s="7">
        <v>46083.006828703707</v>
      </c>
      <c r="C60" s="7">
        <v>46083.034490740742</v>
      </c>
      <c r="D60" s="8">
        <v>46083</v>
      </c>
      <c r="E60" s="9">
        <v>3.4490740741603076E-2</v>
      </c>
      <c r="F60" s="10" t="s">
        <v>129</v>
      </c>
      <c r="G60" s="10" t="s">
        <v>21</v>
      </c>
      <c r="H60" s="10" t="s">
        <v>52</v>
      </c>
      <c r="I60" s="10" t="s">
        <v>23</v>
      </c>
      <c r="J60" s="11">
        <v>0.98</v>
      </c>
      <c r="K60" s="12"/>
      <c r="L60" s="12"/>
      <c r="M60" s="12"/>
      <c r="N60" s="12"/>
      <c r="O60" s="12"/>
      <c r="P60" s="12"/>
      <c r="Q60" s="12"/>
      <c r="R60" s="12"/>
      <c r="S60" s="12"/>
    </row>
    <row r="61" spans="1:19" ht="14.25" customHeight="1" x14ac:dyDescent="0.2">
      <c r="A61" s="1" t="s">
        <v>95</v>
      </c>
      <c r="B61" s="7">
        <v>46083.022696759261</v>
      </c>
      <c r="C61" s="7">
        <v>46083.040798611109</v>
      </c>
      <c r="D61" s="8">
        <v>46083</v>
      </c>
      <c r="E61" s="9">
        <v>4.0798611109494232E-2</v>
      </c>
      <c r="F61" s="10" t="s">
        <v>130</v>
      </c>
      <c r="G61" s="10" t="s">
        <v>21</v>
      </c>
      <c r="H61" s="10" t="s">
        <v>108</v>
      </c>
      <c r="I61" s="10" t="s">
        <v>23</v>
      </c>
      <c r="J61" s="11">
        <v>1.7</v>
      </c>
      <c r="K61" s="12"/>
      <c r="L61" s="12"/>
      <c r="M61" s="12"/>
      <c r="N61" s="12"/>
      <c r="O61" s="12"/>
      <c r="P61" s="12"/>
      <c r="Q61" s="12"/>
      <c r="R61" s="12"/>
      <c r="S61" s="12"/>
    </row>
    <row r="62" spans="1:19" ht="14.25" customHeight="1" x14ac:dyDescent="0.2">
      <c r="A62" s="1" t="s">
        <v>28</v>
      </c>
      <c r="B62" s="7">
        <v>46083.034375000003</v>
      </c>
      <c r="C62" s="7">
        <v>46083.048715277779</v>
      </c>
      <c r="D62" s="8">
        <v>46083</v>
      </c>
      <c r="E62" s="9">
        <v>4.871527777868323E-2</v>
      </c>
      <c r="F62" s="10" t="s">
        <v>131</v>
      </c>
      <c r="G62" s="10" t="s">
        <v>21</v>
      </c>
      <c r="H62" s="10" t="s">
        <v>41</v>
      </c>
      <c r="I62" s="10" t="s">
        <v>23</v>
      </c>
      <c r="J62" s="11">
        <v>1.77</v>
      </c>
      <c r="K62" s="12"/>
      <c r="L62" s="12"/>
      <c r="M62" s="12"/>
      <c r="N62" s="12"/>
      <c r="O62" s="12"/>
      <c r="P62" s="12"/>
      <c r="Q62" s="12"/>
      <c r="R62" s="12"/>
      <c r="S62" s="12"/>
    </row>
    <row r="63" spans="1:19" ht="14.25" customHeight="1" x14ac:dyDescent="0.2">
      <c r="A63" s="1" t="s">
        <v>57</v>
      </c>
      <c r="B63" s="7">
        <v>46083.019745370373</v>
      </c>
      <c r="C63" s="7">
        <v>46083.049699074072</v>
      </c>
      <c r="D63" s="8">
        <v>46083</v>
      </c>
      <c r="E63" s="9">
        <v>4.969907407212304E-2</v>
      </c>
      <c r="F63" s="10" t="s">
        <v>132</v>
      </c>
      <c r="G63" s="10" t="s">
        <v>21</v>
      </c>
      <c r="H63" s="10" t="s">
        <v>133</v>
      </c>
      <c r="I63" s="10" t="s">
        <v>23</v>
      </c>
      <c r="J63" s="11">
        <v>0.98</v>
      </c>
      <c r="K63" s="12"/>
      <c r="L63" s="12"/>
      <c r="M63" s="12"/>
      <c r="N63" s="12"/>
      <c r="O63" s="12"/>
      <c r="P63" s="12"/>
      <c r="Q63" s="12"/>
      <c r="R63" s="12"/>
      <c r="S63" s="12"/>
    </row>
    <row r="64" spans="1:19" ht="14.25" customHeight="1" x14ac:dyDescent="0.2">
      <c r="A64" s="1" t="s">
        <v>19</v>
      </c>
      <c r="B64" s="7">
        <v>46083.043275462966</v>
      </c>
      <c r="C64" s="7">
        <v>46083.05</v>
      </c>
      <c r="D64" s="8">
        <v>46083</v>
      </c>
      <c r="E64" s="9">
        <v>5.0000000002910383E-2</v>
      </c>
      <c r="F64" s="10" t="s">
        <v>134</v>
      </c>
      <c r="G64" s="10" t="s">
        <v>21</v>
      </c>
      <c r="H64" s="10" t="s">
        <v>22</v>
      </c>
      <c r="I64" s="10" t="s">
        <v>23</v>
      </c>
      <c r="J64" s="11">
        <v>0.83</v>
      </c>
      <c r="K64" s="12"/>
      <c r="L64" s="12"/>
      <c r="M64" s="12"/>
      <c r="N64" s="12"/>
      <c r="O64" s="12"/>
      <c r="P64" s="12"/>
      <c r="Q64" s="12"/>
      <c r="R64" s="12"/>
      <c r="S64" s="12"/>
    </row>
    <row r="65" spans="1:19" ht="14.25" customHeight="1" x14ac:dyDescent="0.2">
      <c r="A65" s="1" t="s">
        <v>19</v>
      </c>
      <c r="B65" s="7">
        <v>46083.044606481482</v>
      </c>
      <c r="C65" s="7">
        <v>46083.056446759256</v>
      </c>
      <c r="D65" s="8">
        <v>46083</v>
      </c>
      <c r="E65" s="9">
        <v>5.6446759255777579E-2</v>
      </c>
      <c r="F65" s="10" t="s">
        <v>135</v>
      </c>
      <c r="G65" s="10" t="s">
        <v>21</v>
      </c>
      <c r="H65" s="10" t="s">
        <v>101</v>
      </c>
      <c r="I65" s="10" t="s">
        <v>23</v>
      </c>
      <c r="J65" s="11">
        <v>1.7</v>
      </c>
      <c r="K65" s="12"/>
      <c r="L65" s="12"/>
      <c r="M65" s="12"/>
      <c r="N65" s="12"/>
      <c r="O65" s="12"/>
      <c r="P65" s="12"/>
      <c r="Q65" s="12"/>
      <c r="R65" s="12"/>
      <c r="S65" s="12"/>
    </row>
    <row r="66" spans="1:19" ht="14.25" customHeight="1" x14ac:dyDescent="0.2">
      <c r="A66" s="1" t="s">
        <v>95</v>
      </c>
      <c r="B66" s="7">
        <v>46083.006828703707</v>
      </c>
      <c r="C66" s="7">
        <v>46083.056759259256</v>
      </c>
      <c r="D66" s="8">
        <v>46083</v>
      </c>
      <c r="E66" s="9">
        <v>5.6759259256068617E-2</v>
      </c>
      <c r="F66" s="10" t="s">
        <v>136</v>
      </c>
      <c r="G66" s="10" t="s">
        <v>21</v>
      </c>
      <c r="H66" s="10" t="s">
        <v>110</v>
      </c>
      <c r="I66" s="10" t="s">
        <v>23</v>
      </c>
      <c r="J66" s="11">
        <v>0.83</v>
      </c>
      <c r="K66" s="12"/>
      <c r="L66" s="12"/>
      <c r="M66" s="12"/>
      <c r="N66" s="12"/>
      <c r="O66" s="12"/>
      <c r="P66" s="12"/>
      <c r="Q66" s="12"/>
      <c r="R66" s="12"/>
      <c r="S66" s="12"/>
    </row>
    <row r="67" spans="1:19" ht="14.25" customHeight="1" x14ac:dyDescent="0.2">
      <c r="A67" s="1" t="s">
        <v>95</v>
      </c>
      <c r="B67" s="7">
        <v>46083.039965277778</v>
      </c>
      <c r="C67" s="7">
        <v>46083.056956018518</v>
      </c>
      <c r="D67" s="8">
        <v>46083</v>
      </c>
      <c r="E67" s="9">
        <v>5.6956018517666962E-2</v>
      </c>
      <c r="F67" s="10" t="s">
        <v>137</v>
      </c>
      <c r="G67" s="10" t="s">
        <v>21</v>
      </c>
      <c r="H67" s="10" t="s">
        <v>110</v>
      </c>
      <c r="I67" s="10" t="s">
        <v>23</v>
      </c>
      <c r="J67" s="11">
        <v>0.83</v>
      </c>
      <c r="K67" s="12"/>
      <c r="L67" s="12"/>
      <c r="M67" s="12"/>
      <c r="N67" s="12"/>
      <c r="O67" s="12"/>
      <c r="P67" s="12"/>
      <c r="Q67" s="12"/>
      <c r="R67" s="12"/>
      <c r="S67" s="12"/>
    </row>
    <row r="68" spans="1:19" ht="14.25" customHeight="1" x14ac:dyDescent="0.2">
      <c r="A68" s="1" t="s">
        <v>42</v>
      </c>
      <c r="B68" s="7">
        <v>46083.021157407406</v>
      </c>
      <c r="C68" s="7">
        <v>46083.057256944441</v>
      </c>
      <c r="D68" s="8">
        <v>46083</v>
      </c>
      <c r="E68" s="9">
        <v>5.7256944441178348E-2</v>
      </c>
      <c r="F68" s="10" t="s">
        <v>138</v>
      </c>
      <c r="G68" s="10" t="s">
        <v>26</v>
      </c>
      <c r="H68" s="10" t="s">
        <v>76</v>
      </c>
      <c r="I68" s="10" t="s">
        <v>23</v>
      </c>
      <c r="J68" s="11">
        <v>0.75</v>
      </c>
      <c r="K68" s="12"/>
      <c r="L68" s="12"/>
      <c r="M68" s="12"/>
      <c r="N68" s="12"/>
      <c r="O68" s="12"/>
      <c r="P68" s="12"/>
      <c r="Q68" s="12"/>
      <c r="R68" s="12"/>
      <c r="S68" s="12"/>
    </row>
    <row r="69" spans="1:19" ht="14.25" customHeight="1" x14ac:dyDescent="0.2">
      <c r="A69" s="1" t="s">
        <v>42</v>
      </c>
      <c r="B69" s="7">
        <v>46083.052685185183</v>
      </c>
      <c r="C69" s="7">
        <v>46083.064212962963</v>
      </c>
      <c r="D69" s="8">
        <v>46083</v>
      </c>
      <c r="E69" s="9">
        <v>6.4212962963210884E-2</v>
      </c>
      <c r="F69" s="10" t="s">
        <v>139</v>
      </c>
      <c r="G69" s="10" t="s">
        <v>44</v>
      </c>
      <c r="H69" s="10" t="s">
        <v>140</v>
      </c>
      <c r="I69" s="10" t="s">
        <v>23</v>
      </c>
      <c r="J69" s="11">
        <v>0.18</v>
      </c>
      <c r="K69" s="12"/>
      <c r="L69" s="12"/>
      <c r="M69" s="12"/>
      <c r="N69" s="12"/>
      <c r="O69" s="12"/>
      <c r="P69" s="12"/>
      <c r="Q69" s="12"/>
      <c r="R69" s="12"/>
      <c r="S69" s="12"/>
    </row>
    <row r="70" spans="1:19" ht="14.25" customHeight="1" x14ac:dyDescent="0.2">
      <c r="A70" s="1" t="s">
        <v>24</v>
      </c>
      <c r="B70" s="7">
        <v>46083.045555555553</v>
      </c>
      <c r="C70" s="7">
        <v>46083.067187499997</v>
      </c>
      <c r="D70" s="8">
        <v>46083</v>
      </c>
      <c r="E70" s="9">
        <v>6.7187499997089617E-2</v>
      </c>
      <c r="F70" s="10" t="s">
        <v>141</v>
      </c>
      <c r="G70" s="10" t="s">
        <v>21</v>
      </c>
      <c r="H70" s="10" t="s">
        <v>142</v>
      </c>
      <c r="I70" s="10" t="s">
        <v>23</v>
      </c>
      <c r="J70" s="11">
        <v>0.83</v>
      </c>
      <c r="K70" s="12"/>
      <c r="L70" s="12"/>
      <c r="M70" s="12"/>
      <c r="N70" s="12"/>
      <c r="O70" s="12"/>
      <c r="P70" s="12"/>
      <c r="Q70" s="12"/>
      <c r="R70" s="12"/>
      <c r="S70" s="12"/>
    </row>
    <row r="71" spans="1:19" ht="14.25" customHeight="1" x14ac:dyDescent="0.2">
      <c r="A71" s="1" t="s">
        <v>24</v>
      </c>
      <c r="B71" s="7">
        <v>46083.045555555553</v>
      </c>
      <c r="C71" s="7">
        <v>46083.067407407405</v>
      </c>
      <c r="D71" s="8">
        <v>46083</v>
      </c>
      <c r="E71" s="9">
        <v>6.7407407404971309E-2</v>
      </c>
      <c r="F71" s="10" t="s">
        <v>143</v>
      </c>
      <c r="G71" s="10" t="s">
        <v>21</v>
      </c>
      <c r="H71" s="10" t="s">
        <v>52</v>
      </c>
      <c r="I71" s="10" t="s">
        <v>23</v>
      </c>
      <c r="J71" s="11">
        <v>0.98</v>
      </c>
      <c r="K71" s="12"/>
      <c r="L71" s="12"/>
      <c r="M71" s="12"/>
      <c r="N71" s="12"/>
      <c r="O71" s="12"/>
      <c r="P71" s="12"/>
      <c r="Q71" s="12"/>
      <c r="R71" s="12"/>
      <c r="S71" s="12"/>
    </row>
    <row r="72" spans="1:19" ht="14.25" customHeight="1" x14ac:dyDescent="0.2">
      <c r="A72" s="1" t="s">
        <v>24</v>
      </c>
      <c r="B72" s="7">
        <v>46083.049293981479</v>
      </c>
      <c r="C72" s="7">
        <v>46083.067777777775</v>
      </c>
      <c r="D72" s="8">
        <v>46083</v>
      </c>
      <c r="E72" s="9">
        <v>6.7777777774608694E-2</v>
      </c>
      <c r="F72" s="10" t="s">
        <v>144</v>
      </c>
      <c r="G72" s="10" t="s">
        <v>21</v>
      </c>
      <c r="H72" s="10" t="s">
        <v>142</v>
      </c>
      <c r="I72" s="10" t="s">
        <v>23</v>
      </c>
      <c r="J72" s="11">
        <v>0.83</v>
      </c>
      <c r="K72" s="12"/>
      <c r="L72" s="12"/>
      <c r="M72" s="12"/>
      <c r="N72" s="12"/>
      <c r="O72" s="12"/>
      <c r="P72" s="12"/>
      <c r="Q72" s="12"/>
      <c r="R72" s="12"/>
      <c r="S72" s="12"/>
    </row>
    <row r="73" spans="1:19" ht="14.25" customHeight="1" x14ac:dyDescent="0.2">
      <c r="A73" s="1" t="s">
        <v>95</v>
      </c>
      <c r="B73" s="7">
        <v>46083.048981481479</v>
      </c>
      <c r="C73" s="7">
        <v>46083.071574074071</v>
      </c>
      <c r="D73" s="8">
        <v>46083</v>
      </c>
      <c r="E73" s="9">
        <v>7.1574074070667848E-2</v>
      </c>
      <c r="F73" s="10" t="s">
        <v>145</v>
      </c>
      <c r="G73" s="10" t="s">
        <v>21</v>
      </c>
      <c r="H73" s="10" t="s">
        <v>97</v>
      </c>
      <c r="I73" s="10" t="s">
        <v>23</v>
      </c>
      <c r="J73" s="11">
        <v>1.77</v>
      </c>
      <c r="K73" s="12"/>
      <c r="L73" s="12"/>
      <c r="M73" s="12"/>
      <c r="N73" s="12"/>
      <c r="O73" s="12"/>
      <c r="P73" s="12"/>
      <c r="Q73" s="12"/>
      <c r="R73" s="12"/>
      <c r="S73" s="12"/>
    </row>
    <row r="74" spans="1:19" ht="14.25" customHeight="1" x14ac:dyDescent="0.2">
      <c r="A74" s="1" t="s">
        <v>19</v>
      </c>
      <c r="B74" s="7">
        <v>46083.063391203701</v>
      </c>
      <c r="C74" s="7">
        <v>46083.074004629627</v>
      </c>
      <c r="D74" s="8">
        <v>46083</v>
      </c>
      <c r="E74" s="9">
        <v>7.4004629626870155E-2</v>
      </c>
      <c r="F74" s="10" t="s">
        <v>146</v>
      </c>
      <c r="G74" s="10" t="s">
        <v>21</v>
      </c>
      <c r="H74" s="10" t="s">
        <v>41</v>
      </c>
      <c r="I74" s="10" t="s">
        <v>23</v>
      </c>
      <c r="J74" s="11">
        <v>1.77</v>
      </c>
      <c r="K74" s="12"/>
      <c r="L74" s="12"/>
      <c r="M74" s="12"/>
      <c r="N74" s="12"/>
      <c r="O74" s="12"/>
      <c r="P74" s="12"/>
      <c r="Q74" s="12"/>
      <c r="R74" s="12"/>
      <c r="S74" s="12"/>
    </row>
    <row r="75" spans="1:19" ht="14.25" customHeight="1" x14ac:dyDescent="0.2">
      <c r="A75" s="1" t="s">
        <v>24</v>
      </c>
      <c r="B75" s="7">
        <v>46083.060335648152</v>
      </c>
      <c r="C75" s="7">
        <v>46083.074629629627</v>
      </c>
      <c r="D75" s="8">
        <v>46083</v>
      </c>
      <c r="E75" s="9">
        <v>7.4629629627452232E-2</v>
      </c>
      <c r="F75" s="10" t="s">
        <v>147</v>
      </c>
      <c r="G75" s="10" t="s">
        <v>21</v>
      </c>
      <c r="H75" s="10" t="s">
        <v>52</v>
      </c>
      <c r="I75" s="10" t="s">
        <v>23</v>
      </c>
      <c r="J75" s="11">
        <v>0.98</v>
      </c>
      <c r="K75" s="12"/>
      <c r="L75" s="12"/>
      <c r="M75" s="12"/>
      <c r="N75" s="12"/>
      <c r="O75" s="12"/>
      <c r="P75" s="12"/>
      <c r="Q75" s="12"/>
      <c r="R75" s="12"/>
      <c r="S75" s="12"/>
    </row>
    <row r="76" spans="1:19" ht="14.25" customHeight="1" x14ac:dyDescent="0.2">
      <c r="A76" s="1" t="s">
        <v>148</v>
      </c>
      <c r="B76" s="7">
        <v>46083.040254629632</v>
      </c>
      <c r="C76" s="7">
        <v>46083.075023148151</v>
      </c>
      <c r="D76" s="8">
        <v>46083</v>
      </c>
      <c r="E76" s="9">
        <v>7.5023148150648922E-2</v>
      </c>
      <c r="F76" s="10" t="s">
        <v>149</v>
      </c>
      <c r="G76" s="10" t="s">
        <v>21</v>
      </c>
      <c r="H76" s="10" t="s">
        <v>150</v>
      </c>
      <c r="I76" s="10" t="s">
        <v>23</v>
      </c>
      <c r="J76" s="11">
        <v>1.77</v>
      </c>
      <c r="K76" s="12"/>
      <c r="L76" s="12"/>
      <c r="M76" s="12"/>
      <c r="N76" s="12"/>
      <c r="O76" s="12"/>
      <c r="P76" s="12"/>
      <c r="Q76" s="12"/>
      <c r="R76" s="12"/>
      <c r="S76" s="12"/>
    </row>
    <row r="77" spans="1:19" ht="14.25" customHeight="1" x14ac:dyDescent="0.2">
      <c r="A77" s="1" t="s">
        <v>148</v>
      </c>
      <c r="B77" s="7">
        <v>46083.040254629632</v>
      </c>
      <c r="C77" s="7">
        <v>46083.075648148151</v>
      </c>
      <c r="D77" s="8">
        <v>46083</v>
      </c>
      <c r="E77" s="9">
        <v>7.5648148151230998E-2</v>
      </c>
      <c r="F77" s="10" t="s">
        <v>151</v>
      </c>
      <c r="G77" s="10" t="s">
        <v>21</v>
      </c>
      <c r="H77" s="10" t="s">
        <v>152</v>
      </c>
      <c r="I77" s="10" t="s">
        <v>23</v>
      </c>
      <c r="J77" s="11">
        <v>1.77</v>
      </c>
      <c r="K77" s="12"/>
      <c r="L77" s="12"/>
      <c r="M77" s="12"/>
      <c r="N77" s="12"/>
      <c r="O77" s="12"/>
      <c r="P77" s="12"/>
      <c r="Q77" s="12"/>
      <c r="R77" s="12"/>
      <c r="S77" s="12"/>
    </row>
    <row r="78" spans="1:19" ht="14.25" customHeight="1" x14ac:dyDescent="0.2">
      <c r="A78" s="1" t="s">
        <v>95</v>
      </c>
      <c r="B78" s="7">
        <v>46083.061469907407</v>
      </c>
      <c r="C78" s="7">
        <v>46083.076192129629</v>
      </c>
      <c r="D78" s="8">
        <v>46083</v>
      </c>
      <c r="E78" s="9">
        <v>7.6192129628907423E-2</v>
      </c>
      <c r="F78" s="10" t="s">
        <v>153</v>
      </c>
      <c r="G78" s="10" t="s">
        <v>21</v>
      </c>
      <c r="H78" s="10" t="s">
        <v>154</v>
      </c>
      <c r="I78" s="10" t="s">
        <v>23</v>
      </c>
      <c r="J78" s="11">
        <v>1.77</v>
      </c>
      <c r="K78" s="12"/>
      <c r="L78" s="12"/>
      <c r="M78" s="12"/>
      <c r="N78" s="12"/>
      <c r="O78" s="12"/>
      <c r="P78" s="12"/>
      <c r="Q78" s="12"/>
      <c r="R78" s="12"/>
      <c r="S78" s="12"/>
    </row>
    <row r="79" spans="1:19" ht="14.25" customHeight="1" x14ac:dyDescent="0.2">
      <c r="A79" s="1" t="s">
        <v>95</v>
      </c>
      <c r="B79" s="7">
        <v>46083.061469907407</v>
      </c>
      <c r="C79" s="7">
        <v>46083.076770833337</v>
      </c>
      <c r="D79" s="8">
        <v>46083</v>
      </c>
      <c r="E79" s="9">
        <v>7.6770833336922806E-2</v>
      </c>
      <c r="F79" s="10" t="s">
        <v>155</v>
      </c>
      <c r="G79" s="10" t="s">
        <v>21</v>
      </c>
      <c r="H79" s="10" t="s">
        <v>97</v>
      </c>
      <c r="I79" s="10" t="s">
        <v>23</v>
      </c>
      <c r="J79" s="11">
        <v>1.77</v>
      </c>
      <c r="K79" s="12"/>
      <c r="L79" s="12"/>
      <c r="M79" s="12"/>
      <c r="N79" s="12"/>
      <c r="O79" s="12"/>
      <c r="P79" s="12"/>
      <c r="Q79" s="12"/>
      <c r="R79" s="12"/>
      <c r="S79" s="12"/>
    </row>
    <row r="80" spans="1:19" ht="14.25" customHeight="1" x14ac:dyDescent="0.2">
      <c r="A80" s="1" t="s">
        <v>42</v>
      </c>
      <c r="B80" s="7">
        <v>46083.053090277775</v>
      </c>
      <c r="C80" s="7">
        <v>46083.077569444446</v>
      </c>
      <c r="D80" s="8">
        <v>46083</v>
      </c>
      <c r="E80" s="9">
        <v>7.7569444445543922E-2</v>
      </c>
      <c r="F80" s="10" t="s">
        <v>156</v>
      </c>
      <c r="G80" s="10" t="s">
        <v>26</v>
      </c>
      <c r="H80" s="10" t="s">
        <v>157</v>
      </c>
      <c r="I80" s="10" t="s">
        <v>23</v>
      </c>
      <c r="J80" s="11">
        <v>0.73</v>
      </c>
      <c r="K80" s="12"/>
      <c r="L80" s="12"/>
      <c r="M80" s="12"/>
      <c r="N80" s="12"/>
      <c r="O80" s="12"/>
      <c r="P80" s="12"/>
      <c r="Q80" s="12"/>
      <c r="R80" s="12"/>
      <c r="S80" s="12"/>
    </row>
    <row r="81" spans="1:19" ht="14.25" customHeight="1" x14ac:dyDescent="0.2">
      <c r="A81" s="1" t="s">
        <v>19</v>
      </c>
      <c r="B81" s="7">
        <v>46083.066145833334</v>
      </c>
      <c r="C81" s="7">
        <v>46083.088055555556</v>
      </c>
      <c r="D81" s="8">
        <v>46083</v>
      </c>
      <c r="E81" s="9">
        <v>8.8055555555911269E-2</v>
      </c>
      <c r="F81" s="10" t="s">
        <v>158</v>
      </c>
      <c r="G81" s="10" t="s">
        <v>21</v>
      </c>
      <c r="H81" s="10" t="s">
        <v>39</v>
      </c>
      <c r="I81" s="10" t="s">
        <v>23</v>
      </c>
      <c r="J81" s="11">
        <v>1.77</v>
      </c>
      <c r="K81" s="12"/>
      <c r="L81" s="12"/>
      <c r="M81" s="12"/>
      <c r="N81" s="12"/>
      <c r="O81" s="12"/>
      <c r="P81" s="12"/>
      <c r="Q81" s="12"/>
      <c r="R81" s="12"/>
      <c r="S81" s="12"/>
    </row>
    <row r="82" spans="1:19" ht="14.25" customHeight="1" x14ac:dyDescent="0.2">
      <c r="A82" s="1" t="s">
        <v>28</v>
      </c>
      <c r="B82" s="7">
        <v>46083.077037037037</v>
      </c>
      <c r="C82" s="7">
        <v>46083.088680555556</v>
      </c>
      <c r="D82" s="8">
        <v>46083</v>
      </c>
      <c r="E82" s="9">
        <v>8.8680555556493346E-2</v>
      </c>
      <c r="F82" s="10" t="s">
        <v>159</v>
      </c>
      <c r="G82" s="10" t="s">
        <v>21</v>
      </c>
      <c r="H82" s="10" t="s">
        <v>41</v>
      </c>
      <c r="I82" s="10" t="s">
        <v>23</v>
      </c>
      <c r="J82" s="11">
        <v>1.77</v>
      </c>
      <c r="K82" s="12"/>
      <c r="L82" s="12"/>
      <c r="M82" s="12"/>
      <c r="N82" s="12"/>
      <c r="O82" s="12"/>
      <c r="P82" s="12"/>
      <c r="Q82" s="12"/>
      <c r="R82" s="12"/>
      <c r="S82" s="12"/>
    </row>
    <row r="83" spans="1:19" ht="14.25" customHeight="1" x14ac:dyDescent="0.2">
      <c r="A83" s="1" t="s">
        <v>33</v>
      </c>
      <c r="B83" s="7">
        <v>46083.0859837963</v>
      </c>
      <c r="C83" s="7">
        <v>46083.098726851851</v>
      </c>
      <c r="D83" s="8">
        <v>46083</v>
      </c>
      <c r="E83" s="9">
        <v>9.8726851851097308E-2</v>
      </c>
      <c r="F83" s="10" t="s">
        <v>160</v>
      </c>
      <c r="G83" s="10" t="s">
        <v>21</v>
      </c>
      <c r="H83" s="10" t="s">
        <v>22</v>
      </c>
      <c r="I83" s="10" t="s">
        <v>23</v>
      </c>
      <c r="J83" s="11">
        <v>0.83</v>
      </c>
      <c r="K83" s="12"/>
      <c r="L83" s="12"/>
      <c r="M83" s="12"/>
      <c r="N83" s="12"/>
      <c r="O83" s="12"/>
      <c r="P83" s="12"/>
      <c r="Q83" s="12"/>
      <c r="R83" s="12"/>
      <c r="S83" s="12"/>
    </row>
    <row r="84" spans="1:19" ht="14.25" customHeight="1" x14ac:dyDescent="0.2">
      <c r="A84" s="1" t="s">
        <v>19</v>
      </c>
      <c r="B84" s="7">
        <v>46083.087731481479</v>
      </c>
      <c r="C84" s="7">
        <v>46083.110694444447</v>
      </c>
      <c r="D84" s="8">
        <v>46083</v>
      </c>
      <c r="E84" s="9">
        <v>0.11069444444729015</v>
      </c>
      <c r="F84" s="10" t="s">
        <v>161</v>
      </c>
      <c r="G84" s="10" t="s">
        <v>26</v>
      </c>
      <c r="H84" s="10" t="s">
        <v>162</v>
      </c>
      <c r="I84" s="10" t="s">
        <v>23</v>
      </c>
      <c r="J84" s="11">
        <v>0.49</v>
      </c>
      <c r="K84" s="12"/>
      <c r="L84" s="12"/>
      <c r="M84" s="12"/>
      <c r="N84" s="12"/>
      <c r="O84" s="12"/>
      <c r="P84" s="12"/>
      <c r="Q84" s="12"/>
      <c r="R84" s="12"/>
      <c r="S84" s="12"/>
    </row>
    <row r="85" spans="1:19" ht="14.25" customHeight="1" x14ac:dyDescent="0.2">
      <c r="A85" s="1" t="s">
        <v>28</v>
      </c>
      <c r="B85" s="7">
        <v>46083.100868055553</v>
      </c>
      <c r="C85" s="7">
        <v>46083.118217592593</v>
      </c>
      <c r="D85" s="8">
        <v>46083</v>
      </c>
      <c r="E85" s="9">
        <v>0.11821759259328246</v>
      </c>
      <c r="F85" s="10" t="s">
        <v>163</v>
      </c>
      <c r="G85" s="10" t="s">
        <v>21</v>
      </c>
      <c r="H85" s="10" t="s">
        <v>39</v>
      </c>
      <c r="I85" s="10" t="s">
        <v>23</v>
      </c>
      <c r="J85" s="11">
        <v>1.77</v>
      </c>
      <c r="K85" s="12"/>
      <c r="L85" s="12"/>
      <c r="M85" s="12"/>
      <c r="N85" s="12"/>
      <c r="O85" s="12"/>
      <c r="P85" s="12"/>
      <c r="Q85" s="12"/>
      <c r="R85" s="12"/>
      <c r="S85" s="12"/>
    </row>
    <row r="86" spans="1:19" ht="14.25" customHeight="1" x14ac:dyDescent="0.2">
      <c r="A86" s="1" t="s">
        <v>33</v>
      </c>
      <c r="B86" s="7">
        <v>46083.110405092593</v>
      </c>
      <c r="C86" s="7">
        <v>46083.123645833337</v>
      </c>
      <c r="D86" s="8">
        <v>46083</v>
      </c>
      <c r="E86" s="9">
        <v>0.12364583333692281</v>
      </c>
      <c r="F86" s="10" t="s">
        <v>164</v>
      </c>
      <c r="G86" s="10" t="s">
        <v>21</v>
      </c>
      <c r="H86" s="10" t="s">
        <v>101</v>
      </c>
      <c r="I86" s="10" t="s">
        <v>23</v>
      </c>
      <c r="J86" s="11">
        <v>1.7</v>
      </c>
      <c r="K86" s="12"/>
      <c r="L86" s="12"/>
      <c r="M86" s="12"/>
      <c r="N86" s="12"/>
      <c r="O86" s="12"/>
      <c r="P86" s="12"/>
      <c r="Q86" s="12"/>
      <c r="R86" s="12"/>
      <c r="S86" s="12"/>
    </row>
    <row r="87" spans="1:19" ht="14.25" customHeight="1" x14ac:dyDescent="0.2">
      <c r="A87" s="1" t="s">
        <v>24</v>
      </c>
      <c r="B87" s="19">
        <v>46082.868298611109</v>
      </c>
      <c r="C87" s="19">
        <v>46082.890474537038</v>
      </c>
      <c r="D87" s="20">
        <v>46082</v>
      </c>
      <c r="E87" s="21">
        <v>0.89047453703824431</v>
      </c>
      <c r="F87" s="1" t="s">
        <v>165</v>
      </c>
      <c r="G87" s="1" t="s">
        <v>21</v>
      </c>
      <c r="H87" s="1" t="s">
        <v>39</v>
      </c>
      <c r="I87" s="1" t="s">
        <v>166</v>
      </c>
      <c r="J87" s="12">
        <v>1.77</v>
      </c>
      <c r="K87" s="12">
        <f>SUM(J87:J111)</f>
        <v>28.829999999999991</v>
      </c>
      <c r="L87" s="12">
        <f>SUM(J87:J90)</f>
        <v>4.26</v>
      </c>
      <c r="M87" s="13">
        <f>L87*65</f>
        <v>276.89999999999998</v>
      </c>
      <c r="N87" s="14">
        <f>MAX(500,M87)</f>
        <v>500</v>
      </c>
      <c r="O87" s="12"/>
      <c r="P87" s="12"/>
      <c r="Q87" s="12"/>
      <c r="R87" s="12"/>
      <c r="S87" s="12"/>
    </row>
    <row r="88" spans="1:19" ht="14.25" customHeight="1" x14ac:dyDescent="0.2">
      <c r="A88" s="1" t="s">
        <v>33</v>
      </c>
      <c r="B88" s="19">
        <v>46082.885787037034</v>
      </c>
      <c r="C88" s="19">
        <v>46082.912291666667</v>
      </c>
      <c r="D88" s="20">
        <v>46082</v>
      </c>
      <c r="E88" s="21">
        <v>0.91229166666744277</v>
      </c>
      <c r="F88" s="1" t="s">
        <v>167</v>
      </c>
      <c r="G88" s="1" t="s">
        <v>21</v>
      </c>
      <c r="H88" s="1" t="s">
        <v>22</v>
      </c>
      <c r="I88" s="1" t="s">
        <v>166</v>
      </c>
      <c r="J88" s="12">
        <v>0.83</v>
      </c>
      <c r="K88" s="12"/>
      <c r="L88" s="12"/>
      <c r="M88" s="12"/>
      <c r="N88" s="12"/>
      <c r="O88" s="12"/>
      <c r="P88" s="12"/>
      <c r="Q88" s="12"/>
      <c r="R88" s="12"/>
      <c r="S88" s="12"/>
    </row>
    <row r="89" spans="1:19" ht="14.25" customHeight="1" x14ac:dyDescent="0.2">
      <c r="A89" s="1" t="s">
        <v>33</v>
      </c>
      <c r="B89" s="19">
        <v>46082.89025462963</v>
      </c>
      <c r="C89" s="19">
        <v>46082.914155092592</v>
      </c>
      <c r="D89" s="20">
        <v>46082</v>
      </c>
      <c r="E89" s="21">
        <v>0.91415509259240935</v>
      </c>
      <c r="F89" s="1" t="s">
        <v>168</v>
      </c>
      <c r="G89" s="1" t="s">
        <v>21</v>
      </c>
      <c r="H89" s="1" t="s">
        <v>54</v>
      </c>
      <c r="I89" s="1" t="s">
        <v>166</v>
      </c>
      <c r="J89" s="12">
        <v>0.83</v>
      </c>
      <c r="K89" s="12"/>
      <c r="L89" s="12"/>
      <c r="M89" s="12"/>
      <c r="N89" s="12"/>
      <c r="O89" s="12"/>
      <c r="P89" s="12"/>
      <c r="Q89" s="12"/>
      <c r="R89" s="12"/>
      <c r="S89" s="12"/>
    </row>
    <row r="90" spans="1:19" ht="14.25" customHeight="1" x14ac:dyDescent="0.2">
      <c r="A90" s="1" t="s">
        <v>28</v>
      </c>
      <c r="B90" s="19">
        <v>46082.895162037035</v>
      </c>
      <c r="C90" s="19">
        <v>46082.916064814817</v>
      </c>
      <c r="D90" s="20">
        <v>46082</v>
      </c>
      <c r="E90" s="21">
        <v>0.91606481481721858</v>
      </c>
      <c r="F90" s="1" t="s">
        <v>169</v>
      </c>
      <c r="G90" s="1" t="s">
        <v>21</v>
      </c>
      <c r="H90" s="1" t="s">
        <v>22</v>
      </c>
      <c r="I90" s="1" t="s">
        <v>166</v>
      </c>
      <c r="J90" s="12">
        <v>0.83</v>
      </c>
      <c r="K90" s="12"/>
      <c r="L90" s="12"/>
      <c r="M90" s="12"/>
      <c r="N90" s="12"/>
      <c r="O90" s="12"/>
      <c r="P90" s="12"/>
      <c r="Q90" s="12"/>
      <c r="R90" s="12"/>
      <c r="S90" s="12"/>
    </row>
    <row r="91" spans="1:19" ht="14.25" customHeight="1" x14ac:dyDescent="0.2">
      <c r="A91" s="1" t="s">
        <v>24</v>
      </c>
      <c r="B91" s="19">
        <v>46082.88863425926</v>
      </c>
      <c r="C91" s="19">
        <v>46082.924849537034</v>
      </c>
      <c r="D91" s="20">
        <v>46082</v>
      </c>
      <c r="E91" s="21">
        <v>0.92484953703387873</v>
      </c>
      <c r="F91" s="1" t="s">
        <v>170</v>
      </c>
      <c r="G91" s="1" t="s">
        <v>21</v>
      </c>
      <c r="H91" s="1" t="s">
        <v>101</v>
      </c>
      <c r="I91" s="1" t="s">
        <v>166</v>
      </c>
      <c r="J91" s="12">
        <v>1.7</v>
      </c>
      <c r="K91" s="12"/>
      <c r="L91" s="12">
        <f>SUM(J91:J94)</f>
        <v>5.0500000000000007</v>
      </c>
      <c r="M91" s="13">
        <f>L91*65</f>
        <v>328.25000000000006</v>
      </c>
      <c r="N91" s="14">
        <f>MAX(500,M91)</f>
        <v>500</v>
      </c>
      <c r="O91" s="12"/>
      <c r="P91" s="12"/>
      <c r="Q91" s="12"/>
      <c r="R91" s="12"/>
      <c r="S91" s="12"/>
    </row>
    <row r="92" spans="1:19" ht="14.25" customHeight="1" x14ac:dyDescent="0.2">
      <c r="A92" s="1" t="s">
        <v>42</v>
      </c>
      <c r="B92" s="19">
        <v>46082.890115740738</v>
      </c>
      <c r="C92" s="19">
        <v>46082.929467592592</v>
      </c>
      <c r="D92" s="20">
        <v>46082</v>
      </c>
      <c r="E92" s="21">
        <v>0.92946759259211831</v>
      </c>
      <c r="F92" s="1" t="s">
        <v>171</v>
      </c>
      <c r="G92" s="1" t="s">
        <v>26</v>
      </c>
      <c r="H92" s="1" t="s">
        <v>172</v>
      </c>
      <c r="I92" s="1" t="s">
        <v>166</v>
      </c>
      <c r="J92" s="12">
        <v>0.67</v>
      </c>
      <c r="K92" s="12"/>
      <c r="L92" s="12"/>
      <c r="M92" s="12"/>
      <c r="N92" s="12"/>
      <c r="O92" s="12"/>
      <c r="P92" s="12"/>
      <c r="Q92" s="12"/>
      <c r="R92" s="12"/>
      <c r="S92" s="12"/>
    </row>
    <row r="93" spans="1:19" ht="14.25" customHeight="1" x14ac:dyDescent="0.2">
      <c r="A93" s="1" t="s">
        <v>24</v>
      </c>
      <c r="B93" s="19">
        <v>46082.912905092591</v>
      </c>
      <c r="C93" s="19">
        <v>46082.946620370371</v>
      </c>
      <c r="D93" s="20">
        <v>46082</v>
      </c>
      <c r="E93" s="21">
        <v>0.9466203703705105</v>
      </c>
      <c r="F93" s="1" t="s">
        <v>173</v>
      </c>
      <c r="G93" s="1" t="s">
        <v>21</v>
      </c>
      <c r="H93" s="1" t="s">
        <v>101</v>
      </c>
      <c r="I93" s="1" t="s">
        <v>166</v>
      </c>
      <c r="J93" s="12">
        <v>1.7</v>
      </c>
      <c r="K93" s="12"/>
      <c r="L93" s="12"/>
      <c r="M93" s="12"/>
      <c r="N93" s="12"/>
      <c r="O93" s="12"/>
      <c r="P93" s="12"/>
      <c r="Q93" s="12"/>
      <c r="R93" s="12"/>
      <c r="S93" s="12"/>
    </row>
    <row r="94" spans="1:19" ht="14.25" customHeight="1" x14ac:dyDescent="0.2">
      <c r="A94" s="1" t="s">
        <v>24</v>
      </c>
      <c r="B94" s="19">
        <v>46082.921388888892</v>
      </c>
      <c r="C94" s="19">
        <v>46082.956006944441</v>
      </c>
      <c r="D94" s="20">
        <v>46082</v>
      </c>
      <c r="E94" s="21">
        <v>0.95600694444146939</v>
      </c>
      <c r="F94" s="1" t="s">
        <v>174</v>
      </c>
      <c r="G94" s="1" t="s">
        <v>21</v>
      </c>
      <c r="H94" s="1" t="s">
        <v>175</v>
      </c>
      <c r="I94" s="1" t="s">
        <v>166</v>
      </c>
      <c r="J94" s="12">
        <v>0.98</v>
      </c>
      <c r="K94" s="12"/>
      <c r="L94" s="12"/>
      <c r="M94" s="12"/>
      <c r="N94" s="12"/>
      <c r="O94" s="12"/>
      <c r="P94" s="12"/>
      <c r="Q94" s="12"/>
      <c r="R94" s="12"/>
      <c r="S94" s="12"/>
    </row>
    <row r="95" spans="1:19" ht="14.25" customHeight="1" x14ac:dyDescent="0.2">
      <c r="A95" s="1" t="s">
        <v>24</v>
      </c>
      <c r="B95" s="19">
        <v>46082.932534722226</v>
      </c>
      <c r="C95" s="19">
        <v>46082.966631944444</v>
      </c>
      <c r="D95" s="20">
        <v>46082</v>
      </c>
      <c r="E95" s="21">
        <v>0.96663194444408873</v>
      </c>
      <c r="F95" s="1" t="s">
        <v>176</v>
      </c>
      <c r="G95" s="1" t="s">
        <v>21</v>
      </c>
      <c r="H95" s="1" t="s">
        <v>39</v>
      </c>
      <c r="I95" s="1" t="s">
        <v>166</v>
      </c>
      <c r="J95" s="12">
        <v>1.77</v>
      </c>
      <c r="K95" s="12"/>
      <c r="L95" s="12">
        <f>SUM(J95:J100)</f>
        <v>7.9099999999999993</v>
      </c>
      <c r="M95" s="13">
        <f>L95*65</f>
        <v>514.15</v>
      </c>
      <c r="N95" s="14">
        <f>MAX(500,M95)</f>
        <v>514.15</v>
      </c>
      <c r="O95" s="12"/>
      <c r="P95" s="12"/>
      <c r="Q95" s="12"/>
      <c r="R95" s="12"/>
      <c r="S95" s="12"/>
    </row>
    <row r="96" spans="1:19" ht="14.25" customHeight="1" x14ac:dyDescent="0.2">
      <c r="A96" s="1" t="s">
        <v>24</v>
      </c>
      <c r="B96" s="19">
        <v>46082.952673611115</v>
      </c>
      <c r="C96" s="19">
        <v>46082.974224537036</v>
      </c>
      <c r="D96" s="20">
        <v>46082</v>
      </c>
      <c r="E96" s="21">
        <v>0.97422453703620704</v>
      </c>
      <c r="F96" s="1" t="s">
        <v>177</v>
      </c>
      <c r="G96" s="1" t="s">
        <v>21</v>
      </c>
      <c r="H96" s="1" t="s">
        <v>22</v>
      </c>
      <c r="I96" s="1" t="s">
        <v>166</v>
      </c>
      <c r="J96" s="12">
        <v>0.83</v>
      </c>
      <c r="K96" s="12"/>
      <c r="L96" s="12"/>
      <c r="M96" s="12"/>
      <c r="N96" s="12"/>
      <c r="O96" s="12"/>
      <c r="P96" s="12"/>
      <c r="Q96" s="12"/>
      <c r="R96" s="12"/>
      <c r="S96" s="12"/>
    </row>
    <row r="97" spans="1:19" ht="14.25" customHeight="1" x14ac:dyDescent="0.2">
      <c r="A97" s="1" t="s">
        <v>95</v>
      </c>
      <c r="B97" s="19">
        <v>46082.958379629628</v>
      </c>
      <c r="C97" s="19">
        <v>46082.982245370367</v>
      </c>
      <c r="D97" s="20">
        <v>46082</v>
      </c>
      <c r="E97" s="21">
        <v>0.98224537036730908</v>
      </c>
      <c r="F97" s="1" t="s">
        <v>178</v>
      </c>
      <c r="G97" s="1" t="s">
        <v>21</v>
      </c>
      <c r="H97" s="1" t="s">
        <v>154</v>
      </c>
      <c r="I97" s="1" t="s">
        <v>166</v>
      </c>
      <c r="J97" s="12">
        <v>1.77</v>
      </c>
      <c r="K97" s="12"/>
      <c r="L97" s="12"/>
      <c r="M97" s="12"/>
      <c r="N97" s="12"/>
      <c r="O97" s="12"/>
      <c r="P97" s="12"/>
      <c r="Q97" s="12"/>
      <c r="R97" s="12"/>
      <c r="S97" s="12"/>
    </row>
    <row r="98" spans="1:19" ht="14.25" customHeight="1" x14ac:dyDescent="0.2">
      <c r="A98" s="1" t="s">
        <v>95</v>
      </c>
      <c r="B98" s="19">
        <v>46082.958009259259</v>
      </c>
      <c r="C98" s="19">
        <v>46082.985243055555</v>
      </c>
      <c r="D98" s="20">
        <v>46082</v>
      </c>
      <c r="E98" s="21">
        <v>0.98524305555474712</v>
      </c>
      <c r="F98" s="1" t="s">
        <v>179</v>
      </c>
      <c r="G98" s="1" t="s">
        <v>180</v>
      </c>
      <c r="H98" s="1" t="s">
        <v>181</v>
      </c>
      <c r="I98" s="1" t="s">
        <v>166</v>
      </c>
      <c r="J98" s="12">
        <v>2.23</v>
      </c>
      <c r="K98" s="12"/>
      <c r="L98" s="12"/>
      <c r="M98" s="12"/>
      <c r="N98" s="12"/>
      <c r="O98" s="12"/>
      <c r="P98" s="12"/>
      <c r="Q98" s="12"/>
      <c r="R98" s="12"/>
      <c r="S98" s="12"/>
    </row>
    <row r="99" spans="1:19" ht="14.25" customHeight="1" x14ac:dyDescent="0.2">
      <c r="A99" s="1" t="s">
        <v>95</v>
      </c>
      <c r="B99" s="19">
        <v>46082.949675925927</v>
      </c>
      <c r="C99" s="19">
        <v>46082.99077546296</v>
      </c>
      <c r="D99" s="20">
        <v>46082</v>
      </c>
      <c r="E99" s="21">
        <v>0.9907754629603005</v>
      </c>
      <c r="F99" s="1" t="s">
        <v>182</v>
      </c>
      <c r="G99" s="1" t="s">
        <v>21</v>
      </c>
      <c r="H99" s="1" t="s">
        <v>183</v>
      </c>
      <c r="I99" s="1" t="s">
        <v>166</v>
      </c>
      <c r="J99" s="12">
        <v>1.1299999999999999</v>
      </c>
      <c r="K99" s="12"/>
      <c r="L99" s="12"/>
      <c r="M99" s="12"/>
      <c r="N99" s="12"/>
      <c r="O99" s="12"/>
      <c r="P99" s="12"/>
      <c r="Q99" s="12"/>
      <c r="R99" s="12"/>
      <c r="S99" s="12"/>
    </row>
    <row r="100" spans="1:19" ht="14.25" customHeight="1" x14ac:dyDescent="0.2">
      <c r="A100" s="1" t="s">
        <v>28</v>
      </c>
      <c r="B100" s="19">
        <v>46082.874224537038</v>
      </c>
      <c r="C100" s="19">
        <v>46082.993310185186</v>
      </c>
      <c r="D100" s="20">
        <v>46082</v>
      </c>
      <c r="E100" s="21">
        <v>0.99331018518569181</v>
      </c>
      <c r="F100" s="1" t="s">
        <v>184</v>
      </c>
      <c r="G100" s="1" t="s">
        <v>44</v>
      </c>
      <c r="H100" s="1" t="s">
        <v>185</v>
      </c>
      <c r="I100" s="1" t="s">
        <v>166</v>
      </c>
      <c r="J100" s="12">
        <v>0.18</v>
      </c>
      <c r="K100" s="12"/>
      <c r="L100" s="12"/>
      <c r="M100" s="12"/>
      <c r="N100" s="12"/>
      <c r="O100" s="12"/>
      <c r="P100" s="12"/>
      <c r="Q100" s="12"/>
      <c r="R100" s="12"/>
      <c r="S100" s="12"/>
    </row>
    <row r="101" spans="1:19" ht="14.25" customHeight="1" x14ac:dyDescent="0.2">
      <c r="A101" s="1" t="s">
        <v>95</v>
      </c>
      <c r="B101" s="19">
        <v>46082.991354166668</v>
      </c>
      <c r="C101" s="19">
        <v>46083.005567129629</v>
      </c>
      <c r="D101" s="20">
        <v>46083</v>
      </c>
      <c r="E101" s="21">
        <v>5.5671296286163852E-3</v>
      </c>
      <c r="F101" s="1" t="s">
        <v>186</v>
      </c>
      <c r="G101" s="1" t="s">
        <v>21</v>
      </c>
      <c r="H101" s="1" t="s">
        <v>110</v>
      </c>
      <c r="I101" s="1" t="s">
        <v>166</v>
      </c>
      <c r="J101" s="12">
        <v>0.83</v>
      </c>
      <c r="K101" s="12"/>
      <c r="L101" s="12">
        <f>SUM(J101:J103)</f>
        <v>2.71</v>
      </c>
      <c r="M101" s="13">
        <f>L101*65</f>
        <v>176.15</v>
      </c>
      <c r="N101" s="14">
        <f>MAX(500,M101)</f>
        <v>500</v>
      </c>
      <c r="O101" s="12"/>
      <c r="P101" s="12"/>
      <c r="Q101" s="12"/>
      <c r="R101" s="12"/>
      <c r="S101" s="12"/>
    </row>
    <row r="102" spans="1:19" ht="14.25" customHeight="1" x14ac:dyDescent="0.2">
      <c r="A102" s="1" t="s">
        <v>19</v>
      </c>
      <c r="B102" s="19">
        <v>46082.983946759261</v>
      </c>
      <c r="C102" s="19">
        <v>46083.008935185186</v>
      </c>
      <c r="D102" s="20">
        <v>46083</v>
      </c>
      <c r="E102" s="21">
        <v>8.9351851856918074E-3</v>
      </c>
      <c r="F102" s="1" t="s">
        <v>187</v>
      </c>
      <c r="G102" s="1" t="s">
        <v>21</v>
      </c>
      <c r="H102" s="1" t="s">
        <v>71</v>
      </c>
      <c r="I102" s="1" t="s">
        <v>166</v>
      </c>
      <c r="J102" s="12">
        <v>1.05</v>
      </c>
      <c r="K102" s="12"/>
      <c r="L102" s="12"/>
      <c r="M102" s="12"/>
      <c r="N102" s="12"/>
      <c r="O102" s="12"/>
      <c r="P102" s="12"/>
      <c r="Q102" s="12"/>
      <c r="R102" s="12"/>
      <c r="S102" s="12"/>
    </row>
    <row r="103" spans="1:19" ht="14.25" customHeight="1" x14ac:dyDescent="0.2">
      <c r="A103" s="1" t="s">
        <v>95</v>
      </c>
      <c r="B103" s="19">
        <v>46083.010717592595</v>
      </c>
      <c r="C103" s="19">
        <v>46083.017094907409</v>
      </c>
      <c r="D103" s="20">
        <v>46083</v>
      </c>
      <c r="E103" s="21">
        <v>1.7094907409045845E-2</v>
      </c>
      <c r="F103" s="1" t="s">
        <v>188</v>
      </c>
      <c r="G103" s="1" t="s">
        <v>21</v>
      </c>
      <c r="H103" s="1" t="s">
        <v>189</v>
      </c>
      <c r="I103" s="1" t="s">
        <v>166</v>
      </c>
      <c r="J103" s="12">
        <v>0.83</v>
      </c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1:19" ht="14.25" customHeight="1" x14ac:dyDescent="0.2">
      <c r="A104" s="1" t="s">
        <v>24</v>
      </c>
      <c r="B104" s="19">
        <v>46083.02783564815</v>
      </c>
      <c r="C104" s="19">
        <v>46083.046782407408</v>
      </c>
      <c r="D104" s="20">
        <v>46083</v>
      </c>
      <c r="E104" s="21">
        <v>4.6782407407590654E-2</v>
      </c>
      <c r="F104" s="1" t="s">
        <v>190</v>
      </c>
      <c r="G104" s="1" t="s">
        <v>21</v>
      </c>
      <c r="H104" s="1" t="s">
        <v>142</v>
      </c>
      <c r="I104" s="1" t="s">
        <v>166</v>
      </c>
      <c r="J104" s="12">
        <v>0.83</v>
      </c>
      <c r="K104" s="12"/>
      <c r="L104" s="12">
        <f>SUM(J104:J109)</f>
        <v>7.0900000000000007</v>
      </c>
      <c r="M104" s="13">
        <f>L104*65</f>
        <v>460.85</v>
      </c>
      <c r="N104" s="14">
        <f>MAX(500,M104)</f>
        <v>500</v>
      </c>
      <c r="O104" s="12"/>
      <c r="P104" s="12"/>
      <c r="Q104" s="12"/>
      <c r="R104" s="12"/>
      <c r="S104" s="12"/>
    </row>
    <row r="105" spans="1:19" ht="14.25" customHeight="1" x14ac:dyDescent="0.2">
      <c r="A105" s="1" t="s">
        <v>57</v>
      </c>
      <c r="B105" s="19">
        <v>46083.021666666667</v>
      </c>
      <c r="C105" s="19">
        <v>46083.04892361111</v>
      </c>
      <c r="D105" s="20">
        <v>46083</v>
      </c>
      <c r="E105" s="21">
        <v>4.892361110978527E-2</v>
      </c>
      <c r="F105" s="1" t="s">
        <v>191</v>
      </c>
      <c r="G105" s="1" t="s">
        <v>21</v>
      </c>
      <c r="H105" s="1" t="s">
        <v>192</v>
      </c>
      <c r="I105" s="1" t="s">
        <v>166</v>
      </c>
      <c r="J105" s="12">
        <v>0.98</v>
      </c>
      <c r="K105" s="12"/>
      <c r="L105" s="12"/>
      <c r="M105" s="12"/>
      <c r="N105" s="12"/>
      <c r="O105" s="12"/>
      <c r="P105" s="12"/>
      <c r="Q105" s="12"/>
      <c r="R105" s="12"/>
      <c r="S105" s="12"/>
    </row>
    <row r="106" spans="1:19" ht="14.25" customHeight="1" x14ac:dyDescent="0.2">
      <c r="A106" s="1" t="s">
        <v>24</v>
      </c>
      <c r="B106" s="19">
        <v>46083.02783564815</v>
      </c>
      <c r="C106" s="19">
        <v>46083.054861111108</v>
      </c>
      <c r="D106" s="20">
        <v>46083</v>
      </c>
      <c r="E106" s="21">
        <v>5.486111110803904E-2</v>
      </c>
      <c r="F106" s="1" t="s">
        <v>193</v>
      </c>
      <c r="G106" s="1" t="s">
        <v>21</v>
      </c>
      <c r="H106" s="1" t="s">
        <v>22</v>
      </c>
      <c r="I106" s="1" t="s">
        <v>166</v>
      </c>
      <c r="J106" s="12">
        <v>0.83</v>
      </c>
      <c r="K106" s="12"/>
      <c r="L106" s="12"/>
      <c r="M106" s="12"/>
      <c r="N106" s="12"/>
      <c r="O106" s="12"/>
      <c r="P106" s="12"/>
      <c r="Q106" s="12"/>
      <c r="R106" s="12"/>
      <c r="S106" s="12"/>
    </row>
    <row r="107" spans="1:19" ht="14.25" customHeight="1" x14ac:dyDescent="0.2">
      <c r="A107" s="1" t="s">
        <v>19</v>
      </c>
      <c r="B107" s="19">
        <v>46083.036759259259</v>
      </c>
      <c r="C107" s="19">
        <v>46083.067210648151</v>
      </c>
      <c r="D107" s="20">
        <v>46083</v>
      </c>
      <c r="E107" s="21">
        <v>6.7210648150648922E-2</v>
      </c>
      <c r="F107" s="1" t="s">
        <v>194</v>
      </c>
      <c r="G107" s="1" t="s">
        <v>21</v>
      </c>
      <c r="H107" s="1" t="s">
        <v>39</v>
      </c>
      <c r="I107" s="1" t="s">
        <v>166</v>
      </c>
      <c r="J107" s="12">
        <v>1.77</v>
      </c>
      <c r="K107" s="12"/>
      <c r="L107" s="12"/>
      <c r="M107" s="12"/>
      <c r="N107" s="12"/>
      <c r="O107" s="12"/>
      <c r="P107" s="12"/>
      <c r="Q107" s="12"/>
      <c r="R107" s="12"/>
      <c r="S107" s="12"/>
    </row>
    <row r="108" spans="1:19" ht="14.25" customHeight="1" x14ac:dyDescent="0.2">
      <c r="A108" s="1" t="s">
        <v>24</v>
      </c>
      <c r="B108" s="19">
        <v>46083.049293981479</v>
      </c>
      <c r="C108" s="19">
        <v>46083.071550925924</v>
      </c>
      <c r="D108" s="20">
        <v>46083</v>
      </c>
      <c r="E108" s="21">
        <v>7.1550925924384501E-2</v>
      </c>
      <c r="F108" s="1" t="s">
        <v>195</v>
      </c>
      <c r="G108" s="1" t="s">
        <v>21</v>
      </c>
      <c r="H108" s="1" t="s">
        <v>52</v>
      </c>
      <c r="I108" s="1" t="s">
        <v>166</v>
      </c>
      <c r="J108" s="12">
        <v>0.98</v>
      </c>
      <c r="K108" s="12"/>
      <c r="L108" s="12"/>
      <c r="M108" s="12"/>
      <c r="N108" s="12"/>
      <c r="O108" s="12"/>
      <c r="P108" s="12"/>
      <c r="Q108" s="12"/>
      <c r="R108" s="12"/>
      <c r="S108" s="12"/>
    </row>
    <row r="109" spans="1:19" ht="14.25" customHeight="1" x14ac:dyDescent="0.2">
      <c r="A109" s="1" t="s">
        <v>19</v>
      </c>
      <c r="B109" s="19">
        <v>46083.0546412037</v>
      </c>
      <c r="C109" s="19">
        <v>46083.080613425926</v>
      </c>
      <c r="D109" s="20">
        <v>46083</v>
      </c>
      <c r="E109" s="21">
        <v>8.0613425925548654E-2</v>
      </c>
      <c r="F109" s="1" t="s">
        <v>196</v>
      </c>
      <c r="G109" s="1" t="s">
        <v>21</v>
      </c>
      <c r="H109" s="1" t="s">
        <v>101</v>
      </c>
      <c r="I109" s="1" t="s">
        <v>166</v>
      </c>
      <c r="J109" s="12">
        <v>1.7</v>
      </c>
      <c r="K109" s="12"/>
      <c r="L109" s="12"/>
      <c r="M109" s="12"/>
      <c r="N109" s="12"/>
      <c r="O109" s="12"/>
      <c r="P109" s="12"/>
      <c r="Q109" s="12"/>
      <c r="R109" s="12"/>
      <c r="S109" s="12"/>
    </row>
    <row r="110" spans="1:19" ht="14.25" customHeight="1" x14ac:dyDescent="0.2">
      <c r="A110" s="1" t="s">
        <v>19</v>
      </c>
      <c r="B110" s="19">
        <v>46082.993263888886</v>
      </c>
      <c r="C110" s="19">
        <v>46083.090127314812</v>
      </c>
      <c r="D110" s="20">
        <v>46083</v>
      </c>
      <c r="E110" s="21">
        <v>9.0127314811979886E-2</v>
      </c>
      <c r="F110" s="1" t="s">
        <v>197</v>
      </c>
      <c r="G110" s="1" t="s">
        <v>21</v>
      </c>
      <c r="H110" s="1" t="s">
        <v>198</v>
      </c>
      <c r="I110" s="1" t="s">
        <v>166</v>
      </c>
      <c r="J110" s="12">
        <v>0.98</v>
      </c>
      <c r="K110" s="12"/>
      <c r="L110" s="12">
        <f>SUM(J110:J111)</f>
        <v>1.81</v>
      </c>
      <c r="M110" s="13">
        <f>L110*65</f>
        <v>117.65</v>
      </c>
      <c r="N110" s="14">
        <f>MAX(500,M110)</f>
        <v>500</v>
      </c>
      <c r="O110" s="12"/>
      <c r="P110" s="12"/>
      <c r="Q110" s="12"/>
      <c r="R110" s="12"/>
      <c r="S110" s="12"/>
    </row>
    <row r="111" spans="1:19" ht="14.25" customHeight="1" x14ac:dyDescent="0.2">
      <c r="A111" s="1" t="s">
        <v>24</v>
      </c>
      <c r="B111" s="19">
        <v>46083.099108796298</v>
      </c>
      <c r="C111" s="19">
        <v>46083.110694444447</v>
      </c>
      <c r="D111" s="20">
        <v>46083</v>
      </c>
      <c r="E111" s="21">
        <v>0.11069444444729015</v>
      </c>
      <c r="F111" s="1" t="s">
        <v>199</v>
      </c>
      <c r="G111" s="1" t="s">
        <v>21</v>
      </c>
      <c r="H111" s="1" t="s">
        <v>22</v>
      </c>
      <c r="I111" s="1" t="s">
        <v>166</v>
      </c>
      <c r="J111" s="12">
        <v>0.83</v>
      </c>
      <c r="K111" s="12"/>
      <c r="L111" s="12"/>
      <c r="M111" s="12"/>
      <c r="N111" s="12"/>
      <c r="O111" s="12"/>
      <c r="P111" s="12"/>
      <c r="Q111" s="12"/>
      <c r="R111" s="12"/>
      <c r="S111" s="12"/>
    </row>
    <row r="112" spans="1:19" ht="14.25" customHeight="1" x14ac:dyDescent="0.2">
      <c r="A112" s="1" t="s">
        <v>24</v>
      </c>
      <c r="B112" s="7">
        <v>46083.141226851854</v>
      </c>
      <c r="C112" s="7">
        <v>46083.161273148151</v>
      </c>
      <c r="D112" s="8">
        <v>46083</v>
      </c>
      <c r="E112" s="9">
        <v>0.16127314815093996</v>
      </c>
      <c r="F112" s="10" t="s">
        <v>200</v>
      </c>
      <c r="G112" s="10" t="s">
        <v>21</v>
      </c>
      <c r="H112" s="10" t="s">
        <v>41</v>
      </c>
      <c r="I112" s="10" t="s">
        <v>23</v>
      </c>
      <c r="J112" s="11">
        <v>1.77</v>
      </c>
      <c r="K112" s="12">
        <f>SUM(J112:J124)</f>
        <v>15.439999999999998</v>
      </c>
      <c r="L112" s="12">
        <f>SUM(J112:J114)</f>
        <v>4.05</v>
      </c>
      <c r="M112" s="13">
        <f>L112*65</f>
        <v>263.25</v>
      </c>
      <c r="N112" s="14">
        <f>MAX(500,M112)</f>
        <v>500</v>
      </c>
      <c r="O112" s="12"/>
      <c r="P112" s="12"/>
      <c r="Q112" s="12"/>
      <c r="R112" s="12"/>
      <c r="S112" s="12"/>
    </row>
    <row r="113" spans="1:19" ht="14.25" customHeight="1" x14ac:dyDescent="0.2">
      <c r="A113" s="1" t="s">
        <v>42</v>
      </c>
      <c r="B113" s="7">
        <v>46083.131261574075</v>
      </c>
      <c r="C113" s="7">
        <v>46083.161990740744</v>
      </c>
      <c r="D113" s="8">
        <v>46083</v>
      </c>
      <c r="E113" s="9">
        <v>0.16199074074393138</v>
      </c>
      <c r="F113" s="10" t="s">
        <v>201</v>
      </c>
      <c r="G113" s="10" t="s">
        <v>26</v>
      </c>
      <c r="H113" s="10" t="s">
        <v>202</v>
      </c>
      <c r="I113" s="10" t="s">
        <v>23</v>
      </c>
      <c r="J113" s="11">
        <v>0.57999999999999996</v>
      </c>
      <c r="K113" s="12"/>
      <c r="L113" s="12"/>
      <c r="M113" s="12"/>
      <c r="N113" s="12"/>
      <c r="O113" s="12"/>
      <c r="P113" s="12"/>
      <c r="Q113" s="12"/>
      <c r="R113" s="12"/>
      <c r="S113" s="12"/>
    </row>
    <row r="114" spans="1:19" ht="14.25" customHeight="1" x14ac:dyDescent="0.2">
      <c r="A114" s="1" t="s">
        <v>33</v>
      </c>
      <c r="B114" s="7">
        <v>46083.150219907409</v>
      </c>
      <c r="C114" s="7">
        <v>46083.165034722224</v>
      </c>
      <c r="D114" s="8">
        <v>46083</v>
      </c>
      <c r="E114" s="9">
        <v>0.16503472222393611</v>
      </c>
      <c r="F114" s="10" t="s">
        <v>203</v>
      </c>
      <c r="G114" s="10" t="s">
        <v>21</v>
      </c>
      <c r="H114" s="10" t="s">
        <v>101</v>
      </c>
      <c r="I114" s="10" t="s">
        <v>23</v>
      </c>
      <c r="J114" s="11">
        <v>1.7</v>
      </c>
      <c r="K114" s="12"/>
      <c r="L114" s="12"/>
      <c r="M114" s="12"/>
      <c r="N114" s="12"/>
      <c r="O114" s="12"/>
      <c r="P114" s="12"/>
      <c r="Q114" s="12"/>
      <c r="R114" s="12"/>
      <c r="S114" s="12"/>
    </row>
    <row r="115" spans="1:19" ht="14.25" customHeight="1" x14ac:dyDescent="0.2">
      <c r="A115" s="1" t="s">
        <v>33</v>
      </c>
      <c r="B115" s="7">
        <v>46083.137025462966</v>
      </c>
      <c r="C115" s="7">
        <v>46083.168229166666</v>
      </c>
      <c r="D115" s="8">
        <v>46083</v>
      </c>
      <c r="E115" s="9">
        <v>0.16822916666569654</v>
      </c>
      <c r="F115" s="10" t="s">
        <v>204</v>
      </c>
      <c r="G115" s="10" t="s">
        <v>26</v>
      </c>
      <c r="H115" s="10" t="s">
        <v>205</v>
      </c>
      <c r="I115" s="10" t="s">
        <v>23</v>
      </c>
      <c r="J115" s="11">
        <v>0.57999999999999996</v>
      </c>
      <c r="K115" s="12"/>
      <c r="L115" s="12">
        <f>SUM(J115:J123)</f>
        <v>9.69</v>
      </c>
      <c r="M115" s="13">
        <f>L115*65</f>
        <v>629.85</v>
      </c>
      <c r="N115" s="14">
        <f>MAX(500,M115)</f>
        <v>629.85</v>
      </c>
      <c r="O115" s="12"/>
      <c r="P115" s="12"/>
      <c r="Q115" s="12"/>
      <c r="R115" s="12"/>
      <c r="S115" s="12"/>
    </row>
    <row r="116" spans="1:19" ht="14.25" customHeight="1" x14ac:dyDescent="0.2">
      <c r="A116" s="1" t="s">
        <v>95</v>
      </c>
      <c r="B116" s="7">
        <v>46083.162233796298</v>
      </c>
      <c r="C116" s="7">
        <v>46083.183807870373</v>
      </c>
      <c r="D116" s="8">
        <v>46083</v>
      </c>
      <c r="E116" s="9">
        <v>0.18380787037312984</v>
      </c>
      <c r="F116" s="10" t="s">
        <v>206</v>
      </c>
      <c r="G116" s="10" t="s">
        <v>21</v>
      </c>
      <c r="H116" s="10" t="s">
        <v>71</v>
      </c>
      <c r="I116" s="10" t="s">
        <v>23</v>
      </c>
      <c r="J116" s="11">
        <v>1.05</v>
      </c>
      <c r="K116" s="12"/>
      <c r="L116" s="12"/>
      <c r="M116" s="12"/>
      <c r="N116" s="12"/>
      <c r="O116" s="12"/>
      <c r="P116" s="12"/>
      <c r="Q116" s="12"/>
      <c r="R116" s="12"/>
      <c r="S116" s="12"/>
    </row>
    <row r="117" spans="1:19" ht="14.25" customHeight="1" x14ac:dyDescent="0.2">
      <c r="A117" s="1" t="s">
        <v>95</v>
      </c>
      <c r="B117" s="7">
        <v>46083.162233796298</v>
      </c>
      <c r="C117" s="7">
        <v>46083.184374999997</v>
      </c>
      <c r="D117" s="8">
        <v>46083</v>
      </c>
      <c r="E117" s="9">
        <v>0.18437499999708962</v>
      </c>
      <c r="F117" s="10" t="s">
        <v>207</v>
      </c>
      <c r="G117" s="10" t="s">
        <v>21</v>
      </c>
      <c r="H117" s="10" t="s">
        <v>108</v>
      </c>
      <c r="I117" s="10" t="s">
        <v>23</v>
      </c>
      <c r="J117" s="11">
        <v>1.7</v>
      </c>
      <c r="K117" s="12"/>
      <c r="L117" s="12"/>
      <c r="M117" s="12"/>
      <c r="N117" s="12"/>
      <c r="O117" s="12"/>
      <c r="P117" s="12"/>
      <c r="Q117" s="12"/>
      <c r="R117" s="12"/>
      <c r="S117" s="12"/>
    </row>
    <row r="118" spans="1:19" ht="14.25" customHeight="1" x14ac:dyDescent="0.2">
      <c r="A118" s="1" t="s">
        <v>95</v>
      </c>
      <c r="B118" s="7">
        <v>46083.173333333332</v>
      </c>
      <c r="C118" s="7">
        <v>46083.18478009259</v>
      </c>
      <c r="D118" s="8">
        <v>46083</v>
      </c>
      <c r="E118" s="9">
        <v>0.18478009258979</v>
      </c>
      <c r="F118" s="10" t="s">
        <v>208</v>
      </c>
      <c r="G118" s="10" t="s">
        <v>21</v>
      </c>
      <c r="H118" s="10" t="s">
        <v>110</v>
      </c>
      <c r="I118" s="10" t="s">
        <v>23</v>
      </c>
      <c r="J118" s="11">
        <v>0.83</v>
      </c>
      <c r="K118" s="12"/>
      <c r="L118" s="12"/>
      <c r="M118" s="12"/>
      <c r="N118" s="12"/>
      <c r="O118" s="12"/>
      <c r="P118" s="12"/>
      <c r="Q118" s="12"/>
      <c r="R118" s="12"/>
      <c r="S118" s="12"/>
    </row>
    <row r="119" spans="1:19" ht="14.25" customHeight="1" x14ac:dyDescent="0.2">
      <c r="A119" s="1" t="s">
        <v>95</v>
      </c>
      <c r="B119" s="7">
        <v>46083.183113425926</v>
      </c>
      <c r="C119" s="7">
        <v>46083.185243055559</v>
      </c>
      <c r="D119" s="8">
        <v>46083</v>
      </c>
      <c r="E119" s="9">
        <v>0.18524305555911269</v>
      </c>
      <c r="F119" s="10" t="s">
        <v>209</v>
      </c>
      <c r="G119" s="10" t="s">
        <v>21</v>
      </c>
      <c r="H119" s="10" t="s">
        <v>97</v>
      </c>
      <c r="I119" s="10" t="s">
        <v>23</v>
      </c>
      <c r="J119" s="11">
        <v>1.77</v>
      </c>
      <c r="K119" s="12"/>
      <c r="L119" s="12"/>
      <c r="M119" s="12"/>
      <c r="N119" s="12"/>
      <c r="O119" s="12"/>
      <c r="P119" s="12"/>
      <c r="Q119" s="12"/>
      <c r="R119" s="12"/>
      <c r="S119" s="12"/>
    </row>
    <row r="120" spans="1:19" ht="14.25" customHeight="1" x14ac:dyDescent="0.2">
      <c r="A120" s="1" t="s">
        <v>95</v>
      </c>
      <c r="B120" s="7">
        <v>46083.185636574075</v>
      </c>
      <c r="C120" s="7">
        <v>46083.194733796299</v>
      </c>
      <c r="D120" s="8">
        <v>46083</v>
      </c>
      <c r="E120" s="9">
        <v>0.19473379629926058</v>
      </c>
      <c r="F120" s="10" t="s">
        <v>210</v>
      </c>
      <c r="G120" s="10" t="s">
        <v>21</v>
      </c>
      <c r="H120" s="10" t="s">
        <v>108</v>
      </c>
      <c r="I120" s="10" t="s">
        <v>23</v>
      </c>
      <c r="J120" s="11">
        <v>1.7</v>
      </c>
      <c r="K120" s="12"/>
      <c r="L120" s="12"/>
      <c r="M120" s="12"/>
      <c r="N120" s="12"/>
      <c r="O120" s="12"/>
      <c r="P120" s="12"/>
      <c r="Q120" s="12"/>
      <c r="R120" s="12"/>
      <c r="S120" s="12"/>
    </row>
    <row r="121" spans="1:19" ht="14.25" customHeight="1" x14ac:dyDescent="0.2">
      <c r="A121" s="1" t="s">
        <v>19</v>
      </c>
      <c r="B121" s="7">
        <v>46083.188287037039</v>
      </c>
      <c r="C121" s="7">
        <v>46083.203981481478</v>
      </c>
      <c r="D121" s="8">
        <v>46083</v>
      </c>
      <c r="E121" s="9">
        <v>0.20398148147796746</v>
      </c>
      <c r="F121" s="10" t="s">
        <v>211</v>
      </c>
      <c r="G121" s="10" t="s">
        <v>21</v>
      </c>
      <c r="H121" s="10" t="s">
        <v>71</v>
      </c>
      <c r="I121" s="10" t="s">
        <v>23</v>
      </c>
      <c r="J121" s="11">
        <v>1.05</v>
      </c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1:19" ht="14.25" customHeight="1" x14ac:dyDescent="0.2">
      <c r="A122" s="1" t="s">
        <v>33</v>
      </c>
      <c r="B122" s="7">
        <v>46083.182118055556</v>
      </c>
      <c r="C122" s="7">
        <v>46083.204467592594</v>
      </c>
      <c r="D122" s="8">
        <v>46083</v>
      </c>
      <c r="E122" s="9">
        <v>0.2044675925935735</v>
      </c>
      <c r="F122" s="10" t="s">
        <v>212</v>
      </c>
      <c r="G122" s="10" t="s">
        <v>44</v>
      </c>
      <c r="H122" s="10" t="s">
        <v>185</v>
      </c>
      <c r="I122" s="10" t="s">
        <v>23</v>
      </c>
      <c r="J122" s="11">
        <v>0.18</v>
      </c>
      <c r="K122" s="12"/>
      <c r="L122" s="12"/>
      <c r="M122" s="12"/>
      <c r="N122" s="12"/>
      <c r="O122" s="12"/>
      <c r="P122" s="12"/>
      <c r="Q122" s="12"/>
      <c r="R122" s="12"/>
      <c r="S122" s="12"/>
    </row>
    <row r="123" spans="1:19" ht="14.25" customHeight="1" x14ac:dyDescent="0.2">
      <c r="A123" s="1" t="s">
        <v>95</v>
      </c>
      <c r="B123" s="7">
        <v>46083.204884259256</v>
      </c>
      <c r="C123" s="7">
        <v>46083.208055555559</v>
      </c>
      <c r="D123" s="8">
        <v>46083</v>
      </c>
      <c r="E123" s="9">
        <v>0.20805555555853061</v>
      </c>
      <c r="F123" s="10" t="s">
        <v>213</v>
      </c>
      <c r="G123" s="10" t="s">
        <v>21</v>
      </c>
      <c r="H123" s="10" t="s">
        <v>110</v>
      </c>
      <c r="I123" s="10" t="s">
        <v>23</v>
      </c>
      <c r="J123" s="11">
        <v>0.83</v>
      </c>
      <c r="K123" s="12"/>
      <c r="L123" s="12"/>
      <c r="M123" s="12"/>
      <c r="N123" s="12"/>
      <c r="O123" s="12"/>
      <c r="P123" s="12"/>
      <c r="Q123" s="12"/>
      <c r="R123" s="12"/>
      <c r="S123" s="12"/>
    </row>
    <row r="124" spans="1:19" ht="14.25" customHeight="1" x14ac:dyDescent="0.2">
      <c r="A124" s="1" t="s">
        <v>95</v>
      </c>
      <c r="B124" s="7">
        <v>46083.222951388889</v>
      </c>
      <c r="C124" s="7">
        <v>46083.230104166665</v>
      </c>
      <c r="D124" s="8">
        <v>46083</v>
      </c>
      <c r="E124" s="9">
        <v>0.23010416666511446</v>
      </c>
      <c r="F124" s="10" t="s">
        <v>214</v>
      </c>
      <c r="G124" s="10" t="s">
        <v>21</v>
      </c>
      <c r="H124" s="10" t="s">
        <v>108</v>
      </c>
      <c r="I124" s="10" t="s">
        <v>23</v>
      </c>
      <c r="J124" s="11">
        <v>1.7</v>
      </c>
      <c r="K124" s="12"/>
      <c r="L124" s="12">
        <f>SUM(J124)</f>
        <v>1.7</v>
      </c>
      <c r="M124" s="13">
        <f t="shared" ref="M124:M125" si="0">L124*65</f>
        <v>110.5</v>
      </c>
      <c r="N124" s="14">
        <f t="shared" ref="N124:N125" si="1">MAX(500,M124)</f>
        <v>500</v>
      </c>
      <c r="O124" s="12"/>
      <c r="P124" s="12"/>
      <c r="Q124" s="12"/>
      <c r="R124" s="12"/>
      <c r="S124" s="12"/>
    </row>
    <row r="125" spans="1:19" ht="14.25" customHeight="1" x14ac:dyDescent="0.2">
      <c r="A125" s="1" t="s">
        <v>28</v>
      </c>
      <c r="B125" s="19">
        <v>46083.869444444441</v>
      </c>
      <c r="C125" s="19">
        <v>46083.886006944442</v>
      </c>
      <c r="D125" s="20">
        <v>46083</v>
      </c>
      <c r="E125" s="21">
        <v>0.88600694444176042</v>
      </c>
      <c r="F125" s="1" t="s">
        <v>215</v>
      </c>
      <c r="G125" s="1" t="s">
        <v>21</v>
      </c>
      <c r="H125" s="1" t="s">
        <v>216</v>
      </c>
      <c r="I125" s="1" t="s">
        <v>166</v>
      </c>
      <c r="J125" s="12">
        <v>0.98</v>
      </c>
      <c r="K125" s="12">
        <f>SUM(J125:J148)</f>
        <v>31.409999999999997</v>
      </c>
      <c r="L125" s="12">
        <f>SUM(J125:J129)</f>
        <v>5.73</v>
      </c>
      <c r="M125" s="13">
        <f t="shared" si="0"/>
        <v>372.45000000000005</v>
      </c>
      <c r="N125" s="14">
        <f t="shared" si="1"/>
        <v>500</v>
      </c>
      <c r="O125" s="12"/>
      <c r="P125" s="12"/>
      <c r="Q125" s="12"/>
      <c r="R125" s="12"/>
      <c r="S125" s="12"/>
    </row>
    <row r="126" spans="1:19" ht="14.25" customHeight="1" x14ac:dyDescent="0.2">
      <c r="A126" s="1" t="s">
        <v>42</v>
      </c>
      <c r="B126" s="19">
        <v>46083.863923611112</v>
      </c>
      <c r="C126" s="19">
        <v>46083.889062499999</v>
      </c>
      <c r="D126" s="20">
        <v>46083</v>
      </c>
      <c r="E126" s="21">
        <v>0.88906249999854481</v>
      </c>
      <c r="F126" s="1" t="s">
        <v>217</v>
      </c>
      <c r="G126" s="1" t="s">
        <v>26</v>
      </c>
      <c r="H126" s="1" t="s">
        <v>157</v>
      </c>
      <c r="I126" s="1" t="s">
        <v>166</v>
      </c>
      <c r="J126" s="12">
        <v>0.73</v>
      </c>
      <c r="K126" s="12"/>
      <c r="L126" s="12"/>
      <c r="M126" s="12"/>
      <c r="N126" s="12"/>
      <c r="O126" s="12"/>
      <c r="P126" s="12"/>
      <c r="Q126" s="12"/>
      <c r="R126" s="12"/>
      <c r="S126" s="12"/>
    </row>
    <row r="127" spans="1:19" ht="14.25" customHeight="1" x14ac:dyDescent="0.2">
      <c r="A127" s="1" t="s">
        <v>24</v>
      </c>
      <c r="B127" s="19">
        <v>46083.870694444442</v>
      </c>
      <c r="C127" s="19">
        <v>46083.892233796294</v>
      </c>
      <c r="D127" s="20">
        <v>46083</v>
      </c>
      <c r="E127" s="21">
        <v>0.89223379629402189</v>
      </c>
      <c r="F127" s="1" t="s">
        <v>218</v>
      </c>
      <c r="G127" s="1" t="s">
        <v>21</v>
      </c>
      <c r="H127" s="1" t="s">
        <v>54</v>
      </c>
      <c r="I127" s="1" t="s">
        <v>166</v>
      </c>
      <c r="J127" s="12">
        <v>0.83</v>
      </c>
      <c r="K127" s="12"/>
      <c r="L127" s="12"/>
      <c r="M127" s="12"/>
      <c r="N127" s="12"/>
      <c r="O127" s="12"/>
      <c r="P127" s="12"/>
      <c r="Q127" s="12"/>
      <c r="R127" s="12"/>
      <c r="S127" s="12"/>
    </row>
    <row r="128" spans="1:19" ht="14.25" customHeight="1" x14ac:dyDescent="0.2">
      <c r="A128" s="1" t="s">
        <v>42</v>
      </c>
      <c r="B128" s="19">
        <v>46083.861111111109</v>
      </c>
      <c r="C128" s="19">
        <v>46083.89603009259</v>
      </c>
      <c r="D128" s="20">
        <v>46083</v>
      </c>
      <c r="E128" s="21">
        <v>0.89603009259008104</v>
      </c>
      <c r="F128" s="1" t="s">
        <v>219</v>
      </c>
      <c r="G128" s="1" t="s">
        <v>180</v>
      </c>
      <c r="H128" s="1" t="s">
        <v>220</v>
      </c>
      <c r="I128" s="1" t="s">
        <v>166</v>
      </c>
      <c r="J128" s="12">
        <v>1.42</v>
      </c>
      <c r="K128" s="12"/>
      <c r="L128" s="12"/>
      <c r="M128" s="12"/>
      <c r="N128" s="12"/>
      <c r="O128" s="12"/>
      <c r="P128" s="12"/>
      <c r="Q128" s="12"/>
      <c r="R128" s="12"/>
      <c r="S128" s="12"/>
    </row>
    <row r="129" spans="1:19" ht="14.25" customHeight="1" x14ac:dyDescent="0.2">
      <c r="A129" s="1" t="s">
        <v>28</v>
      </c>
      <c r="B129" s="19">
        <v>46083.885879629626</v>
      </c>
      <c r="C129" s="19">
        <v>46083.904050925928</v>
      </c>
      <c r="D129" s="20">
        <v>46083</v>
      </c>
      <c r="E129" s="21">
        <v>0.90405092592845904</v>
      </c>
      <c r="F129" s="1" t="s">
        <v>221</v>
      </c>
      <c r="G129" s="1" t="s">
        <v>21</v>
      </c>
      <c r="H129" s="1" t="s">
        <v>41</v>
      </c>
      <c r="I129" s="1" t="s">
        <v>166</v>
      </c>
      <c r="J129" s="12">
        <v>1.77</v>
      </c>
      <c r="K129" s="12"/>
      <c r="L129" s="12"/>
      <c r="M129" s="12"/>
      <c r="N129" s="12"/>
      <c r="O129" s="12"/>
      <c r="P129" s="12"/>
      <c r="Q129" s="12"/>
      <c r="R129" s="12"/>
      <c r="S129" s="12"/>
    </row>
    <row r="130" spans="1:19" ht="14.25" customHeight="1" x14ac:dyDescent="0.2">
      <c r="A130" s="1" t="s">
        <v>24</v>
      </c>
      <c r="B130" s="19">
        <v>46083.872048611112</v>
      </c>
      <c r="C130" s="19">
        <v>46083.917743055557</v>
      </c>
      <c r="D130" s="20">
        <v>46083</v>
      </c>
      <c r="E130" s="21">
        <v>0.91774305555736646</v>
      </c>
      <c r="F130" s="1" t="s">
        <v>222</v>
      </c>
      <c r="G130" s="1" t="s">
        <v>21</v>
      </c>
      <c r="H130" s="1" t="s">
        <v>61</v>
      </c>
      <c r="I130" s="1" t="s">
        <v>166</v>
      </c>
      <c r="J130" s="12">
        <v>2.5</v>
      </c>
      <c r="K130" s="12"/>
      <c r="L130" s="12">
        <f>SUM(J130:J134)</f>
        <v>6.56</v>
      </c>
      <c r="M130" s="13">
        <f>L130*65</f>
        <v>426.4</v>
      </c>
      <c r="N130" s="14">
        <f>MAX(500,M130)</f>
        <v>500</v>
      </c>
      <c r="O130" s="12"/>
      <c r="P130" s="12"/>
      <c r="Q130" s="12"/>
      <c r="R130" s="12"/>
      <c r="S130" s="12"/>
    </row>
    <row r="131" spans="1:19" ht="14.25" customHeight="1" x14ac:dyDescent="0.2">
      <c r="A131" s="1" t="s">
        <v>24</v>
      </c>
      <c r="B131" s="19">
        <v>46083.892858796295</v>
      </c>
      <c r="C131" s="19">
        <v>46083.930254629631</v>
      </c>
      <c r="D131" s="20">
        <v>46083</v>
      </c>
      <c r="E131" s="21">
        <v>0.93025462963123573</v>
      </c>
      <c r="F131" s="1" t="s">
        <v>223</v>
      </c>
      <c r="G131" s="1" t="s">
        <v>21</v>
      </c>
      <c r="H131" s="1" t="s">
        <v>22</v>
      </c>
      <c r="I131" s="1" t="s">
        <v>166</v>
      </c>
      <c r="J131" s="12">
        <v>0.83</v>
      </c>
      <c r="K131" s="12"/>
      <c r="L131" s="12"/>
      <c r="M131" s="12"/>
      <c r="N131" s="12"/>
      <c r="O131" s="12"/>
      <c r="P131" s="12"/>
      <c r="Q131" s="12"/>
      <c r="R131" s="12"/>
      <c r="S131" s="12"/>
    </row>
    <row r="132" spans="1:19" ht="14.25" customHeight="1" x14ac:dyDescent="0.2">
      <c r="A132" s="1" t="s">
        <v>42</v>
      </c>
      <c r="B132" s="19">
        <v>46083.902719907404</v>
      </c>
      <c r="C132" s="19">
        <v>46083.936712962961</v>
      </c>
      <c r="D132" s="20">
        <v>46083</v>
      </c>
      <c r="E132" s="21">
        <v>0.93671296296088258</v>
      </c>
      <c r="F132" s="1" t="s">
        <v>224</v>
      </c>
      <c r="G132" s="1" t="s">
        <v>21</v>
      </c>
      <c r="H132" s="1" t="s">
        <v>225</v>
      </c>
      <c r="I132" s="1" t="s">
        <v>166</v>
      </c>
      <c r="J132" s="12">
        <v>1.77</v>
      </c>
      <c r="K132" s="12"/>
      <c r="L132" s="12"/>
      <c r="M132" s="12"/>
      <c r="N132" s="12"/>
      <c r="O132" s="12"/>
      <c r="P132" s="12"/>
      <c r="Q132" s="12"/>
      <c r="R132" s="12"/>
      <c r="S132" s="12"/>
    </row>
    <row r="133" spans="1:19" ht="14.25" customHeight="1" x14ac:dyDescent="0.2">
      <c r="A133" s="1" t="s">
        <v>42</v>
      </c>
      <c r="B133" s="19">
        <v>46083.913981481484</v>
      </c>
      <c r="C133" s="19">
        <v>46083.939583333333</v>
      </c>
      <c r="D133" s="20">
        <v>46083</v>
      </c>
      <c r="E133" s="21">
        <v>0.93958333333284827</v>
      </c>
      <c r="F133" s="1" t="s">
        <v>226</v>
      </c>
      <c r="G133" s="1" t="s">
        <v>21</v>
      </c>
      <c r="H133" s="1" t="s">
        <v>227</v>
      </c>
      <c r="I133" s="1" t="s">
        <v>166</v>
      </c>
      <c r="J133" s="12">
        <v>0.83</v>
      </c>
      <c r="K133" s="12"/>
      <c r="L133" s="12"/>
      <c r="M133" s="12"/>
      <c r="N133" s="12"/>
      <c r="O133" s="12"/>
      <c r="P133" s="12"/>
      <c r="Q133" s="12"/>
      <c r="R133" s="12"/>
      <c r="S133" s="12"/>
    </row>
    <row r="134" spans="1:19" ht="14.25" customHeight="1" x14ac:dyDescent="0.2">
      <c r="A134" s="1" t="s">
        <v>42</v>
      </c>
      <c r="B134" s="19">
        <v>46083.906493055554</v>
      </c>
      <c r="C134" s="19">
        <v>46083.943194444444</v>
      </c>
      <c r="D134" s="20">
        <v>46083</v>
      </c>
      <c r="E134" s="21">
        <v>0.94319444444408873</v>
      </c>
      <c r="F134" s="1" t="s">
        <v>228</v>
      </c>
      <c r="G134" s="1" t="s">
        <v>26</v>
      </c>
      <c r="H134" s="1" t="s">
        <v>125</v>
      </c>
      <c r="I134" s="1" t="s">
        <v>166</v>
      </c>
      <c r="J134" s="12">
        <v>0.63</v>
      </c>
      <c r="K134" s="12"/>
      <c r="L134" s="12"/>
      <c r="M134" s="12"/>
      <c r="N134" s="12"/>
      <c r="O134" s="12"/>
      <c r="P134" s="12"/>
      <c r="Q134" s="12"/>
      <c r="R134" s="12"/>
      <c r="S134" s="12"/>
    </row>
    <row r="135" spans="1:19" ht="14.25" customHeight="1" x14ac:dyDescent="0.2">
      <c r="A135" s="1" t="s">
        <v>42</v>
      </c>
      <c r="B135" s="19">
        <v>46083.943356481483</v>
      </c>
      <c r="C135" s="19">
        <v>46083.970034722224</v>
      </c>
      <c r="D135" s="20">
        <v>46083</v>
      </c>
      <c r="E135" s="21">
        <v>0.97003472222422715</v>
      </c>
      <c r="F135" s="1" t="s">
        <v>229</v>
      </c>
      <c r="G135" s="1" t="s">
        <v>26</v>
      </c>
      <c r="H135" s="1" t="s">
        <v>78</v>
      </c>
      <c r="I135" s="1" t="s">
        <v>166</v>
      </c>
      <c r="J135" s="12">
        <v>0.56999999999999995</v>
      </c>
      <c r="K135" s="12"/>
      <c r="L135" s="12">
        <f>SUM(J135:J138)</f>
        <v>3.68</v>
      </c>
      <c r="M135" s="13">
        <f>L135*65</f>
        <v>239.20000000000002</v>
      </c>
      <c r="N135" s="14">
        <f>MAX(500,M135)</f>
        <v>500</v>
      </c>
      <c r="O135" s="12"/>
      <c r="P135" s="12"/>
      <c r="Q135" s="12"/>
      <c r="R135" s="12"/>
      <c r="S135" s="12"/>
    </row>
    <row r="136" spans="1:19" ht="14.25" customHeight="1" x14ac:dyDescent="0.2">
      <c r="A136" s="1" t="s">
        <v>230</v>
      </c>
      <c r="B136" s="19">
        <v>46083.965428240743</v>
      </c>
      <c r="C136" s="19">
        <v>46083.976550925923</v>
      </c>
      <c r="D136" s="20">
        <v>46083</v>
      </c>
      <c r="E136" s="21">
        <v>0.97655092592322035</v>
      </c>
      <c r="F136" s="1" t="s">
        <v>231</v>
      </c>
      <c r="G136" s="1" t="s">
        <v>21</v>
      </c>
      <c r="H136" s="1" t="s">
        <v>232</v>
      </c>
      <c r="I136" s="1" t="s">
        <v>166</v>
      </c>
      <c r="J136" s="12">
        <v>1.7</v>
      </c>
      <c r="K136" s="12"/>
      <c r="L136" s="12"/>
      <c r="M136" s="12"/>
      <c r="N136" s="12"/>
      <c r="O136" s="12"/>
      <c r="P136" s="12"/>
      <c r="Q136" s="12"/>
      <c r="R136" s="12"/>
      <c r="S136" s="12"/>
    </row>
    <row r="137" spans="1:19" ht="14.25" customHeight="1" x14ac:dyDescent="0.2">
      <c r="A137" s="1" t="s">
        <v>33</v>
      </c>
      <c r="B137" s="19">
        <v>46083.891122685185</v>
      </c>
      <c r="C137" s="19">
        <v>46083.977407407408</v>
      </c>
      <c r="D137" s="20">
        <v>46083</v>
      </c>
      <c r="E137" s="21">
        <v>0.97740740740846377</v>
      </c>
      <c r="F137" s="1" t="s">
        <v>233</v>
      </c>
      <c r="G137" s="1" t="s">
        <v>26</v>
      </c>
      <c r="H137" s="1" t="s">
        <v>27</v>
      </c>
      <c r="I137" s="1" t="s">
        <v>166</v>
      </c>
      <c r="J137" s="12">
        <v>0.68</v>
      </c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1:19" ht="14.25" customHeight="1" x14ac:dyDescent="0.2">
      <c r="A138" s="1" t="s">
        <v>42</v>
      </c>
      <c r="B138" s="19">
        <v>46083.949814814812</v>
      </c>
      <c r="C138" s="19">
        <v>46083.986666666664</v>
      </c>
      <c r="D138" s="20">
        <v>46083</v>
      </c>
      <c r="E138" s="21">
        <v>0.98666666666395031</v>
      </c>
      <c r="F138" s="1" t="s">
        <v>234</v>
      </c>
      <c r="G138" s="1" t="s">
        <v>26</v>
      </c>
      <c r="H138" s="1" t="s">
        <v>56</v>
      </c>
      <c r="I138" s="1" t="s">
        <v>166</v>
      </c>
      <c r="J138" s="12">
        <v>0.73</v>
      </c>
      <c r="K138" s="12"/>
      <c r="L138" s="12"/>
      <c r="M138" s="12"/>
      <c r="N138" s="12"/>
      <c r="O138" s="12"/>
      <c r="P138" s="12"/>
      <c r="Q138" s="12"/>
      <c r="R138" s="12"/>
      <c r="S138" s="12"/>
    </row>
    <row r="139" spans="1:19" ht="14.25" customHeight="1" x14ac:dyDescent="0.2">
      <c r="A139" s="1" t="s">
        <v>95</v>
      </c>
      <c r="B139" s="19">
        <v>46083.968287037038</v>
      </c>
      <c r="C139" s="19">
        <v>46084.01122685185</v>
      </c>
      <c r="D139" s="20">
        <v>46084</v>
      </c>
      <c r="E139" s="21">
        <v>1.1226851849642117E-2</v>
      </c>
      <c r="F139" s="1" t="s">
        <v>235</v>
      </c>
      <c r="G139" s="1" t="s">
        <v>21</v>
      </c>
      <c r="H139" s="1" t="s">
        <v>236</v>
      </c>
      <c r="I139" s="1" t="s">
        <v>166</v>
      </c>
      <c r="J139" s="12">
        <v>1.96</v>
      </c>
      <c r="K139" s="12"/>
      <c r="L139" s="12">
        <f>SUM(J139:J141)</f>
        <v>4.3</v>
      </c>
      <c r="M139" s="13">
        <f>L139*65</f>
        <v>279.5</v>
      </c>
      <c r="N139" s="14">
        <f>MAX(500,M139)</f>
        <v>500</v>
      </c>
      <c r="O139" s="12"/>
      <c r="P139" s="12"/>
      <c r="Q139" s="12"/>
      <c r="R139" s="12"/>
      <c r="S139" s="12"/>
    </row>
    <row r="140" spans="1:19" ht="14.25" customHeight="1" x14ac:dyDescent="0.2">
      <c r="A140" s="1" t="s">
        <v>42</v>
      </c>
      <c r="B140" s="19">
        <v>46083.97278935185</v>
      </c>
      <c r="C140" s="19">
        <v>46084.024895833332</v>
      </c>
      <c r="D140" s="20">
        <v>46084</v>
      </c>
      <c r="E140" s="21">
        <v>2.4895833332266193E-2</v>
      </c>
      <c r="F140" s="1" t="s">
        <v>237</v>
      </c>
      <c r="G140" s="1" t="s">
        <v>26</v>
      </c>
      <c r="H140" s="1" t="s">
        <v>78</v>
      </c>
      <c r="I140" s="1" t="s">
        <v>166</v>
      </c>
      <c r="J140" s="12">
        <v>0.56999999999999995</v>
      </c>
      <c r="K140" s="12"/>
      <c r="L140" s="12"/>
      <c r="M140" s="12"/>
      <c r="N140" s="12"/>
      <c r="O140" s="12"/>
      <c r="P140" s="12"/>
      <c r="Q140" s="12"/>
      <c r="R140" s="12"/>
      <c r="S140" s="12"/>
    </row>
    <row r="141" spans="1:19" ht="14.25" customHeight="1" x14ac:dyDescent="0.2">
      <c r="A141" s="1" t="s">
        <v>24</v>
      </c>
      <c r="B141" s="19">
        <v>46084.00409722222</v>
      </c>
      <c r="C141" s="19">
        <v>46084.03802083333</v>
      </c>
      <c r="D141" s="20">
        <v>46084</v>
      </c>
      <c r="E141" s="21">
        <v>3.8020833329937886E-2</v>
      </c>
      <c r="F141" s="1" t="s">
        <v>238</v>
      </c>
      <c r="G141" s="1" t="s">
        <v>21</v>
      </c>
      <c r="H141" s="1" t="s">
        <v>41</v>
      </c>
      <c r="I141" s="1" t="s">
        <v>166</v>
      </c>
      <c r="J141" s="12">
        <v>1.77</v>
      </c>
      <c r="K141" s="12"/>
      <c r="L141" s="12"/>
      <c r="M141" s="12"/>
      <c r="N141" s="12"/>
      <c r="O141" s="12"/>
      <c r="P141" s="12"/>
      <c r="Q141" s="12"/>
      <c r="R141" s="12"/>
      <c r="S141" s="12"/>
    </row>
    <row r="142" spans="1:19" ht="14.25" customHeight="1" x14ac:dyDescent="0.2">
      <c r="A142" s="1" t="s">
        <v>95</v>
      </c>
      <c r="B142" s="19">
        <v>46084.01054398148</v>
      </c>
      <c r="C142" s="19">
        <v>46084.043194444443</v>
      </c>
      <c r="D142" s="20">
        <v>46084</v>
      </c>
      <c r="E142" s="21">
        <v>4.3194444442633539E-2</v>
      </c>
      <c r="F142" s="1" t="s">
        <v>239</v>
      </c>
      <c r="G142" s="1" t="s">
        <v>21</v>
      </c>
      <c r="H142" s="1" t="s">
        <v>110</v>
      </c>
      <c r="I142" s="1" t="s">
        <v>166</v>
      </c>
      <c r="J142" s="12">
        <v>0.83</v>
      </c>
      <c r="K142" s="12"/>
      <c r="L142" s="12">
        <f>SUM(J142:J144)</f>
        <v>5.0999999999999996</v>
      </c>
      <c r="M142" s="13">
        <f>L142*65</f>
        <v>331.5</v>
      </c>
      <c r="N142" s="14">
        <f>MAX(500,M142)</f>
        <v>500</v>
      </c>
      <c r="O142" s="12"/>
      <c r="P142" s="12"/>
      <c r="Q142" s="12"/>
      <c r="R142" s="12"/>
      <c r="S142" s="12"/>
    </row>
    <row r="143" spans="1:19" ht="14.25" customHeight="1" x14ac:dyDescent="0.2">
      <c r="A143" s="1" t="s">
        <v>95</v>
      </c>
      <c r="B143" s="19">
        <v>46084.012037037035</v>
      </c>
      <c r="C143" s="19">
        <v>46084.061354166668</v>
      </c>
      <c r="D143" s="20">
        <v>46084</v>
      </c>
      <c r="E143" s="21">
        <v>6.1354166668024845E-2</v>
      </c>
      <c r="F143" s="1" t="s">
        <v>240</v>
      </c>
      <c r="G143" s="1" t="s">
        <v>21</v>
      </c>
      <c r="H143" s="1" t="s">
        <v>105</v>
      </c>
      <c r="I143" s="1" t="s">
        <v>166</v>
      </c>
      <c r="J143" s="12">
        <v>2.5</v>
      </c>
      <c r="K143" s="12"/>
      <c r="L143" s="12"/>
      <c r="M143" s="12"/>
      <c r="N143" s="12"/>
      <c r="O143" s="12"/>
      <c r="P143" s="12"/>
      <c r="Q143" s="12"/>
      <c r="R143" s="12"/>
      <c r="S143" s="12"/>
    </row>
    <row r="144" spans="1:19" ht="14.25" customHeight="1" x14ac:dyDescent="0.2">
      <c r="A144" s="1" t="s">
        <v>19</v>
      </c>
      <c r="B144" s="19">
        <v>46084.01226851852</v>
      </c>
      <c r="C144" s="19">
        <v>46084.067928240744</v>
      </c>
      <c r="D144" s="20">
        <v>46084</v>
      </c>
      <c r="E144" s="21">
        <v>6.7928240743640345E-2</v>
      </c>
      <c r="F144" s="1" t="s">
        <v>241</v>
      </c>
      <c r="G144" s="1" t="s">
        <v>21</v>
      </c>
      <c r="H144" s="1" t="s">
        <v>41</v>
      </c>
      <c r="I144" s="1" t="s">
        <v>166</v>
      </c>
      <c r="J144" s="12">
        <v>1.77</v>
      </c>
      <c r="K144" s="12"/>
      <c r="L144" s="12"/>
      <c r="M144" s="12"/>
      <c r="N144" s="12"/>
      <c r="O144" s="12"/>
      <c r="P144" s="12"/>
      <c r="Q144" s="12"/>
      <c r="R144" s="12"/>
      <c r="S144" s="12"/>
    </row>
    <row r="145" spans="1:19" ht="14.25" customHeight="1" x14ac:dyDescent="0.2">
      <c r="A145" s="1" t="s">
        <v>42</v>
      </c>
      <c r="B145" s="19">
        <v>46084.05</v>
      </c>
      <c r="C145" s="19">
        <v>46084.086875000001</v>
      </c>
      <c r="D145" s="20">
        <v>46084</v>
      </c>
      <c r="E145" s="21">
        <v>8.6875000000873115E-2</v>
      </c>
      <c r="F145" s="1" t="s">
        <v>242</v>
      </c>
      <c r="G145" s="1" t="s">
        <v>26</v>
      </c>
      <c r="H145" s="1" t="s">
        <v>56</v>
      </c>
      <c r="I145" s="1" t="s">
        <v>166</v>
      </c>
      <c r="J145" s="12">
        <v>0.73</v>
      </c>
      <c r="K145" s="12"/>
      <c r="L145" s="12">
        <f>SUM(J145:J148)</f>
        <v>6.0399999999999991</v>
      </c>
      <c r="M145" s="13">
        <f>L145*65</f>
        <v>392.59999999999997</v>
      </c>
      <c r="N145" s="14">
        <f>MAX(500,M145)</f>
        <v>500</v>
      </c>
      <c r="O145" s="12"/>
      <c r="P145" s="12"/>
      <c r="Q145" s="12"/>
      <c r="R145" s="12"/>
      <c r="S145" s="12"/>
    </row>
    <row r="146" spans="1:19" ht="14.25" customHeight="1" x14ac:dyDescent="0.2">
      <c r="A146" s="1" t="s">
        <v>19</v>
      </c>
      <c r="B146" s="19">
        <v>46084.064872685187</v>
      </c>
      <c r="C146" s="19">
        <v>46084.105428240742</v>
      </c>
      <c r="D146" s="20">
        <v>46084</v>
      </c>
      <c r="E146" s="21">
        <v>0.10542824074218515</v>
      </c>
      <c r="F146" s="1" t="s">
        <v>243</v>
      </c>
      <c r="G146" s="1" t="s">
        <v>21</v>
      </c>
      <c r="H146" s="1" t="s">
        <v>41</v>
      </c>
      <c r="I146" s="1" t="s">
        <v>166</v>
      </c>
      <c r="J146" s="12">
        <v>1.77</v>
      </c>
      <c r="K146" s="12"/>
      <c r="L146" s="12"/>
      <c r="M146" s="12"/>
      <c r="N146" s="12"/>
      <c r="O146" s="12"/>
      <c r="P146" s="12"/>
      <c r="Q146" s="12"/>
      <c r="R146" s="12"/>
      <c r="S146" s="12"/>
    </row>
    <row r="147" spans="1:19" ht="14.25" customHeight="1" x14ac:dyDescent="0.2">
      <c r="A147" s="1" t="s">
        <v>95</v>
      </c>
      <c r="B147" s="19">
        <v>46084.073703703703</v>
      </c>
      <c r="C147" s="19">
        <v>46084.114039351851</v>
      </c>
      <c r="D147" s="20">
        <v>46084</v>
      </c>
      <c r="E147" s="21">
        <v>0.11403935185080627</v>
      </c>
      <c r="F147" s="1" t="s">
        <v>244</v>
      </c>
      <c r="G147" s="1" t="s">
        <v>21</v>
      </c>
      <c r="H147" s="1" t="s">
        <v>154</v>
      </c>
      <c r="I147" s="1" t="s">
        <v>166</v>
      </c>
      <c r="J147" s="12">
        <v>1.77</v>
      </c>
      <c r="K147" s="12"/>
      <c r="L147" s="12"/>
      <c r="M147" s="12"/>
      <c r="N147" s="12"/>
      <c r="O147" s="12"/>
      <c r="P147" s="12"/>
      <c r="Q147" s="12"/>
      <c r="R147" s="12"/>
      <c r="S147" s="12"/>
    </row>
    <row r="148" spans="1:19" ht="14.25" customHeight="1" x14ac:dyDescent="0.2">
      <c r="A148" s="1" t="s">
        <v>95</v>
      </c>
      <c r="B148" s="19">
        <v>46084.103530092594</v>
      </c>
      <c r="C148" s="19">
        <v>46084.121504629627</v>
      </c>
      <c r="D148" s="20">
        <v>46084</v>
      </c>
      <c r="E148" s="21">
        <v>0.12150462962745223</v>
      </c>
      <c r="F148" s="1" t="s">
        <v>245</v>
      </c>
      <c r="G148" s="1" t="s">
        <v>21</v>
      </c>
      <c r="H148" s="1" t="s">
        <v>97</v>
      </c>
      <c r="I148" s="1" t="s">
        <v>166</v>
      </c>
      <c r="J148" s="12">
        <v>1.77</v>
      </c>
      <c r="K148" s="12"/>
      <c r="L148" s="12"/>
      <c r="M148" s="12"/>
      <c r="N148" s="12"/>
      <c r="O148" s="12"/>
      <c r="P148" s="12"/>
      <c r="Q148" s="12"/>
      <c r="R148" s="12"/>
      <c r="S148" s="12"/>
    </row>
    <row r="149" spans="1:19" ht="14.25" customHeight="1" x14ac:dyDescent="0.2">
      <c r="A149" s="1" t="s">
        <v>42</v>
      </c>
      <c r="B149" s="7">
        <v>46083.855104166665</v>
      </c>
      <c r="C149" s="7">
        <v>46083.883402777778</v>
      </c>
      <c r="D149" s="8">
        <v>46083</v>
      </c>
      <c r="E149" s="9">
        <v>0.88340277777751908</v>
      </c>
      <c r="F149" s="10" t="s">
        <v>246</v>
      </c>
      <c r="G149" s="10" t="s">
        <v>26</v>
      </c>
      <c r="H149" s="10" t="s">
        <v>56</v>
      </c>
      <c r="I149" s="10" t="s">
        <v>23</v>
      </c>
      <c r="J149" s="11">
        <v>0.73</v>
      </c>
      <c r="K149" s="12">
        <f>SUM(J149:J220)</f>
        <v>88.829999999999984</v>
      </c>
      <c r="L149" s="12">
        <f>SUM(J149:J158)</f>
        <v>13.349999999999998</v>
      </c>
      <c r="M149" s="13">
        <f>L149*65</f>
        <v>867.74999999999989</v>
      </c>
      <c r="N149" s="14">
        <f>MAX(500,M149)</f>
        <v>867.74999999999989</v>
      </c>
      <c r="O149" s="12"/>
      <c r="P149" s="12"/>
      <c r="Q149" s="12"/>
      <c r="R149" s="12"/>
      <c r="S149" s="12"/>
    </row>
    <row r="150" spans="1:19" ht="14.25" customHeight="1" x14ac:dyDescent="0.2">
      <c r="A150" s="1" t="s">
        <v>24</v>
      </c>
      <c r="B150" s="7">
        <v>46083.863692129627</v>
      </c>
      <c r="C150" s="7">
        <v>46083.884675925925</v>
      </c>
      <c r="D150" s="8">
        <v>46083</v>
      </c>
      <c r="E150" s="9">
        <v>0.88467592592496658</v>
      </c>
      <c r="F150" s="10" t="s">
        <v>247</v>
      </c>
      <c r="G150" s="10" t="s">
        <v>21</v>
      </c>
      <c r="H150" s="10" t="s">
        <v>248</v>
      </c>
      <c r="I150" s="10" t="s">
        <v>23</v>
      </c>
      <c r="J150" s="11">
        <v>2.15</v>
      </c>
      <c r="K150" s="12"/>
      <c r="L150" s="12"/>
      <c r="M150" s="12"/>
      <c r="N150" s="12"/>
      <c r="O150" s="12"/>
      <c r="P150" s="12"/>
      <c r="Q150" s="12"/>
      <c r="R150" s="12"/>
      <c r="S150" s="12"/>
    </row>
    <row r="151" spans="1:19" ht="14.25" customHeight="1" x14ac:dyDescent="0.2">
      <c r="A151" s="1" t="s">
        <v>42</v>
      </c>
      <c r="B151" s="7">
        <v>46083.857233796298</v>
      </c>
      <c r="C151" s="7">
        <v>46083.885787037034</v>
      </c>
      <c r="D151" s="8">
        <v>46083</v>
      </c>
      <c r="E151" s="9">
        <v>0.88578703703387873</v>
      </c>
      <c r="F151" s="10" t="s">
        <v>249</v>
      </c>
      <c r="G151" s="10" t="s">
        <v>26</v>
      </c>
      <c r="H151" s="10" t="s">
        <v>56</v>
      </c>
      <c r="I151" s="10" t="s">
        <v>23</v>
      </c>
      <c r="J151" s="11">
        <v>0.73</v>
      </c>
      <c r="K151" s="12"/>
      <c r="L151" s="12"/>
      <c r="M151" s="12"/>
      <c r="N151" s="12"/>
      <c r="O151" s="12"/>
      <c r="P151" s="12"/>
      <c r="Q151" s="12"/>
      <c r="R151" s="12"/>
      <c r="S151" s="12"/>
    </row>
    <row r="152" spans="1:19" ht="14.25" customHeight="1" x14ac:dyDescent="0.2">
      <c r="A152" s="1" t="s">
        <v>19</v>
      </c>
      <c r="B152" s="7">
        <v>46083.849641203706</v>
      </c>
      <c r="C152" s="7">
        <v>46083.887002314812</v>
      </c>
      <c r="D152" s="8">
        <v>46083</v>
      </c>
      <c r="E152" s="9">
        <v>0.88700231481197989</v>
      </c>
      <c r="F152" s="10" t="s">
        <v>250</v>
      </c>
      <c r="G152" s="10" t="s">
        <v>26</v>
      </c>
      <c r="H152" s="10" t="s">
        <v>251</v>
      </c>
      <c r="I152" s="10" t="s">
        <v>23</v>
      </c>
      <c r="J152" s="11">
        <v>0.62</v>
      </c>
      <c r="K152" s="12"/>
      <c r="L152" s="12"/>
      <c r="M152" s="12"/>
      <c r="N152" s="12"/>
      <c r="O152" s="12"/>
      <c r="P152" s="12"/>
      <c r="Q152" s="12"/>
      <c r="R152" s="12"/>
      <c r="S152" s="12"/>
    </row>
    <row r="153" spans="1:19" ht="14.25" customHeight="1" x14ac:dyDescent="0.2">
      <c r="A153" s="1" t="s">
        <v>28</v>
      </c>
      <c r="B153" s="7">
        <v>46083.843692129631</v>
      </c>
      <c r="C153" s="7">
        <v>46083.895196759258</v>
      </c>
      <c r="D153" s="8">
        <v>46083</v>
      </c>
      <c r="E153" s="9">
        <v>0.89519675925839692</v>
      </c>
      <c r="F153" s="10" t="s">
        <v>252</v>
      </c>
      <c r="G153" s="10" t="s">
        <v>21</v>
      </c>
      <c r="H153" s="10" t="s">
        <v>248</v>
      </c>
      <c r="I153" s="10" t="s">
        <v>23</v>
      </c>
      <c r="J153" s="11">
        <v>2.15</v>
      </c>
      <c r="K153" s="12"/>
      <c r="L153" s="12"/>
      <c r="M153" s="12"/>
      <c r="N153" s="12"/>
      <c r="O153" s="12"/>
      <c r="P153" s="12"/>
      <c r="Q153" s="12"/>
      <c r="R153" s="12"/>
      <c r="S153" s="12"/>
    </row>
    <row r="154" spans="1:19" ht="14.25" customHeight="1" x14ac:dyDescent="0.2">
      <c r="A154" s="1" t="s">
        <v>19</v>
      </c>
      <c r="B154" s="7">
        <v>46083.872025462966</v>
      </c>
      <c r="C154" s="7">
        <v>46083.901562500003</v>
      </c>
      <c r="D154" s="8">
        <v>46083</v>
      </c>
      <c r="E154" s="9">
        <v>0.90156250000291038</v>
      </c>
      <c r="F154" s="10" t="s">
        <v>253</v>
      </c>
      <c r="G154" s="10" t="s">
        <v>21</v>
      </c>
      <c r="H154" s="10" t="s">
        <v>39</v>
      </c>
      <c r="I154" s="10" t="s">
        <v>23</v>
      </c>
      <c r="J154" s="11">
        <v>1.77</v>
      </c>
      <c r="K154" s="12"/>
      <c r="L154" s="12"/>
      <c r="M154" s="12"/>
      <c r="N154" s="12"/>
      <c r="O154" s="12"/>
      <c r="P154" s="12"/>
      <c r="Q154" s="12"/>
      <c r="R154" s="12"/>
      <c r="S154" s="12"/>
    </row>
    <row r="155" spans="1:19" ht="14.25" customHeight="1" x14ac:dyDescent="0.2">
      <c r="A155" s="1" t="s">
        <v>28</v>
      </c>
      <c r="B155" s="7">
        <v>46083.892650462964</v>
      </c>
      <c r="C155" s="7">
        <v>46083.902766203704</v>
      </c>
      <c r="D155" s="8">
        <v>46083</v>
      </c>
      <c r="E155" s="9">
        <v>0.90276620370423188</v>
      </c>
      <c r="F155" s="10" t="s">
        <v>254</v>
      </c>
      <c r="G155" s="10" t="s">
        <v>21</v>
      </c>
      <c r="H155" s="10" t="s">
        <v>41</v>
      </c>
      <c r="I155" s="10" t="s">
        <v>23</v>
      </c>
      <c r="J155" s="11">
        <v>1.77</v>
      </c>
      <c r="K155" s="12"/>
      <c r="L155" s="12"/>
      <c r="M155" s="12"/>
      <c r="N155" s="12"/>
      <c r="O155" s="12"/>
      <c r="P155" s="12"/>
      <c r="Q155" s="12"/>
      <c r="R155" s="12"/>
      <c r="S155" s="12"/>
    </row>
    <row r="156" spans="1:19" ht="14.25" customHeight="1" x14ac:dyDescent="0.2">
      <c r="A156" s="1" t="s">
        <v>19</v>
      </c>
      <c r="B156" s="7">
        <v>46083.892187500001</v>
      </c>
      <c r="C156" s="7">
        <v>46083.903182870374</v>
      </c>
      <c r="D156" s="8">
        <v>46083</v>
      </c>
      <c r="E156" s="9">
        <v>0.90318287037371192</v>
      </c>
      <c r="F156" s="10" t="s">
        <v>255</v>
      </c>
      <c r="G156" s="10" t="s">
        <v>21</v>
      </c>
      <c r="H156" s="10" t="s">
        <v>41</v>
      </c>
      <c r="I156" s="10" t="s">
        <v>23</v>
      </c>
      <c r="J156" s="11">
        <v>1.77</v>
      </c>
      <c r="K156" s="12"/>
      <c r="L156" s="12"/>
      <c r="M156" s="12"/>
      <c r="N156" s="12"/>
      <c r="O156" s="12"/>
      <c r="P156" s="12"/>
      <c r="Q156" s="12"/>
      <c r="R156" s="12"/>
      <c r="S156" s="12"/>
    </row>
    <row r="157" spans="1:19" ht="14.25" customHeight="1" x14ac:dyDescent="0.2">
      <c r="A157" s="1" t="s">
        <v>24</v>
      </c>
      <c r="B157" s="7">
        <v>46083.883344907408</v>
      </c>
      <c r="C157" s="7">
        <v>46083.908831018518</v>
      </c>
      <c r="D157" s="8">
        <v>46083</v>
      </c>
      <c r="E157" s="9">
        <v>0.908831018517958</v>
      </c>
      <c r="F157" s="10" t="s">
        <v>256</v>
      </c>
      <c r="G157" s="10" t="s">
        <v>21</v>
      </c>
      <c r="H157" s="10" t="s">
        <v>22</v>
      </c>
      <c r="I157" s="10" t="s">
        <v>23</v>
      </c>
      <c r="J157" s="11">
        <v>0.83</v>
      </c>
      <c r="K157" s="12"/>
      <c r="L157" s="12"/>
      <c r="M157" s="12"/>
      <c r="N157" s="12"/>
      <c r="O157" s="12"/>
      <c r="P157" s="12"/>
      <c r="Q157" s="12"/>
      <c r="R157" s="12"/>
      <c r="S157" s="12"/>
    </row>
    <row r="158" spans="1:19" ht="14.25" customHeight="1" x14ac:dyDescent="0.2">
      <c r="A158" s="1" t="s">
        <v>148</v>
      </c>
      <c r="B158" s="7">
        <v>46083.895578703705</v>
      </c>
      <c r="C158" s="7">
        <v>46083.90898148148</v>
      </c>
      <c r="D158" s="8">
        <v>46083</v>
      </c>
      <c r="E158" s="9">
        <v>0.90898148147971369</v>
      </c>
      <c r="F158" s="10" t="s">
        <v>257</v>
      </c>
      <c r="G158" s="10" t="s">
        <v>21</v>
      </c>
      <c r="H158" s="10" t="s">
        <v>258</v>
      </c>
      <c r="I158" s="10" t="s">
        <v>23</v>
      </c>
      <c r="J158" s="11">
        <v>0.83</v>
      </c>
      <c r="K158" s="12"/>
      <c r="L158" s="12"/>
      <c r="M158" s="12"/>
      <c r="N158" s="12"/>
      <c r="O158" s="12"/>
      <c r="P158" s="12"/>
      <c r="Q158" s="12"/>
      <c r="R158" s="12"/>
      <c r="S158" s="12"/>
    </row>
    <row r="159" spans="1:19" ht="14.25" customHeight="1" x14ac:dyDescent="0.2">
      <c r="A159" s="1" t="s">
        <v>24</v>
      </c>
      <c r="B159" s="7">
        <v>46083.887754629628</v>
      </c>
      <c r="C159" s="7">
        <v>46083.918437499997</v>
      </c>
      <c r="D159" s="8">
        <v>46083</v>
      </c>
      <c r="E159" s="9">
        <v>0.91843749999679858</v>
      </c>
      <c r="F159" s="10" t="s">
        <v>259</v>
      </c>
      <c r="G159" s="10" t="s">
        <v>21</v>
      </c>
      <c r="H159" s="10" t="s">
        <v>260</v>
      </c>
      <c r="I159" s="10" t="s">
        <v>23</v>
      </c>
      <c r="J159" s="11">
        <v>1.1000000000000001</v>
      </c>
      <c r="K159" s="12"/>
      <c r="L159" s="12">
        <f>SUM(J159:J180)</f>
        <v>23.159999999999997</v>
      </c>
      <c r="M159" s="13">
        <f>L159*65</f>
        <v>1505.3999999999999</v>
      </c>
      <c r="N159" s="14">
        <f>MAX(500,M159)</f>
        <v>1505.3999999999999</v>
      </c>
      <c r="O159" s="12"/>
      <c r="P159" s="12"/>
      <c r="Q159" s="12"/>
      <c r="R159" s="12"/>
      <c r="S159" s="12"/>
    </row>
    <row r="160" spans="1:19" ht="14.25" customHeight="1" x14ac:dyDescent="0.2">
      <c r="A160" s="1" t="s">
        <v>28</v>
      </c>
      <c r="B160" s="7">
        <v>46083.90662037037</v>
      </c>
      <c r="C160" s="7">
        <v>46083.918935185182</v>
      </c>
      <c r="D160" s="8">
        <v>46083</v>
      </c>
      <c r="E160" s="9">
        <v>0.91893518518190831</v>
      </c>
      <c r="F160" s="10" t="s">
        <v>261</v>
      </c>
      <c r="G160" s="10" t="s">
        <v>21</v>
      </c>
      <c r="H160" s="10" t="s">
        <v>41</v>
      </c>
      <c r="I160" s="10" t="s">
        <v>23</v>
      </c>
      <c r="J160" s="11">
        <v>1.77</v>
      </c>
      <c r="K160" s="12"/>
      <c r="L160" s="12"/>
      <c r="M160" s="12"/>
      <c r="N160" s="12"/>
      <c r="O160" s="12"/>
      <c r="P160" s="12"/>
      <c r="Q160" s="12"/>
      <c r="R160" s="12"/>
      <c r="S160" s="12"/>
    </row>
    <row r="161" spans="1:19" ht="14.25" customHeight="1" x14ac:dyDescent="0.2">
      <c r="A161" s="1" t="s">
        <v>24</v>
      </c>
      <c r="B161" s="7">
        <v>46083.906238425923</v>
      </c>
      <c r="C161" s="7">
        <v>46083.922337962962</v>
      </c>
      <c r="D161" s="8">
        <v>46083</v>
      </c>
      <c r="E161" s="9">
        <v>0.92233796296204673</v>
      </c>
      <c r="F161" s="10" t="s">
        <v>262</v>
      </c>
      <c r="G161" s="10" t="s">
        <v>21</v>
      </c>
      <c r="H161" s="10" t="s">
        <v>22</v>
      </c>
      <c r="I161" s="10" t="s">
        <v>23</v>
      </c>
      <c r="J161" s="11">
        <v>0.83</v>
      </c>
      <c r="K161" s="12"/>
      <c r="L161" s="12"/>
      <c r="M161" s="12"/>
      <c r="N161" s="12"/>
      <c r="O161" s="12"/>
      <c r="P161" s="12"/>
      <c r="Q161" s="12"/>
      <c r="R161" s="12"/>
      <c r="S161" s="12"/>
    </row>
    <row r="162" spans="1:19" ht="14.25" customHeight="1" x14ac:dyDescent="0.2">
      <c r="A162" s="1" t="s">
        <v>24</v>
      </c>
      <c r="B162" s="7">
        <v>46083.899606481478</v>
      </c>
      <c r="C162" s="7">
        <v>46083.927858796298</v>
      </c>
      <c r="D162" s="8">
        <v>46083</v>
      </c>
      <c r="E162" s="9">
        <v>0.92785879629809642</v>
      </c>
      <c r="F162" s="10" t="s">
        <v>263</v>
      </c>
      <c r="G162" s="10" t="s">
        <v>21</v>
      </c>
      <c r="H162" s="10" t="s">
        <v>71</v>
      </c>
      <c r="I162" s="10" t="s">
        <v>23</v>
      </c>
      <c r="J162" s="11">
        <v>1.05</v>
      </c>
      <c r="K162" s="12"/>
      <c r="L162" s="12"/>
      <c r="M162" s="12"/>
      <c r="N162" s="12"/>
      <c r="O162" s="12"/>
      <c r="P162" s="12"/>
      <c r="Q162" s="12"/>
      <c r="R162" s="12"/>
      <c r="S162" s="12"/>
    </row>
    <row r="163" spans="1:19" ht="14.25" customHeight="1" x14ac:dyDescent="0.2">
      <c r="A163" s="1" t="s">
        <v>24</v>
      </c>
      <c r="B163" s="7">
        <v>46083.911307870374</v>
      </c>
      <c r="C163" s="7">
        <v>46083.929849537039</v>
      </c>
      <c r="D163" s="8">
        <v>46083</v>
      </c>
      <c r="E163" s="9">
        <v>0.92984953703853535</v>
      </c>
      <c r="F163" s="10" t="s">
        <v>264</v>
      </c>
      <c r="G163" s="10" t="s">
        <v>21</v>
      </c>
      <c r="H163" s="10" t="s">
        <v>101</v>
      </c>
      <c r="I163" s="10" t="s">
        <v>23</v>
      </c>
      <c r="J163" s="11">
        <v>1.7</v>
      </c>
      <c r="K163" s="12"/>
      <c r="L163" s="12"/>
      <c r="M163" s="12"/>
      <c r="N163" s="12"/>
      <c r="O163" s="12"/>
      <c r="P163" s="12"/>
      <c r="Q163" s="12"/>
      <c r="R163" s="12"/>
      <c r="S163" s="12"/>
    </row>
    <row r="164" spans="1:19" ht="14.25" customHeight="1" x14ac:dyDescent="0.2">
      <c r="A164" s="1" t="s">
        <v>112</v>
      </c>
      <c r="B164" s="7">
        <v>46083.901597222219</v>
      </c>
      <c r="C164" s="7">
        <v>46083.933032407411</v>
      </c>
      <c r="D164" s="8">
        <v>46083</v>
      </c>
      <c r="E164" s="9">
        <v>0.93303240741079208</v>
      </c>
      <c r="F164" s="10" t="s">
        <v>265</v>
      </c>
      <c r="G164" s="10" t="s">
        <v>21</v>
      </c>
      <c r="H164" s="10" t="s">
        <v>266</v>
      </c>
      <c r="I164" s="10" t="s">
        <v>23</v>
      </c>
      <c r="J164" s="11">
        <v>1.77</v>
      </c>
      <c r="K164" s="12"/>
      <c r="L164" s="12"/>
      <c r="M164" s="12"/>
      <c r="N164" s="12"/>
      <c r="O164" s="12"/>
      <c r="P164" s="12"/>
      <c r="Q164" s="12"/>
      <c r="R164" s="12"/>
      <c r="S164" s="12"/>
    </row>
    <row r="165" spans="1:19" ht="14.25" customHeight="1" x14ac:dyDescent="0.2">
      <c r="A165" s="1" t="s">
        <v>33</v>
      </c>
      <c r="B165" s="7">
        <v>46083.91138888889</v>
      </c>
      <c r="C165" s="7">
        <v>46083.934976851851</v>
      </c>
      <c r="D165" s="8">
        <v>46083</v>
      </c>
      <c r="E165" s="9">
        <v>0.93497685185138835</v>
      </c>
      <c r="F165" s="10" t="s">
        <v>267</v>
      </c>
      <c r="G165" s="10" t="s">
        <v>21</v>
      </c>
      <c r="H165" s="10" t="s">
        <v>268</v>
      </c>
      <c r="I165" s="10" t="s">
        <v>23</v>
      </c>
      <c r="J165" s="11">
        <v>1.35</v>
      </c>
      <c r="K165" s="12"/>
      <c r="L165" s="12"/>
      <c r="M165" s="12"/>
      <c r="N165" s="12"/>
      <c r="O165" s="12"/>
      <c r="P165" s="12"/>
      <c r="Q165" s="12"/>
      <c r="R165" s="12"/>
      <c r="S165" s="12"/>
    </row>
    <row r="166" spans="1:19" ht="14.25" customHeight="1" x14ac:dyDescent="0.2">
      <c r="A166" s="1" t="s">
        <v>42</v>
      </c>
      <c r="B166" s="7">
        <v>46083.901388888888</v>
      </c>
      <c r="C166" s="7">
        <v>46083.93677083333</v>
      </c>
      <c r="D166" s="8">
        <v>46083</v>
      </c>
      <c r="E166" s="9">
        <v>0.93677083333022892</v>
      </c>
      <c r="F166" s="10" t="s">
        <v>269</v>
      </c>
      <c r="G166" s="10" t="s">
        <v>26</v>
      </c>
      <c r="H166" s="10" t="s">
        <v>157</v>
      </c>
      <c r="I166" s="10" t="s">
        <v>23</v>
      </c>
      <c r="J166" s="11">
        <v>0.73</v>
      </c>
      <c r="K166" s="12"/>
      <c r="L166" s="12"/>
      <c r="M166" s="12"/>
      <c r="N166" s="12"/>
      <c r="O166" s="12"/>
      <c r="P166" s="12"/>
      <c r="Q166" s="12"/>
      <c r="R166" s="12"/>
      <c r="S166" s="12"/>
    </row>
    <row r="167" spans="1:19" ht="14.25" customHeight="1" x14ac:dyDescent="0.2">
      <c r="A167" s="1" t="s">
        <v>33</v>
      </c>
      <c r="B167" s="7">
        <v>46083.917673611111</v>
      </c>
      <c r="C167" s="7">
        <v>46083.936956018515</v>
      </c>
      <c r="D167" s="8">
        <v>46083</v>
      </c>
      <c r="E167" s="9">
        <v>0.93695601851504762</v>
      </c>
      <c r="F167" s="10" t="s">
        <v>270</v>
      </c>
      <c r="G167" s="10" t="s">
        <v>21</v>
      </c>
      <c r="H167" s="10" t="s">
        <v>22</v>
      </c>
      <c r="I167" s="10" t="s">
        <v>23</v>
      </c>
      <c r="J167" s="11">
        <v>0.83</v>
      </c>
      <c r="K167" s="12"/>
      <c r="L167" s="12"/>
      <c r="M167" s="12"/>
      <c r="N167" s="12"/>
      <c r="O167" s="12"/>
      <c r="P167" s="12"/>
      <c r="Q167" s="12"/>
      <c r="R167" s="12"/>
      <c r="S167" s="12"/>
    </row>
    <row r="168" spans="1:19" ht="14.25" customHeight="1" x14ac:dyDescent="0.2">
      <c r="A168" s="1" t="s">
        <v>28</v>
      </c>
      <c r="B168" s="7">
        <v>46083.901550925926</v>
      </c>
      <c r="C168" s="7">
        <v>46083.937743055554</v>
      </c>
      <c r="D168" s="8">
        <v>46083</v>
      </c>
      <c r="E168" s="9">
        <v>0.93774305555416504</v>
      </c>
      <c r="F168" s="10" t="s">
        <v>271</v>
      </c>
      <c r="G168" s="10" t="s">
        <v>26</v>
      </c>
      <c r="H168" s="10" t="s">
        <v>92</v>
      </c>
      <c r="I168" s="10" t="s">
        <v>23</v>
      </c>
      <c r="J168" s="11">
        <v>0.63</v>
      </c>
      <c r="K168" s="12"/>
      <c r="L168" s="12"/>
      <c r="M168" s="12"/>
      <c r="N168" s="12"/>
      <c r="O168" s="12"/>
      <c r="P168" s="12"/>
      <c r="Q168" s="12"/>
      <c r="R168" s="12"/>
      <c r="S168" s="12"/>
    </row>
    <row r="169" spans="1:19" ht="14.25" customHeight="1" x14ac:dyDescent="0.2">
      <c r="A169" s="1" t="s">
        <v>28</v>
      </c>
      <c r="B169" s="7">
        <v>46083.910092592596</v>
      </c>
      <c r="C169" s="7">
        <v>46083.939212962963</v>
      </c>
      <c r="D169" s="8">
        <v>46083</v>
      </c>
      <c r="E169" s="9">
        <v>0.93921296296321088</v>
      </c>
      <c r="F169" s="10" t="s">
        <v>272</v>
      </c>
      <c r="G169" s="10" t="s">
        <v>26</v>
      </c>
      <c r="H169" s="10" t="s">
        <v>205</v>
      </c>
      <c r="I169" s="10" t="s">
        <v>23</v>
      </c>
      <c r="J169" s="11">
        <v>0.57999999999999996</v>
      </c>
      <c r="K169" s="12"/>
      <c r="L169" s="12"/>
      <c r="M169" s="12"/>
      <c r="N169" s="12"/>
      <c r="O169" s="12"/>
      <c r="P169" s="12"/>
      <c r="Q169" s="12"/>
      <c r="R169" s="12"/>
      <c r="S169" s="12"/>
    </row>
    <row r="170" spans="1:19" ht="14.25" customHeight="1" x14ac:dyDescent="0.2">
      <c r="A170" s="1" t="s">
        <v>24</v>
      </c>
      <c r="B170" s="7">
        <v>46083.91710648148</v>
      </c>
      <c r="C170" s="7">
        <v>46083.939421296294</v>
      </c>
      <c r="D170" s="8">
        <v>46083</v>
      </c>
      <c r="E170" s="9">
        <v>0.93942129629431292</v>
      </c>
      <c r="F170" s="10" t="s">
        <v>273</v>
      </c>
      <c r="G170" s="10" t="s">
        <v>21</v>
      </c>
      <c r="H170" s="10" t="s">
        <v>22</v>
      </c>
      <c r="I170" s="10" t="s">
        <v>23</v>
      </c>
      <c r="J170" s="11">
        <v>0.83</v>
      </c>
      <c r="K170" s="12"/>
      <c r="L170" s="12"/>
      <c r="M170" s="12"/>
      <c r="N170" s="12"/>
      <c r="O170" s="12"/>
      <c r="P170" s="12"/>
      <c r="Q170" s="12"/>
      <c r="R170" s="12"/>
      <c r="S170" s="12"/>
    </row>
    <row r="171" spans="1:19" ht="14.25" customHeight="1" x14ac:dyDescent="0.2">
      <c r="A171" s="1" t="s">
        <v>24</v>
      </c>
      <c r="B171" s="7">
        <v>46083.91710648148</v>
      </c>
      <c r="C171" s="7">
        <v>46083.939756944441</v>
      </c>
      <c r="D171" s="8">
        <v>46083</v>
      </c>
      <c r="E171" s="9">
        <v>0.93975694444088731</v>
      </c>
      <c r="F171" s="10" t="s">
        <v>274</v>
      </c>
      <c r="G171" s="10" t="s">
        <v>21</v>
      </c>
      <c r="H171" s="10" t="s">
        <v>52</v>
      </c>
      <c r="I171" s="10" t="s">
        <v>23</v>
      </c>
      <c r="J171" s="11">
        <v>0.98</v>
      </c>
      <c r="K171" s="12"/>
      <c r="L171" s="12"/>
      <c r="M171" s="12"/>
      <c r="N171" s="12"/>
      <c r="O171" s="12"/>
      <c r="P171" s="12"/>
      <c r="Q171" s="12"/>
      <c r="R171" s="12"/>
      <c r="S171" s="12"/>
    </row>
    <row r="172" spans="1:19" ht="14.25" customHeight="1" x14ac:dyDescent="0.2">
      <c r="A172" s="1" t="s">
        <v>28</v>
      </c>
      <c r="B172" s="7">
        <v>46083.922361111108</v>
      </c>
      <c r="C172" s="7">
        <v>46083.940104166664</v>
      </c>
      <c r="D172" s="8">
        <v>46083</v>
      </c>
      <c r="E172" s="9">
        <v>0.94010416666424135</v>
      </c>
      <c r="F172" s="10" t="s">
        <v>275</v>
      </c>
      <c r="G172" s="10" t="s">
        <v>21</v>
      </c>
      <c r="H172" s="10" t="s">
        <v>276</v>
      </c>
      <c r="I172" s="10" t="s">
        <v>23</v>
      </c>
      <c r="J172" s="11">
        <v>1.77</v>
      </c>
      <c r="K172" s="12"/>
      <c r="L172" s="12"/>
      <c r="M172" s="12"/>
      <c r="N172" s="12"/>
      <c r="O172" s="12"/>
      <c r="P172" s="12"/>
      <c r="Q172" s="12"/>
      <c r="R172" s="12"/>
      <c r="S172" s="12"/>
    </row>
    <row r="173" spans="1:19" ht="14.25" customHeight="1" x14ac:dyDescent="0.2">
      <c r="A173" s="1" t="s">
        <v>24</v>
      </c>
      <c r="B173" s="7">
        <v>46083.924664351849</v>
      </c>
      <c r="C173" s="7">
        <v>46083.940312500003</v>
      </c>
      <c r="D173" s="8">
        <v>46083</v>
      </c>
      <c r="E173" s="9">
        <v>0.94031250000261934</v>
      </c>
      <c r="F173" s="10" t="s">
        <v>277</v>
      </c>
      <c r="G173" s="10" t="s">
        <v>21</v>
      </c>
      <c r="H173" s="10" t="s">
        <v>22</v>
      </c>
      <c r="I173" s="10" t="s">
        <v>23</v>
      </c>
      <c r="J173" s="11">
        <v>0.83</v>
      </c>
      <c r="K173" s="12"/>
      <c r="L173" s="12"/>
      <c r="M173" s="12"/>
      <c r="N173" s="12"/>
      <c r="O173" s="12"/>
      <c r="P173" s="12"/>
      <c r="Q173" s="12"/>
      <c r="R173" s="12"/>
      <c r="S173" s="12"/>
    </row>
    <row r="174" spans="1:19" ht="14.25" customHeight="1" x14ac:dyDescent="0.2">
      <c r="A174" s="1" t="s">
        <v>33</v>
      </c>
      <c r="B174" s="7">
        <v>46083.926527777781</v>
      </c>
      <c r="C174" s="7">
        <v>46083.940439814818</v>
      </c>
      <c r="D174" s="8">
        <v>46083</v>
      </c>
      <c r="E174" s="9">
        <v>0.94043981481809169</v>
      </c>
      <c r="F174" s="10" t="s">
        <v>278</v>
      </c>
      <c r="G174" s="10" t="s">
        <v>21</v>
      </c>
      <c r="H174" s="10" t="s">
        <v>22</v>
      </c>
      <c r="I174" s="10" t="s">
        <v>23</v>
      </c>
      <c r="J174" s="11">
        <v>0.83</v>
      </c>
      <c r="K174" s="12"/>
      <c r="L174" s="12"/>
      <c r="M174" s="12"/>
      <c r="N174" s="12"/>
      <c r="O174" s="12"/>
      <c r="P174" s="12"/>
      <c r="Q174" s="12"/>
      <c r="R174" s="12"/>
      <c r="S174" s="12"/>
    </row>
    <row r="175" spans="1:19" ht="14.25" customHeight="1" x14ac:dyDescent="0.2">
      <c r="A175" s="1" t="s">
        <v>24</v>
      </c>
      <c r="B175" s="7">
        <v>46083.929270833331</v>
      </c>
      <c r="C175" s="7">
        <v>46083.940740740742</v>
      </c>
      <c r="D175" s="8">
        <v>46083</v>
      </c>
      <c r="E175" s="9">
        <v>0.94074074074160308</v>
      </c>
      <c r="F175" s="10" t="s">
        <v>279</v>
      </c>
      <c r="G175" s="10" t="s">
        <v>21</v>
      </c>
      <c r="H175" s="10" t="s">
        <v>22</v>
      </c>
      <c r="I175" s="10" t="s">
        <v>23</v>
      </c>
      <c r="J175" s="11">
        <v>0.83</v>
      </c>
      <c r="K175" s="12"/>
      <c r="L175" s="12"/>
      <c r="M175" s="12"/>
      <c r="N175" s="12"/>
      <c r="O175" s="12"/>
      <c r="P175" s="12"/>
      <c r="Q175" s="12"/>
      <c r="R175" s="12"/>
      <c r="S175" s="12"/>
    </row>
    <row r="176" spans="1:19" ht="14.25" customHeight="1" x14ac:dyDescent="0.2">
      <c r="A176" s="1" t="s">
        <v>24</v>
      </c>
      <c r="B176" s="7">
        <v>46083.932569444441</v>
      </c>
      <c r="C176" s="7">
        <v>46083.946331018517</v>
      </c>
      <c r="D176" s="8">
        <v>46083</v>
      </c>
      <c r="E176" s="9">
        <v>0.94633101851650281</v>
      </c>
      <c r="F176" s="10" t="s">
        <v>280</v>
      </c>
      <c r="G176" s="10" t="s">
        <v>21</v>
      </c>
      <c r="H176" s="10" t="s">
        <v>281</v>
      </c>
      <c r="I176" s="10" t="s">
        <v>23</v>
      </c>
      <c r="J176" s="11">
        <v>2.5</v>
      </c>
      <c r="K176" s="12"/>
      <c r="L176" s="12"/>
      <c r="M176" s="12"/>
      <c r="N176" s="12"/>
      <c r="O176" s="12"/>
      <c r="P176" s="12"/>
      <c r="Q176" s="12"/>
      <c r="R176" s="12"/>
      <c r="S176" s="12"/>
    </row>
    <row r="177" spans="1:19" ht="14.25" customHeight="1" x14ac:dyDescent="0.2">
      <c r="A177" s="1" t="s">
        <v>42</v>
      </c>
      <c r="B177" s="7">
        <v>46083.934965277775</v>
      </c>
      <c r="C177" s="7">
        <v>46083.946828703702</v>
      </c>
      <c r="D177" s="8">
        <v>46083</v>
      </c>
      <c r="E177" s="9">
        <v>0.94682870370161254</v>
      </c>
      <c r="F177" s="10" t="s">
        <v>282</v>
      </c>
      <c r="G177" s="10" t="s">
        <v>44</v>
      </c>
      <c r="H177" s="10" t="s">
        <v>45</v>
      </c>
      <c r="I177" s="10" t="s">
        <v>23</v>
      </c>
      <c r="J177" s="11">
        <v>0.18</v>
      </c>
      <c r="K177" s="12"/>
      <c r="L177" s="12"/>
      <c r="M177" s="12"/>
      <c r="N177" s="12"/>
      <c r="O177" s="12"/>
      <c r="P177" s="12"/>
      <c r="Q177" s="12"/>
      <c r="R177" s="12"/>
      <c r="S177" s="12"/>
    </row>
    <row r="178" spans="1:19" ht="14.25" customHeight="1" x14ac:dyDescent="0.2">
      <c r="A178" s="1" t="s">
        <v>24</v>
      </c>
      <c r="B178" s="7">
        <v>46083.878460648149</v>
      </c>
      <c r="C178" s="7">
        <v>46083.956226851849</v>
      </c>
      <c r="D178" s="8">
        <v>46083</v>
      </c>
      <c r="E178" s="9">
        <v>0.95622685184935108</v>
      </c>
      <c r="F178" s="10" t="s">
        <v>283</v>
      </c>
      <c r="G178" s="10" t="s">
        <v>26</v>
      </c>
      <c r="H178" s="10" t="s">
        <v>284</v>
      </c>
      <c r="I178" s="10" t="s">
        <v>23</v>
      </c>
      <c r="J178" s="11">
        <v>0.88</v>
      </c>
      <c r="K178" s="12"/>
      <c r="L178" s="12"/>
      <c r="M178" s="12"/>
      <c r="N178" s="12"/>
      <c r="O178" s="12"/>
      <c r="P178" s="12"/>
      <c r="Q178" s="12"/>
      <c r="R178" s="12"/>
      <c r="S178" s="12"/>
    </row>
    <row r="179" spans="1:19" ht="14.25" customHeight="1" x14ac:dyDescent="0.2">
      <c r="A179" s="1" t="s">
        <v>42</v>
      </c>
      <c r="B179" s="7">
        <v>46083.941412037035</v>
      </c>
      <c r="C179" s="7">
        <v>46083.956365740742</v>
      </c>
      <c r="D179" s="8">
        <v>46083</v>
      </c>
      <c r="E179" s="9">
        <v>0.95636574074160308</v>
      </c>
      <c r="F179" s="10" t="s">
        <v>285</v>
      </c>
      <c r="G179" s="10" t="s">
        <v>44</v>
      </c>
      <c r="H179" s="10" t="s">
        <v>48</v>
      </c>
      <c r="I179" s="10" t="s">
        <v>23</v>
      </c>
      <c r="J179" s="11">
        <v>0.21</v>
      </c>
      <c r="K179" s="12"/>
      <c r="L179" s="12"/>
      <c r="M179" s="12"/>
      <c r="N179" s="12"/>
      <c r="O179" s="12"/>
      <c r="P179" s="12"/>
      <c r="Q179" s="12"/>
      <c r="R179" s="12"/>
      <c r="S179" s="12"/>
    </row>
    <row r="180" spans="1:19" ht="14.25" customHeight="1" x14ac:dyDescent="0.2">
      <c r="A180" s="1" t="s">
        <v>24</v>
      </c>
      <c r="B180" s="7">
        <v>46083.898726851854</v>
      </c>
      <c r="C180" s="7">
        <v>46083.956956018519</v>
      </c>
      <c r="D180" s="8">
        <v>46083</v>
      </c>
      <c r="E180" s="9">
        <v>0.95695601851912215</v>
      </c>
      <c r="F180" s="10" t="s">
        <v>286</v>
      </c>
      <c r="G180" s="10" t="s">
        <v>26</v>
      </c>
      <c r="H180" s="10" t="s">
        <v>287</v>
      </c>
      <c r="I180" s="10" t="s">
        <v>23</v>
      </c>
      <c r="J180" s="11">
        <v>0.98</v>
      </c>
      <c r="K180" s="12"/>
      <c r="L180" s="12"/>
      <c r="M180" s="12"/>
      <c r="N180" s="12"/>
      <c r="O180" s="12"/>
      <c r="P180" s="12"/>
      <c r="Q180" s="12"/>
      <c r="R180" s="12"/>
      <c r="S180" s="12"/>
    </row>
    <row r="181" spans="1:19" ht="14.25" customHeight="1" x14ac:dyDescent="0.2">
      <c r="A181" s="1" t="s">
        <v>57</v>
      </c>
      <c r="B181" s="7">
        <v>46083.94290509259</v>
      </c>
      <c r="C181" s="7">
        <v>46083.964837962965</v>
      </c>
      <c r="D181" s="8">
        <v>46083</v>
      </c>
      <c r="E181" s="9">
        <v>0.96483796296524815</v>
      </c>
      <c r="F181" s="10" t="s">
        <v>288</v>
      </c>
      <c r="G181" s="10" t="s">
        <v>26</v>
      </c>
      <c r="H181" s="10" t="s">
        <v>289</v>
      </c>
      <c r="I181" s="10" t="s">
        <v>23</v>
      </c>
      <c r="J181" s="11">
        <v>0.97</v>
      </c>
      <c r="K181" s="12"/>
      <c r="L181" s="12">
        <f>SUM(J181:J192)</f>
        <v>16.37</v>
      </c>
      <c r="M181" s="13">
        <f>L181*65</f>
        <v>1064.05</v>
      </c>
      <c r="N181" s="14">
        <f>MAX(500,M181)</f>
        <v>1064.05</v>
      </c>
      <c r="O181" s="12"/>
      <c r="P181" s="12"/>
      <c r="Q181" s="12"/>
      <c r="R181" s="12"/>
      <c r="S181" s="12"/>
    </row>
    <row r="182" spans="1:19" ht="14.25" customHeight="1" x14ac:dyDescent="0.2">
      <c r="A182" s="1" t="s">
        <v>28</v>
      </c>
      <c r="B182" s="7">
        <v>46083.951192129629</v>
      </c>
      <c r="C182" s="7">
        <v>46083.967488425929</v>
      </c>
      <c r="D182" s="8">
        <v>46083</v>
      </c>
      <c r="E182" s="9">
        <v>0.96748842592933215</v>
      </c>
      <c r="F182" s="10" t="s">
        <v>290</v>
      </c>
      <c r="G182" s="10" t="s">
        <v>21</v>
      </c>
      <c r="H182" s="10" t="s">
        <v>41</v>
      </c>
      <c r="I182" s="10" t="s">
        <v>23</v>
      </c>
      <c r="J182" s="11">
        <v>1.77</v>
      </c>
      <c r="K182" s="12"/>
      <c r="L182" s="12"/>
      <c r="M182" s="12"/>
      <c r="N182" s="12"/>
      <c r="O182" s="12"/>
      <c r="P182" s="12"/>
      <c r="Q182" s="12"/>
      <c r="R182" s="12"/>
      <c r="S182" s="12"/>
    </row>
    <row r="183" spans="1:19" ht="14.25" customHeight="1" x14ac:dyDescent="0.2">
      <c r="A183" s="1" t="s">
        <v>95</v>
      </c>
      <c r="B183" s="7">
        <v>46083.957997685182</v>
      </c>
      <c r="C183" s="7">
        <v>46083.97320601852</v>
      </c>
      <c r="D183" s="8">
        <v>46083</v>
      </c>
      <c r="E183" s="9">
        <v>0.97320601851970423</v>
      </c>
      <c r="F183" s="10" t="s">
        <v>291</v>
      </c>
      <c r="G183" s="10" t="s">
        <v>21</v>
      </c>
      <c r="H183" s="10" t="s">
        <v>71</v>
      </c>
      <c r="I183" s="10" t="s">
        <v>23</v>
      </c>
      <c r="J183" s="11">
        <v>1.05</v>
      </c>
      <c r="K183" s="12"/>
      <c r="L183" s="12"/>
      <c r="M183" s="12"/>
      <c r="N183" s="12"/>
      <c r="O183" s="12"/>
      <c r="P183" s="12"/>
      <c r="Q183" s="12"/>
      <c r="R183" s="12"/>
      <c r="S183" s="12"/>
    </row>
    <row r="184" spans="1:19" ht="14.25" customHeight="1" x14ac:dyDescent="0.2">
      <c r="A184" s="1" t="s">
        <v>19</v>
      </c>
      <c r="B184" s="7">
        <v>46083.956574074073</v>
      </c>
      <c r="C184" s="7">
        <v>46083.980231481481</v>
      </c>
      <c r="D184" s="8">
        <v>46083</v>
      </c>
      <c r="E184" s="9">
        <v>0.98023148148058681</v>
      </c>
      <c r="F184" s="10" t="s">
        <v>292</v>
      </c>
      <c r="G184" s="10" t="s">
        <v>26</v>
      </c>
      <c r="H184" s="10" t="s">
        <v>251</v>
      </c>
      <c r="I184" s="10" t="s">
        <v>23</v>
      </c>
      <c r="J184" s="11">
        <v>0.62</v>
      </c>
      <c r="K184" s="12"/>
      <c r="L184" s="12"/>
      <c r="M184" s="12"/>
      <c r="N184" s="12"/>
      <c r="O184" s="12"/>
      <c r="P184" s="12"/>
      <c r="Q184" s="12"/>
      <c r="R184" s="12"/>
      <c r="S184" s="12"/>
    </row>
    <row r="185" spans="1:19" ht="14.25" customHeight="1" x14ac:dyDescent="0.2">
      <c r="A185" s="1" t="s">
        <v>95</v>
      </c>
      <c r="B185" s="7">
        <v>46083.96435185185</v>
      </c>
      <c r="C185" s="7">
        <v>46083.980729166666</v>
      </c>
      <c r="D185" s="8">
        <v>46083</v>
      </c>
      <c r="E185" s="9">
        <v>0.98072916666569654</v>
      </c>
      <c r="F185" s="10" t="s">
        <v>293</v>
      </c>
      <c r="G185" s="10" t="s">
        <v>21</v>
      </c>
      <c r="H185" s="10" t="s">
        <v>108</v>
      </c>
      <c r="I185" s="10" t="s">
        <v>23</v>
      </c>
      <c r="J185" s="11">
        <v>1.7</v>
      </c>
      <c r="K185" s="12"/>
      <c r="L185" s="12"/>
      <c r="M185" s="12"/>
      <c r="N185" s="12"/>
      <c r="O185" s="12"/>
      <c r="P185" s="12"/>
      <c r="Q185" s="12"/>
      <c r="R185" s="12"/>
      <c r="S185" s="12"/>
    </row>
    <row r="186" spans="1:19" ht="14.25" customHeight="1" x14ac:dyDescent="0.2">
      <c r="A186" s="1" t="s">
        <v>19</v>
      </c>
      <c r="B186" s="7">
        <v>46083.968321759261</v>
      </c>
      <c r="C186" s="7">
        <v>46083.981238425928</v>
      </c>
      <c r="D186" s="8">
        <v>46083</v>
      </c>
      <c r="E186" s="9">
        <v>0.98123842592758592</v>
      </c>
      <c r="F186" s="10" t="s">
        <v>294</v>
      </c>
      <c r="G186" s="10" t="s">
        <v>21</v>
      </c>
      <c r="H186" s="10" t="s">
        <v>22</v>
      </c>
      <c r="I186" s="10" t="s">
        <v>23</v>
      </c>
      <c r="J186" s="11">
        <v>0.83</v>
      </c>
      <c r="K186" s="12"/>
      <c r="L186" s="12"/>
      <c r="M186" s="12"/>
      <c r="N186" s="12"/>
      <c r="O186" s="12"/>
      <c r="P186" s="12"/>
      <c r="Q186" s="12"/>
      <c r="R186" s="12"/>
      <c r="S186" s="12"/>
    </row>
    <row r="187" spans="1:19" ht="14.25" customHeight="1" x14ac:dyDescent="0.2">
      <c r="A187" s="1" t="s">
        <v>95</v>
      </c>
      <c r="B187" s="7">
        <v>46083.971435185187</v>
      </c>
      <c r="C187" s="7">
        <v>46083.983749999999</v>
      </c>
      <c r="D187" s="8">
        <v>46083</v>
      </c>
      <c r="E187" s="9">
        <v>0.98374999999941792</v>
      </c>
      <c r="F187" s="10" t="s">
        <v>295</v>
      </c>
      <c r="G187" s="10" t="s">
        <v>21</v>
      </c>
      <c r="H187" s="10" t="s">
        <v>97</v>
      </c>
      <c r="I187" s="10" t="s">
        <v>23</v>
      </c>
      <c r="J187" s="11">
        <v>1.77</v>
      </c>
      <c r="K187" s="12"/>
      <c r="L187" s="12"/>
      <c r="M187" s="12"/>
      <c r="N187" s="12"/>
      <c r="O187" s="12"/>
      <c r="P187" s="12"/>
      <c r="Q187" s="12"/>
      <c r="R187" s="12"/>
      <c r="S187" s="12"/>
    </row>
    <row r="188" spans="1:19" ht="14.25" customHeight="1" x14ac:dyDescent="0.2">
      <c r="A188" s="1" t="s">
        <v>19</v>
      </c>
      <c r="B188" s="7">
        <v>46083.953344907408</v>
      </c>
      <c r="C188" s="7">
        <v>46083.984282407408</v>
      </c>
      <c r="D188" s="8">
        <v>46083</v>
      </c>
      <c r="E188" s="9">
        <v>0.98428240740759065</v>
      </c>
      <c r="F188" s="10" t="s">
        <v>296</v>
      </c>
      <c r="G188" s="10" t="s">
        <v>21</v>
      </c>
      <c r="H188" s="10" t="s">
        <v>41</v>
      </c>
      <c r="I188" s="10" t="s">
        <v>23</v>
      </c>
      <c r="J188" s="11">
        <v>1.77</v>
      </c>
      <c r="K188" s="12"/>
      <c r="L188" s="12"/>
      <c r="M188" s="12"/>
      <c r="N188" s="12"/>
      <c r="O188" s="12"/>
      <c r="P188" s="12"/>
      <c r="Q188" s="12"/>
      <c r="R188" s="12"/>
      <c r="S188" s="12"/>
    </row>
    <row r="189" spans="1:19" ht="14.25" customHeight="1" x14ac:dyDescent="0.2">
      <c r="A189" s="1" t="s">
        <v>19</v>
      </c>
      <c r="B189" s="7">
        <v>46083.965405092589</v>
      </c>
      <c r="C189" s="7">
        <v>46083.985219907408</v>
      </c>
      <c r="D189" s="8">
        <v>46083</v>
      </c>
      <c r="E189" s="9">
        <v>0.98521990740846377</v>
      </c>
      <c r="F189" s="10" t="s">
        <v>297</v>
      </c>
      <c r="G189" s="10" t="s">
        <v>21</v>
      </c>
      <c r="H189" s="10" t="s">
        <v>41</v>
      </c>
      <c r="I189" s="10" t="s">
        <v>23</v>
      </c>
      <c r="J189" s="11">
        <v>1.77</v>
      </c>
      <c r="K189" s="12"/>
      <c r="L189" s="12"/>
      <c r="M189" s="12"/>
      <c r="N189" s="12"/>
      <c r="O189" s="12"/>
      <c r="P189" s="12"/>
      <c r="Q189" s="12"/>
      <c r="R189" s="12"/>
      <c r="S189" s="12"/>
    </row>
    <row r="190" spans="1:19" ht="14.25" customHeight="1" x14ac:dyDescent="0.2">
      <c r="A190" s="1" t="s">
        <v>95</v>
      </c>
      <c r="B190" s="7">
        <v>46083.981956018521</v>
      </c>
      <c r="C190" s="7">
        <v>46083.985625000001</v>
      </c>
      <c r="D190" s="8">
        <v>46083</v>
      </c>
      <c r="E190" s="9">
        <v>0.98562500000116415</v>
      </c>
      <c r="F190" s="10" t="s">
        <v>298</v>
      </c>
      <c r="G190" s="10" t="s">
        <v>21</v>
      </c>
      <c r="H190" s="10" t="s">
        <v>108</v>
      </c>
      <c r="I190" s="10" t="s">
        <v>23</v>
      </c>
      <c r="J190" s="11">
        <v>1.7</v>
      </c>
      <c r="K190" s="12"/>
      <c r="L190" s="12"/>
      <c r="M190" s="12"/>
      <c r="N190" s="12"/>
      <c r="O190" s="12"/>
      <c r="P190" s="12"/>
      <c r="Q190" s="12"/>
      <c r="R190" s="12"/>
      <c r="S190" s="12"/>
    </row>
    <row r="191" spans="1:19" ht="14.25" customHeight="1" x14ac:dyDescent="0.2">
      <c r="A191" s="1" t="s">
        <v>19</v>
      </c>
      <c r="B191" s="7">
        <v>46083.968321759261</v>
      </c>
      <c r="C191" s="7">
        <v>46083.985833333332</v>
      </c>
      <c r="D191" s="8">
        <v>46083</v>
      </c>
      <c r="E191" s="9">
        <v>0.98583333333226619</v>
      </c>
      <c r="F191" s="10" t="s">
        <v>299</v>
      </c>
      <c r="G191" s="10" t="s">
        <v>21</v>
      </c>
      <c r="H191" s="10" t="s">
        <v>52</v>
      </c>
      <c r="I191" s="10" t="s">
        <v>23</v>
      </c>
      <c r="J191" s="11">
        <v>0.98</v>
      </c>
      <c r="K191" s="12"/>
      <c r="L191" s="12"/>
      <c r="M191" s="12"/>
      <c r="N191" s="12"/>
      <c r="O191" s="12"/>
      <c r="P191" s="12"/>
      <c r="Q191" s="12"/>
      <c r="R191" s="12"/>
      <c r="S191" s="12"/>
    </row>
    <row r="192" spans="1:19" ht="14.25" customHeight="1" x14ac:dyDescent="0.2">
      <c r="A192" s="1" t="s">
        <v>42</v>
      </c>
      <c r="B192" s="7">
        <v>46083.961805555555</v>
      </c>
      <c r="C192" s="7">
        <v>46083.998298611114</v>
      </c>
      <c r="D192" s="8">
        <v>46083</v>
      </c>
      <c r="E192" s="9">
        <v>0.99829861111356877</v>
      </c>
      <c r="F192" s="10" t="s">
        <v>300</v>
      </c>
      <c r="G192" s="10" t="s">
        <v>180</v>
      </c>
      <c r="H192" s="10" t="s">
        <v>301</v>
      </c>
      <c r="I192" s="10" t="s">
        <v>23</v>
      </c>
      <c r="J192" s="11">
        <v>1.44</v>
      </c>
      <c r="K192" s="12"/>
      <c r="L192" s="12"/>
      <c r="M192" s="12"/>
      <c r="N192" s="12"/>
      <c r="O192" s="12"/>
      <c r="P192" s="12"/>
      <c r="Q192" s="12"/>
      <c r="R192" s="12"/>
      <c r="S192" s="12"/>
    </row>
    <row r="193" spans="1:19" ht="14.25" customHeight="1" x14ac:dyDescent="0.2">
      <c r="A193" s="1" t="s">
        <v>57</v>
      </c>
      <c r="B193" s="7">
        <v>46083.977835648147</v>
      </c>
      <c r="C193" s="7">
        <v>46084.005879629629</v>
      </c>
      <c r="D193" s="8">
        <v>46084</v>
      </c>
      <c r="E193" s="9">
        <v>5.8796296289074235E-3</v>
      </c>
      <c r="F193" s="10" t="s">
        <v>302</v>
      </c>
      <c r="G193" s="10" t="s">
        <v>21</v>
      </c>
      <c r="H193" s="10" t="s">
        <v>303</v>
      </c>
      <c r="I193" s="10" t="s">
        <v>23</v>
      </c>
      <c r="J193" s="11">
        <v>1.77</v>
      </c>
      <c r="K193" s="12"/>
      <c r="L193" s="12">
        <f>SUM(J193:J204)</f>
        <v>13.540000000000001</v>
      </c>
      <c r="M193" s="13">
        <f>L193*65</f>
        <v>880.1</v>
      </c>
      <c r="N193" s="14">
        <f>MAX(500,M193)</f>
        <v>880.1</v>
      </c>
      <c r="O193" s="12"/>
      <c r="P193" s="12"/>
      <c r="Q193" s="12"/>
      <c r="R193" s="12"/>
      <c r="S193" s="12"/>
    </row>
    <row r="194" spans="1:19" ht="14.25" customHeight="1" x14ac:dyDescent="0.2">
      <c r="A194" s="1" t="s">
        <v>24</v>
      </c>
      <c r="B194" s="7">
        <v>46083.953321759262</v>
      </c>
      <c r="C194" s="7">
        <v>46084.006226851852</v>
      </c>
      <c r="D194" s="8">
        <v>46084</v>
      </c>
      <c r="E194" s="9">
        <v>6.2268518522614613E-3</v>
      </c>
      <c r="F194" s="10" t="s">
        <v>304</v>
      </c>
      <c r="G194" s="10" t="s">
        <v>21</v>
      </c>
      <c r="H194" s="10" t="s">
        <v>41</v>
      </c>
      <c r="I194" s="10" t="s">
        <v>23</v>
      </c>
      <c r="J194" s="11">
        <v>1.77</v>
      </c>
      <c r="K194" s="12"/>
      <c r="L194" s="12"/>
      <c r="M194" s="12"/>
      <c r="N194" s="12"/>
      <c r="O194" s="12"/>
      <c r="P194" s="12"/>
      <c r="Q194" s="12"/>
      <c r="R194" s="12"/>
      <c r="S194" s="12"/>
    </row>
    <row r="195" spans="1:19" ht="14.25" customHeight="1" x14ac:dyDescent="0.2">
      <c r="A195" s="1" t="s">
        <v>24</v>
      </c>
      <c r="B195" s="7">
        <v>46083.985578703701</v>
      </c>
      <c r="C195" s="7">
        <v>46084.007349537038</v>
      </c>
      <c r="D195" s="8">
        <v>46084</v>
      </c>
      <c r="E195" s="9">
        <v>7.3495370379532687E-3</v>
      </c>
      <c r="F195" s="10" t="s">
        <v>305</v>
      </c>
      <c r="G195" s="10" t="s">
        <v>21</v>
      </c>
      <c r="H195" s="10" t="s">
        <v>306</v>
      </c>
      <c r="I195" s="10" t="s">
        <v>23</v>
      </c>
      <c r="J195" s="11">
        <v>0.98</v>
      </c>
      <c r="K195" s="12"/>
      <c r="L195" s="12"/>
      <c r="M195" s="12"/>
      <c r="N195" s="12"/>
      <c r="O195" s="12"/>
      <c r="P195" s="12"/>
      <c r="Q195" s="12"/>
      <c r="R195" s="12"/>
      <c r="S195" s="12"/>
    </row>
    <row r="196" spans="1:19" ht="14.25" customHeight="1" x14ac:dyDescent="0.2">
      <c r="A196" s="1" t="s">
        <v>95</v>
      </c>
      <c r="B196" s="7">
        <v>46083.997025462966</v>
      </c>
      <c r="C196" s="7">
        <v>46084.010196759256</v>
      </c>
      <c r="D196" s="8">
        <v>46084</v>
      </c>
      <c r="E196" s="9">
        <v>1.0196759256359655E-2</v>
      </c>
      <c r="F196" s="10" t="s">
        <v>307</v>
      </c>
      <c r="G196" s="10" t="s">
        <v>21</v>
      </c>
      <c r="H196" s="10" t="s">
        <v>97</v>
      </c>
      <c r="I196" s="10" t="s">
        <v>23</v>
      </c>
      <c r="J196" s="11">
        <v>1.77</v>
      </c>
      <c r="K196" s="12"/>
      <c r="L196" s="12"/>
      <c r="M196" s="12"/>
      <c r="N196" s="12"/>
      <c r="O196" s="12"/>
      <c r="P196" s="12"/>
      <c r="Q196" s="12"/>
      <c r="R196" s="12"/>
      <c r="S196" s="12"/>
    </row>
    <row r="197" spans="1:19" ht="14.25" customHeight="1" x14ac:dyDescent="0.2">
      <c r="A197" s="1" t="s">
        <v>24</v>
      </c>
      <c r="B197" s="7">
        <v>46083.990405092591</v>
      </c>
      <c r="C197" s="7">
        <v>46084.015601851854</v>
      </c>
      <c r="D197" s="8">
        <v>46084</v>
      </c>
      <c r="E197" s="9">
        <v>1.5601851853716653E-2</v>
      </c>
      <c r="F197" s="10" t="s">
        <v>308</v>
      </c>
      <c r="G197" s="10" t="s">
        <v>21</v>
      </c>
      <c r="H197" s="10" t="s">
        <v>101</v>
      </c>
      <c r="I197" s="10" t="s">
        <v>23</v>
      </c>
      <c r="J197" s="11">
        <v>1.7</v>
      </c>
      <c r="K197" s="12"/>
      <c r="L197" s="12"/>
      <c r="M197" s="12"/>
      <c r="N197" s="12"/>
      <c r="O197" s="12"/>
      <c r="P197" s="12"/>
      <c r="Q197" s="12"/>
      <c r="R197" s="12"/>
      <c r="S197" s="12"/>
    </row>
    <row r="198" spans="1:19" ht="14.25" customHeight="1" x14ac:dyDescent="0.2">
      <c r="A198" s="1" t="s">
        <v>33</v>
      </c>
      <c r="B198" s="7">
        <v>46084.005243055559</v>
      </c>
      <c r="C198" s="7">
        <v>46084.01599537037</v>
      </c>
      <c r="D198" s="8">
        <v>46084</v>
      </c>
      <c r="E198" s="9">
        <v>1.5995370369637385E-2</v>
      </c>
      <c r="F198" s="10" t="s">
        <v>309</v>
      </c>
      <c r="G198" s="10" t="s">
        <v>44</v>
      </c>
      <c r="H198" s="10" t="s">
        <v>185</v>
      </c>
      <c r="I198" s="10" t="s">
        <v>23</v>
      </c>
      <c r="J198" s="11">
        <v>0.18</v>
      </c>
      <c r="K198" s="12"/>
      <c r="L198" s="12"/>
      <c r="M198" s="12"/>
      <c r="N198" s="12"/>
      <c r="O198" s="12"/>
      <c r="P198" s="12"/>
      <c r="Q198" s="12"/>
      <c r="R198" s="12"/>
      <c r="S198" s="12"/>
    </row>
    <row r="199" spans="1:19" ht="14.25" customHeight="1" x14ac:dyDescent="0.2">
      <c r="A199" s="1" t="s">
        <v>42</v>
      </c>
      <c r="B199" s="7">
        <v>46083.978900462964</v>
      </c>
      <c r="C199" s="7">
        <v>46084.02171296296</v>
      </c>
      <c r="D199" s="8">
        <v>46084</v>
      </c>
      <c r="E199" s="9">
        <v>2.1712962960009463E-2</v>
      </c>
      <c r="F199" s="10" t="s">
        <v>310</v>
      </c>
      <c r="G199" s="10" t="s">
        <v>26</v>
      </c>
      <c r="H199" s="10" t="s">
        <v>157</v>
      </c>
      <c r="I199" s="10" t="s">
        <v>23</v>
      </c>
      <c r="J199" s="11">
        <v>0.73</v>
      </c>
      <c r="K199" s="12"/>
      <c r="L199" s="12"/>
      <c r="M199" s="12"/>
      <c r="N199" s="12"/>
      <c r="O199" s="12"/>
      <c r="P199" s="12"/>
      <c r="Q199" s="12"/>
      <c r="R199" s="12"/>
      <c r="S199" s="12"/>
    </row>
    <row r="200" spans="1:19" ht="14.25" customHeight="1" x14ac:dyDescent="0.2">
      <c r="A200" s="1" t="s">
        <v>63</v>
      </c>
      <c r="B200" s="7">
        <v>46083.968715277777</v>
      </c>
      <c r="C200" s="7">
        <v>46084.022407407407</v>
      </c>
      <c r="D200" s="8">
        <v>46084</v>
      </c>
      <c r="E200" s="9">
        <v>2.2407407406717539E-2</v>
      </c>
      <c r="F200" s="10" t="s">
        <v>311</v>
      </c>
      <c r="G200" s="10" t="s">
        <v>21</v>
      </c>
      <c r="H200" s="10" t="s">
        <v>216</v>
      </c>
      <c r="I200" s="10" t="s">
        <v>23</v>
      </c>
      <c r="J200" s="11">
        <v>0.98</v>
      </c>
      <c r="K200" s="12"/>
      <c r="L200" s="12"/>
      <c r="M200" s="12"/>
      <c r="N200" s="12"/>
      <c r="O200" s="12"/>
      <c r="P200" s="12"/>
      <c r="Q200" s="12"/>
      <c r="R200" s="12"/>
      <c r="S200" s="12"/>
    </row>
    <row r="201" spans="1:19" ht="14.25" customHeight="1" x14ac:dyDescent="0.2">
      <c r="A201" s="1" t="s">
        <v>42</v>
      </c>
      <c r="B201" s="7">
        <v>46084.000324074077</v>
      </c>
      <c r="C201" s="7">
        <v>46084.02484953704</v>
      </c>
      <c r="D201" s="8">
        <v>46084</v>
      </c>
      <c r="E201" s="9">
        <v>2.4849537039699499E-2</v>
      </c>
      <c r="F201" s="10" t="s">
        <v>312</v>
      </c>
      <c r="G201" s="10" t="s">
        <v>44</v>
      </c>
      <c r="H201" s="10" t="s">
        <v>140</v>
      </c>
      <c r="I201" s="10" t="s">
        <v>23</v>
      </c>
      <c r="J201" s="11">
        <v>0.18</v>
      </c>
      <c r="K201" s="12"/>
      <c r="L201" s="12"/>
      <c r="M201" s="12"/>
      <c r="N201" s="12"/>
      <c r="O201" s="12"/>
      <c r="P201" s="12"/>
      <c r="Q201" s="12"/>
      <c r="R201" s="12"/>
      <c r="S201" s="12"/>
    </row>
    <row r="202" spans="1:19" ht="14.25" customHeight="1" x14ac:dyDescent="0.2">
      <c r="A202" s="1" t="s">
        <v>24</v>
      </c>
      <c r="B202" s="7">
        <v>46084.012291666666</v>
      </c>
      <c r="C202" s="7">
        <v>46084.025856481479</v>
      </c>
      <c r="D202" s="8">
        <v>46084</v>
      </c>
      <c r="E202" s="9">
        <v>2.5856481479422655E-2</v>
      </c>
      <c r="F202" s="10" t="s">
        <v>313</v>
      </c>
      <c r="G202" s="10" t="s">
        <v>21</v>
      </c>
      <c r="H202" s="10" t="s">
        <v>22</v>
      </c>
      <c r="I202" s="10" t="s">
        <v>23</v>
      </c>
      <c r="J202" s="11">
        <v>0.83</v>
      </c>
      <c r="K202" s="12"/>
      <c r="L202" s="12"/>
      <c r="M202" s="12"/>
      <c r="N202" s="12"/>
      <c r="O202" s="12"/>
      <c r="P202" s="12"/>
      <c r="Q202" s="12"/>
      <c r="R202" s="12"/>
      <c r="S202" s="12"/>
    </row>
    <row r="203" spans="1:19" ht="14.25" customHeight="1" x14ac:dyDescent="0.2">
      <c r="A203" s="1" t="s">
        <v>19</v>
      </c>
      <c r="B203" s="7">
        <v>46083.992673611108</v>
      </c>
      <c r="C203" s="7">
        <v>46084.035590277781</v>
      </c>
      <c r="D203" s="8">
        <v>46084</v>
      </c>
      <c r="E203" s="9">
        <v>3.5590277781011537E-2</v>
      </c>
      <c r="F203" s="10" t="s">
        <v>314</v>
      </c>
      <c r="G203" s="10" t="s">
        <v>26</v>
      </c>
      <c r="H203" s="10" t="s">
        <v>315</v>
      </c>
      <c r="I203" s="10" t="s">
        <v>23</v>
      </c>
      <c r="J203" s="11">
        <v>0.88</v>
      </c>
      <c r="K203" s="12"/>
      <c r="L203" s="12"/>
      <c r="M203" s="12"/>
      <c r="N203" s="12"/>
      <c r="O203" s="12"/>
      <c r="P203" s="12"/>
      <c r="Q203" s="12"/>
      <c r="R203" s="12"/>
      <c r="S203" s="12"/>
    </row>
    <row r="204" spans="1:19" ht="14.25" customHeight="1" x14ac:dyDescent="0.2">
      <c r="A204" s="1" t="s">
        <v>95</v>
      </c>
      <c r="B204" s="7">
        <v>46084.032187500001</v>
      </c>
      <c r="C204" s="7">
        <v>46084.041608796295</v>
      </c>
      <c r="D204" s="8">
        <v>46084</v>
      </c>
      <c r="E204" s="9">
        <v>4.1608796294895001E-2</v>
      </c>
      <c r="F204" s="10" t="s">
        <v>316</v>
      </c>
      <c r="G204" s="10" t="s">
        <v>21</v>
      </c>
      <c r="H204" s="10" t="s">
        <v>97</v>
      </c>
      <c r="I204" s="10" t="s">
        <v>23</v>
      </c>
      <c r="J204" s="11">
        <v>1.77</v>
      </c>
      <c r="K204" s="12"/>
      <c r="L204" s="12"/>
      <c r="M204" s="12"/>
      <c r="N204" s="12"/>
      <c r="O204" s="12"/>
      <c r="P204" s="12"/>
      <c r="Q204" s="12"/>
      <c r="R204" s="12"/>
      <c r="S204" s="12"/>
    </row>
    <row r="205" spans="1:19" ht="14.25" customHeight="1" x14ac:dyDescent="0.2">
      <c r="A205" s="1" t="s">
        <v>95</v>
      </c>
      <c r="B205" s="7">
        <v>46084.040706018517</v>
      </c>
      <c r="C205" s="7">
        <v>46084.045659722222</v>
      </c>
      <c r="D205" s="8">
        <v>46084</v>
      </c>
      <c r="E205" s="9">
        <v>4.5659722221898846E-2</v>
      </c>
      <c r="F205" s="10" t="s">
        <v>317</v>
      </c>
      <c r="G205" s="10" t="s">
        <v>21</v>
      </c>
      <c r="H205" s="10" t="s">
        <v>97</v>
      </c>
      <c r="I205" s="10" t="s">
        <v>23</v>
      </c>
      <c r="J205" s="11">
        <v>1.77</v>
      </c>
      <c r="K205" s="12"/>
      <c r="L205" s="12">
        <f>SUM(J205:J215)</f>
        <v>15.589999999999998</v>
      </c>
      <c r="M205" s="13">
        <f>L205*65</f>
        <v>1013.3499999999999</v>
      </c>
      <c r="N205" s="14">
        <f>MAX(500,M205)</f>
        <v>1013.3499999999999</v>
      </c>
      <c r="O205" s="12"/>
      <c r="P205" s="12"/>
      <c r="Q205" s="12"/>
      <c r="R205" s="12"/>
      <c r="S205" s="12"/>
    </row>
    <row r="206" spans="1:19" ht="14.25" customHeight="1" x14ac:dyDescent="0.2">
      <c r="A206" s="1" t="s">
        <v>33</v>
      </c>
      <c r="B206" s="7">
        <v>46084.033449074072</v>
      </c>
      <c r="C206" s="7">
        <v>46084.04619212963</v>
      </c>
      <c r="D206" s="8">
        <v>46084</v>
      </c>
      <c r="E206" s="9">
        <v>4.6192129630071577E-2</v>
      </c>
      <c r="F206" s="10" t="s">
        <v>318</v>
      </c>
      <c r="G206" s="10" t="s">
        <v>21</v>
      </c>
      <c r="H206" s="10" t="s">
        <v>41</v>
      </c>
      <c r="I206" s="10" t="s">
        <v>23</v>
      </c>
      <c r="J206" s="11">
        <v>1.77</v>
      </c>
      <c r="K206" s="12"/>
      <c r="L206" s="12"/>
      <c r="M206" s="12"/>
      <c r="N206" s="12"/>
      <c r="O206" s="12"/>
      <c r="P206" s="12"/>
      <c r="Q206" s="12"/>
      <c r="R206" s="12"/>
      <c r="S206" s="12"/>
    </row>
    <row r="207" spans="1:19" ht="14.25" customHeight="1" x14ac:dyDescent="0.2">
      <c r="A207" s="1" t="s">
        <v>63</v>
      </c>
      <c r="B207" s="7">
        <v>46083.968715277777</v>
      </c>
      <c r="C207" s="7">
        <v>46084.054328703707</v>
      </c>
      <c r="D207" s="8">
        <v>46084</v>
      </c>
      <c r="E207" s="9">
        <v>5.4328703707142267E-2</v>
      </c>
      <c r="F207" s="10" t="s">
        <v>319</v>
      </c>
      <c r="G207" s="10" t="s">
        <v>21</v>
      </c>
      <c r="H207" s="10" t="s">
        <v>320</v>
      </c>
      <c r="I207" s="10" t="s">
        <v>23</v>
      </c>
      <c r="J207" s="11">
        <v>0.98</v>
      </c>
      <c r="K207" s="12"/>
      <c r="L207" s="12"/>
      <c r="M207" s="12"/>
      <c r="N207" s="12"/>
      <c r="O207" s="12"/>
      <c r="P207" s="12"/>
      <c r="Q207" s="12"/>
      <c r="R207" s="12"/>
      <c r="S207" s="12"/>
    </row>
    <row r="208" spans="1:19" ht="14.25" customHeight="1" x14ac:dyDescent="0.2">
      <c r="A208" s="1" t="s">
        <v>95</v>
      </c>
      <c r="B208" s="7">
        <v>46084.01054398148</v>
      </c>
      <c r="C208" s="7">
        <v>46084.055196759262</v>
      </c>
      <c r="D208" s="8">
        <v>46084</v>
      </c>
      <c r="E208" s="9">
        <v>5.5196759261889383E-2</v>
      </c>
      <c r="F208" s="10" t="s">
        <v>321</v>
      </c>
      <c r="G208" s="10" t="s">
        <v>21</v>
      </c>
      <c r="H208" s="10" t="s">
        <v>52</v>
      </c>
      <c r="I208" s="10" t="s">
        <v>23</v>
      </c>
      <c r="J208" s="11">
        <v>0.98</v>
      </c>
      <c r="K208" s="12"/>
      <c r="L208" s="12"/>
      <c r="M208" s="12"/>
      <c r="N208" s="12"/>
      <c r="O208" s="12"/>
      <c r="P208" s="12"/>
      <c r="Q208" s="12"/>
      <c r="R208" s="12"/>
      <c r="S208" s="12"/>
    </row>
    <row r="209" spans="1:19" ht="14.25" customHeight="1" x14ac:dyDescent="0.2">
      <c r="A209" s="1" t="s">
        <v>230</v>
      </c>
      <c r="B209" s="7">
        <v>46084.05023148148</v>
      </c>
      <c r="C209" s="7">
        <v>46084.058530092596</v>
      </c>
      <c r="D209" s="8">
        <v>46084</v>
      </c>
      <c r="E209" s="9">
        <v>5.8530092595901806E-2</v>
      </c>
      <c r="F209" s="10" t="s">
        <v>322</v>
      </c>
      <c r="G209" s="10" t="s">
        <v>21</v>
      </c>
      <c r="H209" s="10" t="s">
        <v>323</v>
      </c>
      <c r="I209" s="10" t="s">
        <v>23</v>
      </c>
      <c r="J209" s="11">
        <v>1.06</v>
      </c>
      <c r="K209" s="12"/>
      <c r="L209" s="12"/>
      <c r="M209" s="12"/>
      <c r="N209" s="12"/>
      <c r="O209" s="12"/>
      <c r="P209" s="12"/>
      <c r="Q209" s="12"/>
      <c r="R209" s="12"/>
      <c r="S209" s="12"/>
    </row>
    <row r="210" spans="1:19" ht="14.25" customHeight="1" x14ac:dyDescent="0.2">
      <c r="A210" s="1" t="s">
        <v>95</v>
      </c>
      <c r="B210" s="7">
        <v>46084.047060185185</v>
      </c>
      <c r="C210" s="7">
        <v>46084.059004629627</v>
      </c>
      <c r="D210" s="8">
        <v>46084</v>
      </c>
      <c r="E210" s="9">
        <v>5.9004629627452232E-2</v>
      </c>
      <c r="F210" s="10" t="s">
        <v>324</v>
      </c>
      <c r="G210" s="10" t="s">
        <v>21</v>
      </c>
      <c r="H210" s="10" t="s">
        <v>97</v>
      </c>
      <c r="I210" s="10" t="s">
        <v>23</v>
      </c>
      <c r="J210" s="11">
        <v>1.77</v>
      </c>
      <c r="K210" s="12"/>
      <c r="L210" s="12"/>
      <c r="M210" s="12"/>
      <c r="N210" s="12"/>
      <c r="O210" s="12"/>
      <c r="P210" s="12"/>
      <c r="Q210" s="12"/>
      <c r="R210" s="12"/>
      <c r="S210" s="12"/>
    </row>
    <row r="211" spans="1:19" ht="14.25" customHeight="1" x14ac:dyDescent="0.2">
      <c r="A211" s="1" t="s">
        <v>95</v>
      </c>
      <c r="B211" s="7">
        <v>46084.052152777775</v>
      </c>
      <c r="C211" s="7">
        <v>46084.062476851854</v>
      </c>
      <c r="D211" s="8">
        <v>46084</v>
      </c>
      <c r="E211" s="9">
        <v>6.2476851853716653E-2</v>
      </c>
      <c r="F211" s="10" t="s">
        <v>325</v>
      </c>
      <c r="G211" s="10" t="s">
        <v>21</v>
      </c>
      <c r="H211" s="10" t="s">
        <v>97</v>
      </c>
      <c r="I211" s="10" t="s">
        <v>23</v>
      </c>
      <c r="J211" s="11">
        <v>1.77</v>
      </c>
      <c r="K211" s="12"/>
      <c r="L211" s="12"/>
      <c r="M211" s="12"/>
      <c r="N211" s="12"/>
      <c r="O211" s="12"/>
      <c r="P211" s="12"/>
      <c r="Q211" s="12"/>
      <c r="R211" s="12"/>
      <c r="S211" s="12"/>
    </row>
    <row r="212" spans="1:19" ht="14.25" customHeight="1" x14ac:dyDescent="0.2">
      <c r="A212" s="1" t="s">
        <v>19</v>
      </c>
      <c r="B212" s="7">
        <v>46084.050196759257</v>
      </c>
      <c r="C212" s="7">
        <v>46084.062928240739</v>
      </c>
      <c r="D212" s="8">
        <v>46084</v>
      </c>
      <c r="E212" s="9">
        <v>6.2928240738983732E-2</v>
      </c>
      <c r="F212" s="10" t="s">
        <v>326</v>
      </c>
      <c r="G212" s="10" t="s">
        <v>21</v>
      </c>
      <c r="H212" s="10" t="s">
        <v>39</v>
      </c>
      <c r="I212" s="10" t="s">
        <v>23</v>
      </c>
      <c r="J212" s="11">
        <v>1.77</v>
      </c>
      <c r="K212" s="12"/>
      <c r="L212" s="12"/>
      <c r="M212" s="12"/>
      <c r="N212" s="12"/>
      <c r="O212" s="12"/>
      <c r="P212" s="12"/>
      <c r="Q212" s="12"/>
      <c r="R212" s="12"/>
      <c r="S212" s="12"/>
    </row>
    <row r="213" spans="1:19" ht="14.25" customHeight="1" x14ac:dyDescent="0.2">
      <c r="A213" s="1" t="s">
        <v>42</v>
      </c>
      <c r="B213" s="7">
        <v>46084.027418981481</v>
      </c>
      <c r="C213" s="7">
        <v>46084.065983796296</v>
      </c>
      <c r="D213" s="8">
        <v>46084</v>
      </c>
      <c r="E213" s="9">
        <v>6.5983796295768116E-2</v>
      </c>
      <c r="F213" s="10" t="s">
        <v>327</v>
      </c>
      <c r="G213" s="10" t="s">
        <v>26</v>
      </c>
      <c r="H213" s="10" t="s">
        <v>172</v>
      </c>
      <c r="I213" s="10" t="s">
        <v>23</v>
      </c>
      <c r="J213" s="11">
        <v>0.67</v>
      </c>
      <c r="K213" s="12"/>
      <c r="L213" s="12"/>
      <c r="M213" s="12"/>
      <c r="N213" s="12"/>
      <c r="O213" s="12"/>
      <c r="P213" s="12"/>
      <c r="Q213" s="12"/>
      <c r="R213" s="12"/>
      <c r="S213" s="12"/>
    </row>
    <row r="214" spans="1:19" ht="14.25" customHeight="1" x14ac:dyDescent="0.2">
      <c r="A214" s="1" t="s">
        <v>33</v>
      </c>
      <c r="B214" s="7">
        <v>46084.059062499997</v>
      </c>
      <c r="C214" s="7">
        <v>46084.066747685189</v>
      </c>
      <c r="D214" s="8">
        <v>46084</v>
      </c>
      <c r="E214" s="9">
        <v>6.674768518860219E-2</v>
      </c>
      <c r="F214" s="10" t="s">
        <v>328</v>
      </c>
      <c r="G214" s="10" t="s">
        <v>21</v>
      </c>
      <c r="H214" s="10" t="s">
        <v>101</v>
      </c>
      <c r="I214" s="10" t="s">
        <v>23</v>
      </c>
      <c r="J214" s="11">
        <v>1.7</v>
      </c>
      <c r="K214" s="12"/>
      <c r="L214" s="12"/>
      <c r="M214" s="12"/>
      <c r="N214" s="12"/>
      <c r="O214" s="12"/>
      <c r="P214" s="12"/>
      <c r="Q214" s="12"/>
      <c r="R214" s="12"/>
      <c r="S214" s="12"/>
    </row>
    <row r="215" spans="1:19" ht="14.25" customHeight="1" x14ac:dyDescent="0.2">
      <c r="A215" s="1" t="s">
        <v>95</v>
      </c>
      <c r="B215" s="7">
        <v>46084.077731481484</v>
      </c>
      <c r="C215" s="7">
        <v>46084.081493055557</v>
      </c>
      <c r="D215" s="8">
        <v>46084</v>
      </c>
      <c r="E215" s="9">
        <v>8.1493055557075422E-2</v>
      </c>
      <c r="F215" s="10" t="s">
        <v>329</v>
      </c>
      <c r="G215" s="10" t="s">
        <v>21</v>
      </c>
      <c r="H215" s="10" t="s">
        <v>268</v>
      </c>
      <c r="I215" s="10" t="s">
        <v>23</v>
      </c>
      <c r="J215" s="11">
        <v>1.35</v>
      </c>
      <c r="K215" s="12"/>
      <c r="L215" s="12"/>
      <c r="M215" s="12"/>
      <c r="N215" s="12"/>
      <c r="O215" s="12"/>
      <c r="P215" s="12"/>
      <c r="Q215" s="12"/>
      <c r="R215" s="12"/>
      <c r="S215" s="12"/>
    </row>
    <row r="216" spans="1:19" ht="14.25" customHeight="1" x14ac:dyDescent="0.2">
      <c r="A216" s="1" t="s">
        <v>19</v>
      </c>
      <c r="B216" s="7">
        <v>46084.090601851851</v>
      </c>
      <c r="C216" s="7">
        <v>46084.10261574074</v>
      </c>
      <c r="D216" s="8">
        <v>46084</v>
      </c>
      <c r="E216" s="9">
        <v>0.10261574073956581</v>
      </c>
      <c r="F216" s="10" t="s">
        <v>330</v>
      </c>
      <c r="G216" s="10" t="s">
        <v>21</v>
      </c>
      <c r="H216" s="10" t="s">
        <v>101</v>
      </c>
      <c r="I216" s="10" t="s">
        <v>23</v>
      </c>
      <c r="J216" s="11">
        <v>1.7</v>
      </c>
      <c r="K216" s="12"/>
      <c r="L216" s="12">
        <f>SUM(J216:J220)</f>
        <v>6.8199999999999994</v>
      </c>
      <c r="M216" s="13">
        <f>L216*65</f>
        <v>443.29999999999995</v>
      </c>
      <c r="N216" s="14">
        <f>MAX(500,M216)</f>
        <v>500</v>
      </c>
      <c r="O216" s="12"/>
      <c r="P216" s="12"/>
      <c r="Q216" s="12"/>
      <c r="R216" s="12"/>
      <c r="S216" s="12"/>
    </row>
    <row r="217" spans="1:19" ht="14.25" customHeight="1" x14ac:dyDescent="0.2">
      <c r="A217" s="1" t="s">
        <v>95</v>
      </c>
      <c r="B217" s="7">
        <v>46084.065509259257</v>
      </c>
      <c r="C217" s="7">
        <v>46084.104004629633</v>
      </c>
      <c r="D217" s="8">
        <v>46084</v>
      </c>
      <c r="E217" s="9">
        <v>0.10400462963298196</v>
      </c>
      <c r="F217" s="10" t="s">
        <v>331</v>
      </c>
      <c r="G217" s="10" t="s">
        <v>21</v>
      </c>
      <c r="H217" s="10" t="s">
        <v>108</v>
      </c>
      <c r="I217" s="10" t="s">
        <v>23</v>
      </c>
      <c r="J217" s="11">
        <v>1.7</v>
      </c>
      <c r="K217" s="12"/>
      <c r="L217" s="12"/>
      <c r="M217" s="12"/>
      <c r="N217" s="12"/>
      <c r="O217" s="12"/>
      <c r="P217" s="12"/>
      <c r="Q217" s="12"/>
      <c r="R217" s="12"/>
      <c r="S217" s="12"/>
    </row>
    <row r="218" spans="1:19" ht="14.25" customHeight="1" x14ac:dyDescent="0.2">
      <c r="A218" s="1" t="s">
        <v>33</v>
      </c>
      <c r="B218" s="7">
        <v>46084.062962962962</v>
      </c>
      <c r="C218" s="7">
        <v>46084.109398148146</v>
      </c>
      <c r="D218" s="8">
        <v>46084</v>
      </c>
      <c r="E218" s="9">
        <v>0.10939814814628335</v>
      </c>
      <c r="F218" s="10" t="s">
        <v>332</v>
      </c>
      <c r="G218" s="10" t="s">
        <v>26</v>
      </c>
      <c r="H218" s="10" t="s">
        <v>27</v>
      </c>
      <c r="I218" s="10" t="s">
        <v>23</v>
      </c>
      <c r="J218" s="11">
        <v>0.68</v>
      </c>
      <c r="K218" s="12"/>
      <c r="L218" s="12"/>
      <c r="M218" s="12"/>
      <c r="N218" s="12"/>
      <c r="O218" s="12"/>
      <c r="P218" s="12"/>
      <c r="Q218" s="12"/>
      <c r="R218" s="12"/>
      <c r="S218" s="12"/>
    </row>
    <row r="219" spans="1:19" ht="14.25" customHeight="1" x14ac:dyDescent="0.2">
      <c r="A219" s="1" t="s">
        <v>95</v>
      </c>
      <c r="B219" s="7">
        <v>46084.091736111113</v>
      </c>
      <c r="C219" s="7">
        <v>46084.110046296293</v>
      </c>
      <c r="D219" s="8">
        <v>46084</v>
      </c>
      <c r="E219" s="9">
        <v>0.11004629629314877</v>
      </c>
      <c r="F219" s="10" t="s">
        <v>333</v>
      </c>
      <c r="G219" s="10" t="s">
        <v>21</v>
      </c>
      <c r="H219" s="10" t="s">
        <v>97</v>
      </c>
      <c r="I219" s="10" t="s">
        <v>23</v>
      </c>
      <c r="J219" s="11">
        <v>1.77</v>
      </c>
      <c r="K219" s="12"/>
      <c r="L219" s="12"/>
      <c r="M219" s="12"/>
      <c r="N219" s="12"/>
      <c r="O219" s="12"/>
      <c r="P219" s="12"/>
      <c r="Q219" s="12"/>
      <c r="R219" s="12"/>
      <c r="S219" s="12"/>
    </row>
    <row r="220" spans="1:19" ht="14.25" customHeight="1" x14ac:dyDescent="0.2">
      <c r="A220" s="1" t="s">
        <v>28</v>
      </c>
      <c r="B220" s="7">
        <v>46084.102627314816</v>
      </c>
      <c r="C220" s="7">
        <v>46084.12027777778</v>
      </c>
      <c r="D220" s="8">
        <v>46084</v>
      </c>
      <c r="E220" s="9">
        <v>0.12027777777984738</v>
      </c>
      <c r="F220" s="10" t="s">
        <v>334</v>
      </c>
      <c r="G220" s="10" t="s">
        <v>26</v>
      </c>
      <c r="H220" s="10" t="s">
        <v>128</v>
      </c>
      <c r="I220" s="10" t="s">
        <v>23</v>
      </c>
      <c r="J220" s="11">
        <v>0.97</v>
      </c>
      <c r="K220" s="12"/>
      <c r="L220" s="12"/>
      <c r="M220" s="12"/>
      <c r="N220" s="12"/>
      <c r="O220" s="12"/>
      <c r="P220" s="12"/>
      <c r="Q220" s="12"/>
      <c r="R220" s="12"/>
      <c r="S220" s="12"/>
    </row>
    <row r="221" spans="1:19" ht="14.25" customHeight="1" x14ac:dyDescent="0.2">
      <c r="A221" s="1" t="s">
        <v>112</v>
      </c>
      <c r="B221" s="7">
        <v>46084.119189814817</v>
      </c>
      <c r="C221" s="7">
        <v>46084.12840277778</v>
      </c>
      <c r="D221" s="8">
        <v>46084</v>
      </c>
      <c r="E221" s="9">
        <v>0.12840277778013842</v>
      </c>
      <c r="F221" s="10" t="s">
        <v>335</v>
      </c>
      <c r="G221" s="10" t="s">
        <v>21</v>
      </c>
      <c r="H221" s="10" t="s">
        <v>114</v>
      </c>
      <c r="I221" s="10" t="s">
        <v>23</v>
      </c>
      <c r="J221" s="11">
        <v>1.7</v>
      </c>
      <c r="K221" s="12"/>
      <c r="L221" s="12">
        <f>SUM(J221:J233)</f>
        <v>16.11</v>
      </c>
      <c r="M221" s="13">
        <f>L221*65</f>
        <v>1047.1499999999999</v>
      </c>
      <c r="N221" s="14">
        <f>MAX(500,M221)</f>
        <v>1047.1499999999999</v>
      </c>
      <c r="O221" s="12"/>
      <c r="P221" s="12"/>
      <c r="Q221" s="12"/>
      <c r="R221" s="12"/>
      <c r="S221" s="12"/>
    </row>
    <row r="222" spans="1:19" ht="14.25" customHeight="1" x14ac:dyDescent="0.2">
      <c r="A222" s="1" t="s">
        <v>112</v>
      </c>
      <c r="B222" s="7">
        <v>46084.109282407408</v>
      </c>
      <c r="C222" s="7">
        <v>46084.133113425924</v>
      </c>
      <c r="D222" s="8">
        <v>46084</v>
      </c>
      <c r="E222" s="9">
        <v>0.13311342592351139</v>
      </c>
      <c r="F222" s="10" t="s">
        <v>336</v>
      </c>
      <c r="G222" s="10" t="s">
        <v>21</v>
      </c>
      <c r="H222" s="10" t="s">
        <v>117</v>
      </c>
      <c r="I222" s="10" t="s">
        <v>23</v>
      </c>
      <c r="J222" s="11">
        <v>0.83</v>
      </c>
      <c r="K222" s="12"/>
      <c r="L222" s="12"/>
      <c r="M222" s="12"/>
      <c r="N222" s="12"/>
      <c r="O222" s="12"/>
      <c r="P222" s="12"/>
      <c r="Q222" s="12"/>
      <c r="R222" s="12"/>
      <c r="S222" s="12"/>
    </row>
    <row r="223" spans="1:19" ht="14.25" customHeight="1" x14ac:dyDescent="0.2">
      <c r="A223" s="1" t="s">
        <v>24</v>
      </c>
      <c r="B223" s="7">
        <v>46084.090185185189</v>
      </c>
      <c r="C223" s="7">
        <v>46084.137465277781</v>
      </c>
      <c r="D223" s="8">
        <v>46084</v>
      </c>
      <c r="E223" s="9">
        <v>0.13746527778130258</v>
      </c>
      <c r="F223" s="10" t="s">
        <v>337</v>
      </c>
      <c r="G223" s="10" t="s">
        <v>21</v>
      </c>
      <c r="H223" s="10" t="s">
        <v>39</v>
      </c>
      <c r="I223" s="10" t="s">
        <v>23</v>
      </c>
      <c r="J223" s="11">
        <v>1.77</v>
      </c>
      <c r="K223" s="12"/>
      <c r="L223" s="12"/>
      <c r="M223" s="12"/>
      <c r="N223" s="12"/>
      <c r="O223" s="12"/>
      <c r="P223" s="12"/>
      <c r="Q223" s="12"/>
      <c r="R223" s="12"/>
      <c r="S223" s="12"/>
    </row>
    <row r="224" spans="1:19" ht="14.25" customHeight="1" x14ac:dyDescent="0.2">
      <c r="A224" s="1" t="s">
        <v>33</v>
      </c>
      <c r="B224" s="7">
        <v>46084.111030092594</v>
      </c>
      <c r="C224" s="7">
        <v>46084.138715277775</v>
      </c>
      <c r="D224" s="8">
        <v>46084</v>
      </c>
      <c r="E224" s="9">
        <v>0.13871527777519077</v>
      </c>
      <c r="F224" s="10" t="s">
        <v>338</v>
      </c>
      <c r="G224" s="10" t="s">
        <v>21</v>
      </c>
      <c r="H224" s="10" t="s">
        <v>35</v>
      </c>
      <c r="I224" s="10" t="s">
        <v>23</v>
      </c>
      <c r="J224" s="11">
        <v>2.5</v>
      </c>
      <c r="K224" s="12"/>
      <c r="L224" s="12"/>
      <c r="M224" s="12"/>
      <c r="N224" s="12"/>
      <c r="O224" s="12"/>
      <c r="P224" s="12"/>
      <c r="Q224" s="12"/>
      <c r="R224" s="12"/>
      <c r="S224" s="12"/>
    </row>
    <row r="225" spans="1:19" ht="14.25" customHeight="1" x14ac:dyDescent="0.2">
      <c r="A225" s="1" t="s">
        <v>33</v>
      </c>
      <c r="B225" s="7">
        <v>46084.111030092594</v>
      </c>
      <c r="C225" s="7">
        <v>46084.139062499999</v>
      </c>
      <c r="D225" s="8">
        <v>46084</v>
      </c>
      <c r="E225" s="9">
        <v>0.13906249999854481</v>
      </c>
      <c r="F225" s="10" t="s">
        <v>339</v>
      </c>
      <c r="G225" s="10" t="s">
        <v>21</v>
      </c>
      <c r="H225" s="10" t="s">
        <v>22</v>
      </c>
      <c r="I225" s="10" t="s">
        <v>23</v>
      </c>
      <c r="J225" s="11">
        <v>0.83</v>
      </c>
      <c r="K225" s="12"/>
      <c r="L225" s="12"/>
      <c r="M225" s="12"/>
      <c r="N225" s="12"/>
      <c r="O225" s="12"/>
      <c r="P225" s="12"/>
      <c r="Q225" s="12"/>
      <c r="R225" s="12"/>
      <c r="S225" s="12"/>
    </row>
    <row r="226" spans="1:19" ht="14.25" customHeight="1" x14ac:dyDescent="0.2">
      <c r="A226" s="1" t="s">
        <v>95</v>
      </c>
      <c r="B226" s="7">
        <v>46084.111018518517</v>
      </c>
      <c r="C226" s="7">
        <v>46084.139699074076</v>
      </c>
      <c r="D226" s="8">
        <v>46084</v>
      </c>
      <c r="E226" s="9">
        <v>0.13969907407590654</v>
      </c>
      <c r="F226" s="10" t="s">
        <v>340</v>
      </c>
      <c r="G226" s="10" t="s">
        <v>21</v>
      </c>
      <c r="H226" s="10" t="s">
        <v>71</v>
      </c>
      <c r="I226" s="10" t="s">
        <v>23</v>
      </c>
      <c r="J226" s="11">
        <v>1.05</v>
      </c>
      <c r="K226" s="12"/>
      <c r="L226" s="12"/>
      <c r="M226" s="12"/>
      <c r="N226" s="12"/>
      <c r="O226" s="12"/>
      <c r="P226" s="12"/>
      <c r="Q226" s="12"/>
      <c r="R226" s="12"/>
      <c r="S226" s="12"/>
    </row>
    <row r="227" spans="1:19" ht="14.25" customHeight="1" x14ac:dyDescent="0.2">
      <c r="A227" s="1" t="s">
        <v>95</v>
      </c>
      <c r="B227" s="7">
        <v>46084.120763888888</v>
      </c>
      <c r="C227" s="7">
        <v>46084.140625</v>
      </c>
      <c r="D227" s="8">
        <v>46084</v>
      </c>
      <c r="E227" s="9">
        <v>0.140625</v>
      </c>
      <c r="F227" s="10" t="s">
        <v>341</v>
      </c>
      <c r="G227" s="10" t="s">
        <v>21</v>
      </c>
      <c r="H227" s="10" t="s">
        <v>108</v>
      </c>
      <c r="I227" s="10" t="s">
        <v>23</v>
      </c>
      <c r="J227" s="11">
        <v>1.7</v>
      </c>
      <c r="K227" s="12"/>
      <c r="L227" s="12"/>
      <c r="M227" s="12"/>
      <c r="N227" s="12"/>
      <c r="O227" s="12"/>
      <c r="P227" s="12"/>
      <c r="Q227" s="12"/>
      <c r="R227" s="12"/>
      <c r="S227" s="12"/>
    </row>
    <row r="228" spans="1:19" ht="14.25" customHeight="1" x14ac:dyDescent="0.2">
      <c r="A228" s="1" t="s">
        <v>95</v>
      </c>
      <c r="B228" s="7">
        <v>46084.131018518521</v>
      </c>
      <c r="C228" s="7">
        <v>46084.140856481485</v>
      </c>
      <c r="D228" s="8">
        <v>46084</v>
      </c>
      <c r="E228" s="9">
        <v>0.14085648148466134</v>
      </c>
      <c r="F228" s="10" t="s">
        <v>342</v>
      </c>
      <c r="G228" s="10" t="s">
        <v>21</v>
      </c>
      <c r="H228" s="10" t="s">
        <v>110</v>
      </c>
      <c r="I228" s="10" t="s">
        <v>23</v>
      </c>
      <c r="J228" s="11">
        <v>0.83</v>
      </c>
      <c r="K228" s="12"/>
      <c r="L228" s="12"/>
      <c r="M228" s="12"/>
      <c r="N228" s="12"/>
      <c r="O228" s="12"/>
      <c r="P228" s="12"/>
      <c r="Q228" s="12"/>
      <c r="R228" s="12"/>
      <c r="S228" s="12"/>
    </row>
    <row r="229" spans="1:19" ht="14.25" customHeight="1" x14ac:dyDescent="0.2">
      <c r="A229" s="1" t="s">
        <v>95</v>
      </c>
      <c r="B229" s="7">
        <v>46084.113622685189</v>
      </c>
      <c r="C229" s="7">
        <v>46084.141493055555</v>
      </c>
      <c r="D229" s="8">
        <v>46084</v>
      </c>
      <c r="E229" s="9">
        <v>0.14149305555474712</v>
      </c>
      <c r="F229" s="10" t="s">
        <v>343</v>
      </c>
      <c r="G229" s="10" t="s">
        <v>26</v>
      </c>
      <c r="H229" s="10" t="s">
        <v>344</v>
      </c>
      <c r="I229" s="10" t="s">
        <v>23</v>
      </c>
      <c r="J229" s="11">
        <v>0.49</v>
      </c>
      <c r="K229" s="12"/>
      <c r="L229" s="12"/>
      <c r="M229" s="12"/>
      <c r="N229" s="12"/>
      <c r="O229" s="12"/>
      <c r="P229" s="12"/>
      <c r="Q229" s="12"/>
      <c r="R229" s="12"/>
      <c r="S229" s="12"/>
    </row>
    <row r="230" spans="1:19" ht="14.25" customHeight="1" x14ac:dyDescent="0.2">
      <c r="A230" s="1" t="s">
        <v>112</v>
      </c>
      <c r="B230" s="7">
        <v>46084.119189814817</v>
      </c>
      <c r="C230" s="7">
        <v>46084.141979166663</v>
      </c>
      <c r="D230" s="8">
        <v>46084</v>
      </c>
      <c r="E230" s="9">
        <v>0.14197916666307719</v>
      </c>
      <c r="F230" s="10" t="s">
        <v>345</v>
      </c>
      <c r="G230" s="10" t="s">
        <v>21</v>
      </c>
      <c r="H230" s="10" t="s">
        <v>123</v>
      </c>
      <c r="I230" s="10" t="s">
        <v>23</v>
      </c>
      <c r="J230" s="11">
        <v>1.05</v>
      </c>
      <c r="K230" s="12"/>
      <c r="L230" s="12"/>
      <c r="M230" s="12"/>
      <c r="N230" s="12"/>
      <c r="O230" s="12"/>
      <c r="P230" s="12"/>
      <c r="Q230" s="12"/>
      <c r="R230" s="12"/>
      <c r="S230" s="12"/>
    </row>
    <row r="231" spans="1:19" ht="14.25" customHeight="1" x14ac:dyDescent="0.2">
      <c r="A231" s="1" t="s">
        <v>33</v>
      </c>
      <c r="B231" s="7">
        <v>46084.137314814812</v>
      </c>
      <c r="C231" s="7">
        <v>46084.149884259263</v>
      </c>
      <c r="D231" s="8">
        <v>46084</v>
      </c>
      <c r="E231" s="9">
        <v>0.1498842592627625</v>
      </c>
      <c r="F231" s="10" t="s">
        <v>346</v>
      </c>
      <c r="G231" s="10" t="s">
        <v>21</v>
      </c>
      <c r="H231" s="10" t="s">
        <v>101</v>
      </c>
      <c r="I231" s="10" t="s">
        <v>23</v>
      </c>
      <c r="J231" s="11">
        <v>1.7</v>
      </c>
      <c r="K231" s="12"/>
      <c r="L231" s="12"/>
      <c r="M231" s="12"/>
      <c r="N231" s="12"/>
      <c r="O231" s="12"/>
      <c r="P231" s="12"/>
      <c r="Q231" s="12"/>
      <c r="R231" s="12"/>
      <c r="S231" s="12"/>
    </row>
    <row r="232" spans="1:19" ht="14.25" customHeight="1" x14ac:dyDescent="0.2">
      <c r="A232" s="1" t="s">
        <v>19</v>
      </c>
      <c r="B232" s="7">
        <v>46084.101412037038</v>
      </c>
      <c r="C232" s="7">
        <v>46084.161099537036</v>
      </c>
      <c r="D232" s="8">
        <v>46084</v>
      </c>
      <c r="E232" s="9">
        <v>0.16109953703562496</v>
      </c>
      <c r="F232" s="10" t="s">
        <v>347</v>
      </c>
      <c r="G232" s="10" t="s">
        <v>21</v>
      </c>
      <c r="H232" s="10" t="s">
        <v>22</v>
      </c>
      <c r="I232" s="10" t="s">
        <v>23</v>
      </c>
      <c r="J232" s="11">
        <v>0.83</v>
      </c>
      <c r="K232" s="12"/>
      <c r="L232" s="12"/>
      <c r="M232" s="12"/>
      <c r="N232" s="12"/>
      <c r="O232" s="12"/>
      <c r="P232" s="12"/>
      <c r="Q232" s="12"/>
      <c r="R232" s="12"/>
      <c r="S232" s="12"/>
    </row>
    <row r="233" spans="1:19" ht="14.25" customHeight="1" x14ac:dyDescent="0.2">
      <c r="A233" s="1" t="s">
        <v>95</v>
      </c>
      <c r="B233" s="7">
        <v>46084.153148148151</v>
      </c>
      <c r="C233" s="7">
        <v>46084.165636574071</v>
      </c>
      <c r="D233" s="8">
        <v>46084</v>
      </c>
      <c r="E233" s="9">
        <v>0.16563657407095889</v>
      </c>
      <c r="F233" s="10" t="s">
        <v>348</v>
      </c>
      <c r="G233" s="10" t="s">
        <v>21</v>
      </c>
      <c r="H233" s="10" t="s">
        <v>110</v>
      </c>
      <c r="I233" s="10" t="s">
        <v>23</v>
      </c>
      <c r="J233" s="11">
        <v>0.83</v>
      </c>
      <c r="K233" s="12"/>
      <c r="L233" s="12"/>
      <c r="M233" s="12"/>
      <c r="N233" s="12"/>
      <c r="O233" s="12"/>
      <c r="P233" s="12"/>
      <c r="Q233" s="12"/>
      <c r="R233" s="12"/>
      <c r="S233" s="12"/>
    </row>
    <row r="234" spans="1:19" ht="14.25" customHeight="1" x14ac:dyDescent="0.2">
      <c r="A234" s="1" t="s">
        <v>95</v>
      </c>
      <c r="B234" s="7">
        <v>46084.1875</v>
      </c>
      <c r="C234" s="7">
        <v>46084.19091435185</v>
      </c>
      <c r="D234" s="8">
        <v>46084</v>
      </c>
      <c r="E234" s="9">
        <v>0.19091435184964212</v>
      </c>
      <c r="F234" s="10" t="s">
        <v>349</v>
      </c>
      <c r="G234" s="10" t="s">
        <v>21</v>
      </c>
      <c r="H234" s="10" t="s">
        <v>108</v>
      </c>
      <c r="I234" s="10" t="s">
        <v>23</v>
      </c>
      <c r="J234" s="11">
        <v>1.7</v>
      </c>
      <c r="K234" s="12"/>
      <c r="L234" s="12">
        <f>SUM(J234:J236)</f>
        <v>5.24</v>
      </c>
      <c r="M234" s="13">
        <f>L234*65</f>
        <v>340.6</v>
      </c>
      <c r="N234" s="14">
        <f>MAX(500,M234)</f>
        <v>500</v>
      </c>
      <c r="O234" s="12"/>
      <c r="P234" s="12"/>
      <c r="Q234" s="12"/>
      <c r="R234" s="12"/>
      <c r="S234" s="12"/>
    </row>
    <row r="235" spans="1:19" ht="14.25" customHeight="1" x14ac:dyDescent="0.2">
      <c r="A235" s="1" t="s">
        <v>28</v>
      </c>
      <c r="B235" s="7">
        <v>46084.187013888892</v>
      </c>
      <c r="C235" s="7">
        <v>46084.198182870372</v>
      </c>
      <c r="D235" s="8">
        <v>46084</v>
      </c>
      <c r="E235" s="9">
        <v>0.19818287037196569</v>
      </c>
      <c r="F235" s="10" t="s">
        <v>350</v>
      </c>
      <c r="G235" s="10" t="s">
        <v>21</v>
      </c>
      <c r="H235" s="10" t="s">
        <v>41</v>
      </c>
      <c r="I235" s="10" t="s">
        <v>23</v>
      </c>
      <c r="J235" s="11">
        <v>1.77</v>
      </c>
      <c r="K235" s="12"/>
      <c r="L235" s="12"/>
      <c r="M235" s="12"/>
      <c r="N235" s="12"/>
      <c r="O235" s="12"/>
      <c r="P235" s="12"/>
      <c r="Q235" s="12"/>
      <c r="R235" s="12"/>
      <c r="S235" s="12"/>
    </row>
    <row r="236" spans="1:19" ht="14.25" customHeight="1" x14ac:dyDescent="0.2">
      <c r="A236" s="1" t="s">
        <v>46</v>
      </c>
      <c r="B236" s="7">
        <v>46084.192557870374</v>
      </c>
      <c r="C236" s="7">
        <v>46084.20511574074</v>
      </c>
      <c r="D236" s="8">
        <v>46084</v>
      </c>
      <c r="E236" s="9">
        <v>0.20511574074043892</v>
      </c>
      <c r="F236" s="10" t="s">
        <v>351</v>
      </c>
      <c r="G236" s="10" t="s">
        <v>21</v>
      </c>
      <c r="H236" s="10" t="s">
        <v>41</v>
      </c>
      <c r="I236" s="10" t="s">
        <v>23</v>
      </c>
      <c r="J236" s="11">
        <v>1.77</v>
      </c>
      <c r="K236" s="12"/>
      <c r="L236" s="12"/>
      <c r="M236" s="12"/>
      <c r="N236" s="12"/>
      <c r="O236" s="12"/>
      <c r="P236" s="12"/>
      <c r="Q236" s="12"/>
      <c r="R236" s="12"/>
      <c r="S236" s="12"/>
    </row>
    <row r="237" spans="1:19" ht="14.25" customHeight="1" x14ac:dyDescent="0.2">
      <c r="A237" s="1" t="s">
        <v>95</v>
      </c>
      <c r="B237" s="7">
        <v>46084.198773148149</v>
      </c>
      <c r="C237" s="7">
        <v>46084.208749999998</v>
      </c>
      <c r="D237" s="8">
        <v>46084</v>
      </c>
      <c r="E237" s="9">
        <v>0.20874999999796273</v>
      </c>
      <c r="F237" s="10" t="s">
        <v>352</v>
      </c>
      <c r="G237" s="10" t="s">
        <v>21</v>
      </c>
      <c r="H237" s="10" t="s">
        <v>108</v>
      </c>
      <c r="I237" s="10" t="s">
        <v>23</v>
      </c>
      <c r="J237" s="11">
        <v>1.7</v>
      </c>
      <c r="K237" s="12"/>
      <c r="L237" s="12">
        <f>SUM(J237:J241)</f>
        <v>5.59</v>
      </c>
      <c r="M237" s="13">
        <f>L237*65</f>
        <v>363.34999999999997</v>
      </c>
      <c r="N237" s="14">
        <f>MAX(500,M237)</f>
        <v>500</v>
      </c>
      <c r="O237" s="12"/>
      <c r="P237" s="12"/>
      <c r="Q237" s="12"/>
      <c r="R237" s="12"/>
      <c r="S237" s="12"/>
    </row>
    <row r="238" spans="1:19" ht="14.25" customHeight="1" x14ac:dyDescent="0.2">
      <c r="A238" s="1" t="s">
        <v>24</v>
      </c>
      <c r="B238" s="7">
        <v>46084.126747685186</v>
      </c>
      <c r="C238" s="7">
        <v>46084.220092592594</v>
      </c>
      <c r="D238" s="8">
        <v>46084</v>
      </c>
      <c r="E238" s="9">
        <v>0.2200925925935735</v>
      </c>
      <c r="F238" s="10" t="s">
        <v>353</v>
      </c>
      <c r="G238" s="10" t="s">
        <v>21</v>
      </c>
      <c r="H238" s="10" t="s">
        <v>101</v>
      </c>
      <c r="I238" s="10" t="s">
        <v>23</v>
      </c>
      <c r="J238" s="11">
        <v>1.7</v>
      </c>
      <c r="K238" s="12"/>
      <c r="L238" s="12"/>
      <c r="M238" s="12"/>
      <c r="N238" s="12"/>
      <c r="O238" s="12"/>
      <c r="P238" s="12"/>
      <c r="Q238" s="12"/>
      <c r="R238" s="12"/>
      <c r="S238" s="12"/>
    </row>
    <row r="239" spans="1:19" ht="14.25" customHeight="1" x14ac:dyDescent="0.2">
      <c r="A239" s="1" t="s">
        <v>24</v>
      </c>
      <c r="B239" s="7">
        <v>46084.199953703705</v>
      </c>
      <c r="C239" s="7">
        <v>46084.233738425923</v>
      </c>
      <c r="D239" s="8">
        <v>46084</v>
      </c>
      <c r="E239" s="9">
        <v>0.23373842592263827</v>
      </c>
      <c r="F239" s="10" t="s">
        <v>354</v>
      </c>
      <c r="G239" s="10" t="s">
        <v>26</v>
      </c>
      <c r="H239" s="10" t="s">
        <v>92</v>
      </c>
      <c r="I239" s="10" t="s">
        <v>23</v>
      </c>
      <c r="J239" s="11">
        <v>0.63</v>
      </c>
      <c r="K239" s="12"/>
      <c r="L239" s="12"/>
      <c r="M239" s="12"/>
      <c r="N239" s="12"/>
      <c r="O239" s="12"/>
      <c r="P239" s="12"/>
      <c r="Q239" s="12"/>
      <c r="R239" s="12"/>
      <c r="S239" s="12"/>
    </row>
    <row r="240" spans="1:19" ht="14.25" customHeight="1" x14ac:dyDescent="0.2">
      <c r="A240" s="1" t="s">
        <v>24</v>
      </c>
      <c r="B240" s="7">
        <v>46084.199953703705</v>
      </c>
      <c r="C240" s="7">
        <v>46084.234293981484</v>
      </c>
      <c r="D240" s="8">
        <v>46084</v>
      </c>
      <c r="E240" s="9">
        <v>0.23429398148437031</v>
      </c>
      <c r="F240" s="10" t="s">
        <v>355</v>
      </c>
      <c r="G240" s="10" t="s">
        <v>26</v>
      </c>
      <c r="H240" s="10" t="s">
        <v>56</v>
      </c>
      <c r="I240" s="10" t="s">
        <v>23</v>
      </c>
      <c r="J240" s="11">
        <v>0.73</v>
      </c>
      <c r="K240" s="12"/>
      <c r="L240" s="12"/>
      <c r="M240" s="12"/>
      <c r="N240" s="12"/>
      <c r="O240" s="12"/>
      <c r="P240" s="12"/>
      <c r="Q240" s="12"/>
      <c r="R240" s="12"/>
      <c r="S240" s="12"/>
    </row>
    <row r="241" spans="1:19" ht="14.25" customHeight="1" x14ac:dyDescent="0.2">
      <c r="A241" s="1" t="s">
        <v>24</v>
      </c>
      <c r="B241" s="7">
        <v>46084.237430555557</v>
      </c>
      <c r="C241" s="7">
        <v>46084.248310185183</v>
      </c>
      <c r="D241" s="8">
        <v>46084</v>
      </c>
      <c r="E241" s="9">
        <v>0.24831018518307246</v>
      </c>
      <c r="F241" s="10" t="s">
        <v>356</v>
      </c>
      <c r="G241" s="10" t="s">
        <v>21</v>
      </c>
      <c r="H241" s="10" t="s">
        <v>54</v>
      </c>
      <c r="I241" s="10" t="s">
        <v>23</v>
      </c>
      <c r="J241" s="11">
        <v>0.83</v>
      </c>
      <c r="K241" s="12"/>
      <c r="L241" s="12"/>
      <c r="M241" s="12"/>
      <c r="N241" s="12"/>
      <c r="O241" s="12"/>
      <c r="P241" s="12"/>
      <c r="Q241" s="12"/>
      <c r="R241" s="12"/>
      <c r="S241" s="12"/>
    </row>
    <row r="242" spans="1:19" ht="14.25" customHeight="1" x14ac:dyDescent="0.2">
      <c r="A242" s="1" t="s">
        <v>28</v>
      </c>
      <c r="B242" s="7">
        <v>46084.86209490741</v>
      </c>
      <c r="C242" s="7">
        <v>46084.879490740743</v>
      </c>
      <c r="D242" s="8">
        <v>46084</v>
      </c>
      <c r="E242" s="9">
        <v>0.87949074074276723</v>
      </c>
      <c r="F242" s="10" t="s">
        <v>357</v>
      </c>
      <c r="G242" s="10" t="s">
        <v>26</v>
      </c>
      <c r="H242" s="10" t="s">
        <v>56</v>
      </c>
      <c r="I242" s="10" t="s">
        <v>23</v>
      </c>
      <c r="J242" s="11">
        <v>0.73</v>
      </c>
      <c r="K242" s="12">
        <f>SUM(J242:J316)</f>
        <v>102.02000000000001</v>
      </c>
      <c r="L242" s="12">
        <f>SUM(J242:J254)</f>
        <v>17.23</v>
      </c>
      <c r="M242" s="13">
        <f>L242*65</f>
        <v>1119.95</v>
      </c>
      <c r="N242" s="14">
        <f>MAX(500,M242)</f>
        <v>1119.95</v>
      </c>
      <c r="O242" s="12"/>
      <c r="P242" s="12"/>
      <c r="Q242" s="12"/>
      <c r="R242" s="12"/>
      <c r="S242" s="12"/>
    </row>
    <row r="243" spans="1:19" ht="14.25" customHeight="1" x14ac:dyDescent="0.2">
      <c r="A243" s="1" t="s">
        <v>28</v>
      </c>
      <c r="B243" s="7">
        <v>46084.867164351854</v>
      </c>
      <c r="C243" s="7">
        <v>46084.879803240743</v>
      </c>
      <c r="D243" s="8">
        <v>46084</v>
      </c>
      <c r="E243" s="9">
        <v>0.87980324074305827</v>
      </c>
      <c r="F243" s="10" t="s">
        <v>358</v>
      </c>
      <c r="G243" s="10" t="s">
        <v>21</v>
      </c>
      <c r="H243" s="10" t="s">
        <v>41</v>
      </c>
      <c r="I243" s="10" t="s">
        <v>23</v>
      </c>
      <c r="J243" s="11">
        <v>1.77</v>
      </c>
      <c r="K243" s="12"/>
      <c r="L243" s="12"/>
      <c r="M243" s="12"/>
      <c r="N243" s="12"/>
      <c r="O243" s="12"/>
      <c r="P243" s="12"/>
      <c r="Q243" s="12"/>
      <c r="R243" s="12"/>
      <c r="S243" s="12"/>
    </row>
    <row r="244" spans="1:19" ht="14.25" customHeight="1" x14ac:dyDescent="0.2">
      <c r="A244" s="1" t="s">
        <v>33</v>
      </c>
      <c r="B244" s="7">
        <v>46084.879432870373</v>
      </c>
      <c r="C244" s="7">
        <v>46084.886921296296</v>
      </c>
      <c r="D244" s="8">
        <v>46084</v>
      </c>
      <c r="E244" s="9">
        <v>0.88692129629635019</v>
      </c>
      <c r="F244" s="10" t="s">
        <v>359</v>
      </c>
      <c r="G244" s="10" t="s">
        <v>21</v>
      </c>
      <c r="H244" s="10" t="s">
        <v>101</v>
      </c>
      <c r="I244" s="10" t="s">
        <v>23</v>
      </c>
      <c r="J244" s="11">
        <v>1.7</v>
      </c>
      <c r="K244" s="12"/>
      <c r="L244" s="12"/>
      <c r="M244" s="12"/>
      <c r="N244" s="12"/>
      <c r="O244" s="12"/>
      <c r="P244" s="12"/>
      <c r="Q244" s="12"/>
      <c r="R244" s="12"/>
      <c r="S244" s="12"/>
    </row>
    <row r="245" spans="1:19" ht="14.25" customHeight="1" x14ac:dyDescent="0.2">
      <c r="A245" s="1" t="s">
        <v>19</v>
      </c>
      <c r="B245" s="7">
        <v>46084.812245370369</v>
      </c>
      <c r="C245" s="7">
        <v>46084.896643518521</v>
      </c>
      <c r="D245" s="8">
        <v>46084</v>
      </c>
      <c r="E245" s="9">
        <v>0.89664351852115942</v>
      </c>
      <c r="F245" s="10" t="s">
        <v>360</v>
      </c>
      <c r="G245" s="10" t="s">
        <v>21</v>
      </c>
      <c r="H245" s="10" t="s">
        <v>35</v>
      </c>
      <c r="I245" s="10" t="s">
        <v>23</v>
      </c>
      <c r="J245" s="11">
        <v>2.5</v>
      </c>
      <c r="K245" s="12"/>
      <c r="L245" s="12"/>
      <c r="M245" s="12"/>
      <c r="N245" s="12"/>
      <c r="O245" s="12"/>
      <c r="P245" s="12"/>
      <c r="Q245" s="12"/>
      <c r="R245" s="12"/>
      <c r="S245" s="12"/>
    </row>
    <row r="246" spans="1:19" ht="14.25" customHeight="1" x14ac:dyDescent="0.2">
      <c r="A246" s="1" t="s">
        <v>19</v>
      </c>
      <c r="B246" s="7">
        <v>46084.835787037038</v>
      </c>
      <c r="C246" s="7">
        <v>46084.897048611114</v>
      </c>
      <c r="D246" s="8">
        <v>46084</v>
      </c>
      <c r="E246" s="9">
        <v>0.89704861111385981</v>
      </c>
      <c r="F246" s="10" t="s">
        <v>361</v>
      </c>
      <c r="G246" s="10" t="s">
        <v>21</v>
      </c>
      <c r="H246" s="10" t="s">
        <v>22</v>
      </c>
      <c r="I246" s="10" t="s">
        <v>23</v>
      </c>
      <c r="J246" s="11">
        <v>0.83</v>
      </c>
      <c r="K246" s="12"/>
      <c r="L246" s="12"/>
      <c r="M246" s="12"/>
      <c r="N246" s="12"/>
      <c r="O246" s="12"/>
      <c r="P246" s="12"/>
      <c r="Q246" s="12"/>
      <c r="R246" s="12"/>
      <c r="S246" s="12"/>
    </row>
    <row r="247" spans="1:19" ht="14.25" customHeight="1" x14ac:dyDescent="0.2">
      <c r="A247" s="1" t="s">
        <v>28</v>
      </c>
      <c r="B247" s="7">
        <v>46084.886655092596</v>
      </c>
      <c r="C247" s="7">
        <v>46084.897256944445</v>
      </c>
      <c r="D247" s="8">
        <v>46084</v>
      </c>
      <c r="E247" s="9">
        <v>0.89725694444496185</v>
      </c>
      <c r="F247" s="10" t="s">
        <v>362</v>
      </c>
      <c r="G247" s="10" t="s">
        <v>21</v>
      </c>
      <c r="H247" s="10" t="s">
        <v>52</v>
      </c>
      <c r="I247" s="10" t="s">
        <v>23</v>
      </c>
      <c r="J247" s="11">
        <v>0.98</v>
      </c>
      <c r="K247" s="12"/>
      <c r="L247" s="12"/>
      <c r="M247" s="12"/>
      <c r="N247" s="12"/>
      <c r="O247" s="12"/>
      <c r="P247" s="12"/>
      <c r="Q247" s="12"/>
      <c r="R247" s="12"/>
      <c r="S247" s="12"/>
    </row>
    <row r="248" spans="1:19" ht="14.25" customHeight="1" x14ac:dyDescent="0.2">
      <c r="A248" s="1" t="s">
        <v>24</v>
      </c>
      <c r="B248" s="7">
        <v>46084.703553240739</v>
      </c>
      <c r="C248" s="7">
        <v>46084.897696759261</v>
      </c>
      <c r="D248" s="8">
        <v>46084</v>
      </c>
      <c r="E248" s="9">
        <v>0.89769675926072523</v>
      </c>
      <c r="F248" s="10" t="s">
        <v>363</v>
      </c>
      <c r="G248" s="10" t="s">
        <v>364</v>
      </c>
      <c r="H248" s="10" t="s">
        <v>365</v>
      </c>
      <c r="I248" s="10" t="s">
        <v>23</v>
      </c>
      <c r="J248" s="11">
        <v>0.72</v>
      </c>
      <c r="K248" s="12"/>
      <c r="L248" s="12"/>
      <c r="M248" s="12"/>
      <c r="N248" s="12"/>
      <c r="O248" s="12"/>
      <c r="P248" s="12"/>
      <c r="Q248" s="12"/>
      <c r="R248" s="12"/>
      <c r="S248" s="12"/>
    </row>
    <row r="249" spans="1:19" ht="14.25" customHeight="1" x14ac:dyDescent="0.2">
      <c r="A249" s="1" t="s">
        <v>19</v>
      </c>
      <c r="B249" s="7">
        <v>46084.891875000001</v>
      </c>
      <c r="C249" s="7">
        <v>46084.908773148149</v>
      </c>
      <c r="D249" s="8">
        <v>46084</v>
      </c>
      <c r="E249" s="9">
        <v>0.90877314814861165</v>
      </c>
      <c r="F249" s="10" t="s">
        <v>366</v>
      </c>
      <c r="G249" s="10" t="s">
        <v>26</v>
      </c>
      <c r="H249" s="10" t="s">
        <v>86</v>
      </c>
      <c r="I249" s="10" t="s">
        <v>23</v>
      </c>
      <c r="J249" s="11">
        <v>0.88</v>
      </c>
      <c r="K249" s="12"/>
      <c r="L249" s="12"/>
      <c r="M249" s="12"/>
      <c r="N249" s="12"/>
      <c r="O249" s="12"/>
      <c r="P249" s="12"/>
      <c r="Q249" s="12"/>
      <c r="R249" s="12"/>
      <c r="S249" s="12"/>
    </row>
    <row r="250" spans="1:19" ht="14.25" customHeight="1" x14ac:dyDescent="0.2">
      <c r="A250" s="1" t="s">
        <v>24</v>
      </c>
      <c r="B250" s="7">
        <v>46084.862037037034</v>
      </c>
      <c r="C250" s="7">
        <v>46084.909189814818</v>
      </c>
      <c r="D250" s="8">
        <v>46084</v>
      </c>
      <c r="E250" s="9">
        <v>0.90918981481809169</v>
      </c>
      <c r="F250" s="10" t="s">
        <v>367</v>
      </c>
      <c r="G250" s="10" t="s">
        <v>21</v>
      </c>
      <c r="H250" s="10" t="s">
        <v>39</v>
      </c>
      <c r="I250" s="10" t="s">
        <v>23</v>
      </c>
      <c r="J250" s="11">
        <v>1.77</v>
      </c>
      <c r="K250" s="12"/>
      <c r="L250" s="12"/>
      <c r="M250" s="12"/>
      <c r="N250" s="12"/>
      <c r="O250" s="12"/>
      <c r="P250" s="12"/>
      <c r="Q250" s="12"/>
      <c r="R250" s="12"/>
      <c r="S250" s="12"/>
    </row>
    <row r="251" spans="1:19" ht="14.25" customHeight="1" x14ac:dyDescent="0.2">
      <c r="A251" s="1" t="s">
        <v>33</v>
      </c>
      <c r="B251" s="7">
        <v>46084.893993055557</v>
      </c>
      <c r="C251" s="7">
        <v>46084.913043981483</v>
      </c>
      <c r="D251" s="8">
        <v>46084</v>
      </c>
      <c r="E251" s="9">
        <v>0.91304398148349719</v>
      </c>
      <c r="F251" s="10" t="s">
        <v>368</v>
      </c>
      <c r="G251" s="10" t="s">
        <v>21</v>
      </c>
      <c r="H251" s="10" t="s">
        <v>101</v>
      </c>
      <c r="I251" s="10" t="s">
        <v>23</v>
      </c>
      <c r="J251" s="11">
        <v>1.7</v>
      </c>
      <c r="K251" s="12"/>
      <c r="L251" s="12"/>
      <c r="M251" s="12"/>
      <c r="N251" s="12"/>
      <c r="O251" s="12"/>
      <c r="P251" s="12"/>
      <c r="Q251" s="12"/>
      <c r="R251" s="12"/>
      <c r="S251" s="12"/>
    </row>
    <row r="252" spans="1:19" ht="14.25" customHeight="1" x14ac:dyDescent="0.2">
      <c r="A252" s="1" t="s">
        <v>33</v>
      </c>
      <c r="B252" s="7">
        <v>46084.903368055559</v>
      </c>
      <c r="C252" s="7">
        <v>46084.913159722222</v>
      </c>
      <c r="D252" s="8">
        <v>46084</v>
      </c>
      <c r="E252" s="9">
        <v>0.91315972222218988</v>
      </c>
      <c r="F252" s="10" t="s">
        <v>369</v>
      </c>
      <c r="G252" s="10" t="s">
        <v>21</v>
      </c>
      <c r="H252" s="10" t="s">
        <v>22</v>
      </c>
      <c r="I252" s="10" t="s">
        <v>23</v>
      </c>
      <c r="J252" s="11">
        <v>0.83</v>
      </c>
      <c r="K252" s="12"/>
      <c r="L252" s="12"/>
      <c r="M252" s="12"/>
      <c r="N252" s="12"/>
      <c r="O252" s="12"/>
      <c r="P252" s="12"/>
      <c r="Q252" s="12"/>
      <c r="R252" s="12"/>
      <c r="S252" s="12"/>
    </row>
    <row r="253" spans="1:19" ht="14.25" customHeight="1" x14ac:dyDescent="0.2">
      <c r="A253" s="1" t="s">
        <v>46</v>
      </c>
      <c r="B253" s="7">
        <v>46084.889641203707</v>
      </c>
      <c r="C253" s="7">
        <v>46084.913645833331</v>
      </c>
      <c r="D253" s="8">
        <v>46084</v>
      </c>
      <c r="E253" s="9">
        <v>0.91364583333051996</v>
      </c>
      <c r="F253" s="10" t="s">
        <v>370</v>
      </c>
      <c r="G253" s="10" t="s">
        <v>21</v>
      </c>
      <c r="H253" s="10" t="s">
        <v>41</v>
      </c>
      <c r="I253" s="10" t="s">
        <v>23</v>
      </c>
      <c r="J253" s="11">
        <v>1.77</v>
      </c>
      <c r="K253" s="12"/>
      <c r="L253" s="12"/>
      <c r="M253" s="12"/>
      <c r="N253" s="12"/>
      <c r="O253" s="12"/>
      <c r="P253" s="12"/>
      <c r="Q253" s="12"/>
      <c r="R253" s="12"/>
      <c r="S253" s="12"/>
    </row>
    <row r="254" spans="1:19" ht="14.25" customHeight="1" x14ac:dyDescent="0.2">
      <c r="A254" s="1" t="s">
        <v>46</v>
      </c>
      <c r="B254" s="7">
        <v>46084.8983912037</v>
      </c>
      <c r="C254" s="7">
        <v>46084.914074074077</v>
      </c>
      <c r="D254" s="8">
        <v>46084</v>
      </c>
      <c r="E254" s="9">
        <v>0.91407407407677965</v>
      </c>
      <c r="F254" s="10" t="s">
        <v>371</v>
      </c>
      <c r="G254" s="10" t="s">
        <v>21</v>
      </c>
      <c r="H254" s="10" t="s">
        <v>71</v>
      </c>
      <c r="I254" s="10" t="s">
        <v>23</v>
      </c>
      <c r="J254" s="11">
        <v>1.05</v>
      </c>
      <c r="K254" s="12"/>
      <c r="L254" s="12"/>
      <c r="M254" s="12"/>
      <c r="N254" s="12"/>
      <c r="O254" s="12"/>
      <c r="P254" s="12"/>
      <c r="Q254" s="12"/>
      <c r="R254" s="12"/>
      <c r="S254" s="12"/>
    </row>
    <row r="255" spans="1:19" ht="14.25" customHeight="1" x14ac:dyDescent="0.2">
      <c r="A255" s="1" t="s">
        <v>24</v>
      </c>
      <c r="B255" s="7">
        <v>46084.892083333332</v>
      </c>
      <c r="C255" s="7">
        <v>46084.92359953704</v>
      </c>
      <c r="D255" s="8">
        <v>46084</v>
      </c>
      <c r="E255" s="9">
        <v>0.92359953703999054</v>
      </c>
      <c r="F255" s="10" t="s">
        <v>372</v>
      </c>
      <c r="G255" s="10" t="s">
        <v>21</v>
      </c>
      <c r="H255" s="10" t="s">
        <v>39</v>
      </c>
      <c r="I255" s="10" t="s">
        <v>23</v>
      </c>
      <c r="J255" s="11">
        <v>1.77</v>
      </c>
      <c r="K255" s="12"/>
      <c r="L255" s="12">
        <f>SUM(J255:J267)</f>
        <v>16.97</v>
      </c>
      <c r="M255" s="13">
        <f>L255*65</f>
        <v>1103.05</v>
      </c>
      <c r="N255" s="14">
        <f>MAX(500,M255)</f>
        <v>1103.05</v>
      </c>
      <c r="O255" s="12"/>
      <c r="P255" s="12"/>
      <c r="Q255" s="12"/>
      <c r="R255" s="12"/>
      <c r="S255" s="12"/>
    </row>
    <row r="256" spans="1:19" ht="14.25" customHeight="1" x14ac:dyDescent="0.2">
      <c r="A256" s="1" t="s">
        <v>24</v>
      </c>
      <c r="B256" s="7">
        <v>46084.899293981478</v>
      </c>
      <c r="C256" s="7">
        <v>46084.923773148148</v>
      </c>
      <c r="D256" s="8">
        <v>46084</v>
      </c>
      <c r="E256" s="9">
        <v>0.92377314814802958</v>
      </c>
      <c r="F256" s="10" t="s">
        <v>373</v>
      </c>
      <c r="G256" s="10" t="s">
        <v>21</v>
      </c>
      <c r="H256" s="10" t="s">
        <v>22</v>
      </c>
      <c r="I256" s="10" t="s">
        <v>23</v>
      </c>
      <c r="J256" s="11">
        <v>0.83</v>
      </c>
      <c r="K256" s="12"/>
      <c r="L256" s="12"/>
      <c r="M256" s="12"/>
      <c r="N256" s="12"/>
      <c r="O256" s="12"/>
      <c r="P256" s="12"/>
      <c r="Q256" s="12"/>
      <c r="R256" s="12"/>
      <c r="S256" s="12"/>
    </row>
    <row r="257" spans="1:19" ht="14.25" customHeight="1" x14ac:dyDescent="0.2">
      <c r="A257" s="1" t="s">
        <v>42</v>
      </c>
      <c r="B257" s="7">
        <v>46084.901909722219</v>
      </c>
      <c r="C257" s="7">
        <v>46084.924178240741</v>
      </c>
      <c r="D257" s="8">
        <v>46084</v>
      </c>
      <c r="E257" s="9">
        <v>0.92417824074072996</v>
      </c>
      <c r="F257" s="10" t="s">
        <v>374</v>
      </c>
      <c r="G257" s="10" t="s">
        <v>26</v>
      </c>
      <c r="H257" s="10" t="s">
        <v>125</v>
      </c>
      <c r="I257" s="10" t="s">
        <v>23</v>
      </c>
      <c r="J257" s="11">
        <v>0.63</v>
      </c>
      <c r="K257" s="12"/>
      <c r="L257" s="12"/>
      <c r="M257" s="12"/>
      <c r="N257" s="12"/>
      <c r="O257" s="12"/>
      <c r="P257" s="12"/>
      <c r="Q257" s="12"/>
      <c r="R257" s="12"/>
      <c r="S257" s="12"/>
    </row>
    <row r="258" spans="1:19" ht="14.25" customHeight="1" x14ac:dyDescent="0.2">
      <c r="A258" s="1" t="s">
        <v>42</v>
      </c>
      <c r="B258" s="7">
        <v>46084.898078703707</v>
      </c>
      <c r="C258" s="7">
        <v>46084.924895833334</v>
      </c>
      <c r="D258" s="8">
        <v>46084</v>
      </c>
      <c r="E258" s="9">
        <v>0.92489583333372138</v>
      </c>
      <c r="F258" s="10" t="s">
        <v>375</v>
      </c>
      <c r="G258" s="10" t="s">
        <v>26</v>
      </c>
      <c r="H258" s="10" t="s">
        <v>125</v>
      </c>
      <c r="I258" s="10" t="s">
        <v>23</v>
      </c>
      <c r="J258" s="11">
        <v>0.63</v>
      </c>
      <c r="K258" s="12"/>
      <c r="L258" s="12"/>
      <c r="M258" s="12"/>
      <c r="N258" s="12"/>
      <c r="O258" s="12"/>
      <c r="P258" s="12"/>
      <c r="Q258" s="12"/>
      <c r="R258" s="12"/>
      <c r="S258" s="12"/>
    </row>
    <row r="259" spans="1:19" ht="14.25" customHeight="1" x14ac:dyDescent="0.2">
      <c r="A259" s="1" t="s">
        <v>24</v>
      </c>
      <c r="B259" s="7">
        <v>46084.913495370369</v>
      </c>
      <c r="C259" s="7">
        <v>46084.929872685185</v>
      </c>
      <c r="D259" s="8">
        <v>46084</v>
      </c>
      <c r="E259" s="9">
        <v>0.92987268518481869</v>
      </c>
      <c r="F259" s="10" t="s">
        <v>376</v>
      </c>
      <c r="G259" s="10" t="s">
        <v>21</v>
      </c>
      <c r="H259" s="10" t="s">
        <v>39</v>
      </c>
      <c r="I259" s="10" t="s">
        <v>23</v>
      </c>
      <c r="J259" s="11">
        <v>1.77</v>
      </c>
      <c r="K259" s="12"/>
      <c r="L259" s="12"/>
      <c r="M259" s="12"/>
      <c r="N259" s="12"/>
      <c r="O259" s="12"/>
      <c r="P259" s="12"/>
      <c r="Q259" s="12"/>
      <c r="R259" s="12"/>
      <c r="S259" s="12"/>
    </row>
    <row r="260" spans="1:19" ht="14.25" customHeight="1" x14ac:dyDescent="0.2">
      <c r="A260" s="1" t="s">
        <v>24</v>
      </c>
      <c r="B260" s="7">
        <v>46084.918530092589</v>
      </c>
      <c r="C260" s="7">
        <v>46084.930763888886</v>
      </c>
      <c r="D260" s="8">
        <v>46084</v>
      </c>
      <c r="E260" s="9">
        <v>0.93076388888584916</v>
      </c>
      <c r="F260" s="10" t="s">
        <v>377</v>
      </c>
      <c r="G260" s="10" t="s">
        <v>21</v>
      </c>
      <c r="H260" s="10" t="s">
        <v>101</v>
      </c>
      <c r="I260" s="10" t="s">
        <v>23</v>
      </c>
      <c r="J260" s="11">
        <v>1.7</v>
      </c>
      <c r="K260" s="12"/>
      <c r="L260" s="12"/>
      <c r="M260" s="12"/>
      <c r="N260" s="12"/>
      <c r="O260" s="12"/>
      <c r="P260" s="12"/>
      <c r="Q260" s="12"/>
      <c r="R260" s="12"/>
      <c r="S260" s="12"/>
    </row>
    <row r="261" spans="1:19" ht="14.25" customHeight="1" x14ac:dyDescent="0.2">
      <c r="A261" s="1" t="s">
        <v>19</v>
      </c>
      <c r="B261" s="7">
        <v>46084.915671296294</v>
      </c>
      <c r="C261" s="7">
        <v>46084.943425925929</v>
      </c>
      <c r="D261" s="8">
        <v>46084</v>
      </c>
      <c r="E261" s="9">
        <v>0.94342592592875008</v>
      </c>
      <c r="F261" s="10" t="s">
        <v>378</v>
      </c>
      <c r="G261" s="10" t="s">
        <v>21</v>
      </c>
      <c r="H261" s="10" t="s">
        <v>101</v>
      </c>
      <c r="I261" s="10" t="s">
        <v>23</v>
      </c>
      <c r="J261" s="11">
        <v>1.7</v>
      </c>
      <c r="K261" s="12"/>
      <c r="L261" s="12"/>
      <c r="M261" s="12"/>
      <c r="N261" s="12"/>
      <c r="O261" s="12"/>
      <c r="P261" s="12"/>
      <c r="Q261" s="12"/>
      <c r="R261" s="12"/>
      <c r="S261" s="12"/>
    </row>
    <row r="262" spans="1:19" ht="14.25" customHeight="1" x14ac:dyDescent="0.2">
      <c r="A262" s="1" t="s">
        <v>24</v>
      </c>
      <c r="B262" s="7">
        <v>46084.924814814818</v>
      </c>
      <c r="C262" s="7">
        <v>46084.950868055559</v>
      </c>
      <c r="D262" s="8">
        <v>46084</v>
      </c>
      <c r="E262" s="9">
        <v>0.95086805555911269</v>
      </c>
      <c r="F262" s="10" t="s">
        <v>379</v>
      </c>
      <c r="G262" s="10" t="s">
        <v>21</v>
      </c>
      <c r="H262" s="10" t="s">
        <v>41</v>
      </c>
      <c r="I262" s="10" t="s">
        <v>23</v>
      </c>
      <c r="J262" s="11">
        <v>1.77</v>
      </c>
      <c r="K262" s="12"/>
      <c r="L262" s="12"/>
      <c r="M262" s="12"/>
      <c r="N262" s="12"/>
      <c r="O262" s="12"/>
      <c r="P262" s="12"/>
      <c r="Q262" s="12"/>
      <c r="R262" s="12"/>
      <c r="S262" s="12"/>
    </row>
    <row r="263" spans="1:19" ht="14.25" customHeight="1" x14ac:dyDescent="0.2">
      <c r="A263" s="1" t="s">
        <v>42</v>
      </c>
      <c r="B263" s="7">
        <v>46084.916203703702</v>
      </c>
      <c r="C263" s="7">
        <v>46084.954351851855</v>
      </c>
      <c r="D263" s="8">
        <v>46084</v>
      </c>
      <c r="E263" s="9">
        <v>0.95435185185488081</v>
      </c>
      <c r="F263" s="10" t="s">
        <v>380</v>
      </c>
      <c r="G263" s="10" t="s">
        <v>26</v>
      </c>
      <c r="H263" s="10" t="s">
        <v>172</v>
      </c>
      <c r="I263" s="10" t="s">
        <v>23</v>
      </c>
      <c r="J263" s="11">
        <v>0.67</v>
      </c>
      <c r="K263" s="12"/>
      <c r="L263" s="12"/>
      <c r="M263" s="12"/>
      <c r="N263" s="12"/>
      <c r="O263" s="12"/>
      <c r="P263" s="12"/>
      <c r="Q263" s="12"/>
      <c r="R263" s="12"/>
      <c r="S263" s="12"/>
    </row>
    <row r="264" spans="1:19" ht="14.25" customHeight="1" x14ac:dyDescent="0.2">
      <c r="A264" s="1" t="s">
        <v>42</v>
      </c>
      <c r="B264" s="7">
        <v>46084.92287037037</v>
      </c>
      <c r="C264" s="7">
        <v>46084.955520833333</v>
      </c>
      <c r="D264" s="8">
        <v>46084</v>
      </c>
      <c r="E264" s="9">
        <v>0.95552083333313931</v>
      </c>
      <c r="F264" s="10" t="s">
        <v>381</v>
      </c>
      <c r="G264" s="10" t="s">
        <v>26</v>
      </c>
      <c r="H264" s="10" t="s">
        <v>172</v>
      </c>
      <c r="I264" s="10" t="s">
        <v>23</v>
      </c>
      <c r="J264" s="11">
        <v>0.67</v>
      </c>
      <c r="K264" s="12"/>
      <c r="L264" s="12"/>
      <c r="M264" s="12"/>
      <c r="N264" s="12"/>
      <c r="O264" s="12"/>
      <c r="P264" s="12"/>
      <c r="Q264" s="12"/>
      <c r="R264" s="12"/>
      <c r="S264" s="12"/>
    </row>
    <row r="265" spans="1:19" ht="14.25" customHeight="1" x14ac:dyDescent="0.2">
      <c r="A265" s="1" t="s">
        <v>24</v>
      </c>
      <c r="B265" s="7">
        <v>46084.929965277777</v>
      </c>
      <c r="C265" s="7">
        <v>46084.956122685187</v>
      </c>
      <c r="D265" s="8">
        <v>46084</v>
      </c>
      <c r="E265" s="9">
        <v>0.95612268518743804</v>
      </c>
      <c r="F265" s="10" t="s">
        <v>382</v>
      </c>
      <c r="G265" s="10" t="s">
        <v>21</v>
      </c>
      <c r="H265" s="10" t="s">
        <v>41</v>
      </c>
      <c r="I265" s="10" t="s">
        <v>23</v>
      </c>
      <c r="J265" s="11">
        <v>1.77</v>
      </c>
      <c r="K265" s="12"/>
      <c r="L265" s="12"/>
      <c r="M265" s="12"/>
      <c r="N265" s="12"/>
      <c r="O265" s="12"/>
      <c r="P265" s="12"/>
      <c r="Q265" s="12"/>
      <c r="R265" s="12"/>
      <c r="S265" s="12"/>
    </row>
    <row r="266" spans="1:19" ht="14.25" customHeight="1" x14ac:dyDescent="0.2">
      <c r="A266" s="1" t="s">
        <v>24</v>
      </c>
      <c r="B266" s="7">
        <v>46084.935543981483</v>
      </c>
      <c r="C266" s="7">
        <v>46084.956689814811</v>
      </c>
      <c r="D266" s="8">
        <v>46084</v>
      </c>
      <c r="E266" s="9">
        <v>0.95668981481139781</v>
      </c>
      <c r="F266" s="10" t="s">
        <v>383</v>
      </c>
      <c r="G266" s="10" t="s">
        <v>21</v>
      </c>
      <c r="H266" s="10" t="s">
        <v>22</v>
      </c>
      <c r="I266" s="10" t="s">
        <v>23</v>
      </c>
      <c r="J266" s="11">
        <v>0.83</v>
      </c>
      <c r="K266" s="12"/>
      <c r="L266" s="12"/>
      <c r="M266" s="12"/>
      <c r="N266" s="12"/>
      <c r="O266" s="12"/>
      <c r="P266" s="12"/>
      <c r="Q266" s="12"/>
      <c r="R266" s="12"/>
      <c r="S266" s="12"/>
    </row>
    <row r="267" spans="1:19" ht="14.25" customHeight="1" x14ac:dyDescent="0.2">
      <c r="A267" s="1" t="s">
        <v>24</v>
      </c>
      <c r="B267" s="7">
        <v>46084.895150462966</v>
      </c>
      <c r="C267" s="7">
        <v>46084.958067129628</v>
      </c>
      <c r="D267" s="8">
        <v>46084</v>
      </c>
      <c r="E267" s="9">
        <v>0.95806712962803431</v>
      </c>
      <c r="F267" s="10" t="s">
        <v>384</v>
      </c>
      <c r="G267" s="10" t="s">
        <v>180</v>
      </c>
      <c r="H267" s="10" t="s">
        <v>385</v>
      </c>
      <c r="I267" s="10" t="s">
        <v>23</v>
      </c>
      <c r="J267" s="11">
        <v>2.23</v>
      </c>
      <c r="K267" s="12"/>
      <c r="L267" s="12"/>
      <c r="M267" s="12"/>
      <c r="N267" s="12"/>
      <c r="O267" s="12"/>
      <c r="P267" s="12"/>
      <c r="Q267" s="12"/>
      <c r="R267" s="12"/>
      <c r="S267" s="12"/>
    </row>
    <row r="268" spans="1:19" ht="14.25" customHeight="1" x14ac:dyDescent="0.2">
      <c r="A268" s="1" t="s">
        <v>24</v>
      </c>
      <c r="B268" s="7">
        <v>46084.895150462966</v>
      </c>
      <c r="C268" s="7">
        <v>46084.958865740744</v>
      </c>
      <c r="D268" s="8">
        <v>46084</v>
      </c>
      <c r="E268" s="9">
        <v>0.95886574074393138</v>
      </c>
      <c r="F268" s="10" t="s">
        <v>386</v>
      </c>
      <c r="G268" s="10" t="s">
        <v>180</v>
      </c>
      <c r="H268" s="10" t="s">
        <v>387</v>
      </c>
      <c r="I268" s="10" t="s">
        <v>23</v>
      </c>
      <c r="J268" s="11">
        <v>2.23</v>
      </c>
      <c r="K268" s="12"/>
      <c r="L268" s="12">
        <f>SUM(J268:J287)</f>
        <v>30.549999999999994</v>
      </c>
      <c r="M268" s="13">
        <f>L268*65</f>
        <v>1985.7499999999995</v>
      </c>
      <c r="N268" s="14">
        <f>MAX(500,M268)</f>
        <v>1985.7499999999995</v>
      </c>
      <c r="O268" s="12"/>
      <c r="P268" s="12"/>
      <c r="Q268" s="12"/>
      <c r="R268" s="12"/>
      <c r="S268" s="12"/>
    </row>
    <row r="269" spans="1:19" ht="14.25" customHeight="1" x14ac:dyDescent="0.2">
      <c r="A269" s="1" t="s">
        <v>24</v>
      </c>
      <c r="B269" s="7">
        <v>46084.895150462966</v>
      </c>
      <c r="C269" s="7">
        <v>46084.960011574076</v>
      </c>
      <c r="D269" s="8">
        <v>46084</v>
      </c>
      <c r="E269" s="9">
        <v>0.96001157407590654</v>
      </c>
      <c r="F269" s="10" t="s">
        <v>388</v>
      </c>
      <c r="G269" s="10" t="s">
        <v>180</v>
      </c>
      <c r="H269" s="10" t="s">
        <v>389</v>
      </c>
      <c r="I269" s="10" t="s">
        <v>23</v>
      </c>
      <c r="J269" s="11">
        <v>2.23</v>
      </c>
      <c r="K269" s="12"/>
      <c r="L269" s="12"/>
      <c r="M269" s="12"/>
      <c r="N269" s="12"/>
      <c r="O269" s="12"/>
      <c r="P269" s="12"/>
      <c r="Q269" s="12"/>
      <c r="R269" s="12"/>
      <c r="S269" s="12"/>
    </row>
    <row r="270" spans="1:19" ht="14.25" customHeight="1" x14ac:dyDescent="0.2">
      <c r="A270" s="1" t="s">
        <v>42</v>
      </c>
      <c r="B270" s="7">
        <v>46084.938101851854</v>
      </c>
      <c r="C270" s="7">
        <v>46084.961689814816</v>
      </c>
      <c r="D270" s="8">
        <v>46084</v>
      </c>
      <c r="E270" s="9">
        <v>0.96168981481605442</v>
      </c>
      <c r="F270" s="10" t="s">
        <v>390</v>
      </c>
      <c r="G270" s="10" t="s">
        <v>26</v>
      </c>
      <c r="H270" s="10" t="s">
        <v>391</v>
      </c>
      <c r="I270" s="10" t="s">
        <v>23</v>
      </c>
      <c r="J270" s="11">
        <v>0.67</v>
      </c>
      <c r="K270" s="12"/>
      <c r="L270" s="12"/>
      <c r="M270" s="12"/>
      <c r="N270" s="12"/>
      <c r="O270" s="12"/>
      <c r="P270" s="12"/>
      <c r="Q270" s="12"/>
      <c r="R270" s="12"/>
      <c r="S270" s="12"/>
    </row>
    <row r="271" spans="1:19" ht="14.25" customHeight="1" x14ac:dyDescent="0.2">
      <c r="A271" s="1" t="s">
        <v>24</v>
      </c>
      <c r="B271" s="7">
        <v>46084.944027777776</v>
      </c>
      <c r="C271" s="7">
        <v>46084.964270833334</v>
      </c>
      <c r="D271" s="8">
        <v>46084</v>
      </c>
      <c r="E271" s="9">
        <v>0.96427083333401242</v>
      </c>
      <c r="F271" s="10" t="s">
        <v>392</v>
      </c>
      <c r="G271" s="10" t="s">
        <v>21</v>
      </c>
      <c r="H271" s="10" t="s">
        <v>22</v>
      </c>
      <c r="I271" s="10" t="s">
        <v>23</v>
      </c>
      <c r="J271" s="11">
        <v>0.83</v>
      </c>
      <c r="K271" s="12"/>
      <c r="L271" s="12"/>
      <c r="M271" s="12"/>
      <c r="N271" s="12"/>
      <c r="O271" s="12"/>
      <c r="P271" s="12"/>
      <c r="Q271" s="12"/>
      <c r="R271" s="12"/>
      <c r="S271" s="12"/>
    </row>
    <row r="272" spans="1:19" ht="14.25" customHeight="1" x14ac:dyDescent="0.2">
      <c r="A272" s="1" t="s">
        <v>24</v>
      </c>
      <c r="B272" s="7">
        <v>46084.952025462961</v>
      </c>
      <c r="C272" s="7">
        <v>46084.964861111112</v>
      </c>
      <c r="D272" s="8">
        <v>46084</v>
      </c>
      <c r="E272" s="9">
        <v>0.9648611111115315</v>
      </c>
      <c r="F272" s="10" t="s">
        <v>393</v>
      </c>
      <c r="G272" s="10" t="s">
        <v>21</v>
      </c>
      <c r="H272" s="10" t="s">
        <v>216</v>
      </c>
      <c r="I272" s="10" t="s">
        <v>23</v>
      </c>
      <c r="J272" s="11">
        <v>0.98</v>
      </c>
      <c r="K272" s="12"/>
      <c r="L272" s="12"/>
      <c r="M272" s="12"/>
      <c r="N272" s="12"/>
      <c r="O272" s="12"/>
      <c r="P272" s="12"/>
      <c r="Q272" s="12"/>
      <c r="R272" s="12"/>
      <c r="S272" s="12"/>
    </row>
    <row r="273" spans="1:19" ht="14.25" customHeight="1" x14ac:dyDescent="0.2">
      <c r="A273" s="1" t="s">
        <v>19</v>
      </c>
      <c r="B273" s="7">
        <v>46084.94332175926</v>
      </c>
      <c r="C273" s="7">
        <v>46084.965104166666</v>
      </c>
      <c r="D273" s="8">
        <v>46084</v>
      </c>
      <c r="E273" s="9">
        <v>0.96510416666569654</v>
      </c>
      <c r="F273" s="10" t="s">
        <v>394</v>
      </c>
      <c r="G273" s="10" t="s">
        <v>21</v>
      </c>
      <c r="H273" s="10" t="s">
        <v>22</v>
      </c>
      <c r="I273" s="10" t="s">
        <v>23</v>
      </c>
      <c r="J273" s="11">
        <v>0.83</v>
      </c>
      <c r="K273" s="12"/>
      <c r="L273" s="12"/>
      <c r="M273" s="12"/>
      <c r="N273" s="12"/>
      <c r="O273" s="12"/>
      <c r="P273" s="12"/>
      <c r="Q273" s="12"/>
      <c r="R273" s="12"/>
      <c r="S273" s="12"/>
    </row>
    <row r="274" spans="1:19" ht="14.25" customHeight="1" x14ac:dyDescent="0.2">
      <c r="A274" s="1" t="s">
        <v>19</v>
      </c>
      <c r="B274" s="7">
        <v>46084.93409722222</v>
      </c>
      <c r="C274" s="7">
        <v>46084.965671296297</v>
      </c>
      <c r="D274" s="8">
        <v>46084</v>
      </c>
      <c r="E274" s="9">
        <v>0.96567129629693227</v>
      </c>
      <c r="F274" s="10" t="s">
        <v>395</v>
      </c>
      <c r="G274" s="10" t="s">
        <v>21</v>
      </c>
      <c r="H274" s="10" t="s">
        <v>41</v>
      </c>
      <c r="I274" s="10" t="s">
        <v>23</v>
      </c>
      <c r="J274" s="11">
        <v>1.77</v>
      </c>
      <c r="K274" s="12"/>
      <c r="L274" s="12"/>
      <c r="M274" s="12"/>
      <c r="N274" s="12"/>
      <c r="O274" s="12"/>
      <c r="P274" s="12"/>
      <c r="Q274" s="12"/>
      <c r="R274" s="12"/>
      <c r="S274" s="12"/>
    </row>
    <row r="275" spans="1:19" ht="14.25" customHeight="1" x14ac:dyDescent="0.2">
      <c r="A275" s="1" t="s">
        <v>42</v>
      </c>
      <c r="B275" s="7">
        <v>46084.948391203703</v>
      </c>
      <c r="C275" s="7">
        <v>46084.967476851853</v>
      </c>
      <c r="D275" s="8">
        <v>46084</v>
      </c>
      <c r="E275" s="9">
        <v>0.9674768518525525</v>
      </c>
      <c r="F275" s="10" t="s">
        <v>396</v>
      </c>
      <c r="G275" s="10" t="s">
        <v>21</v>
      </c>
      <c r="H275" s="10" t="s">
        <v>397</v>
      </c>
      <c r="I275" s="10" t="s">
        <v>23</v>
      </c>
      <c r="J275" s="11">
        <v>1.96</v>
      </c>
      <c r="K275" s="12"/>
      <c r="L275" s="12"/>
      <c r="M275" s="12"/>
      <c r="N275" s="12"/>
      <c r="O275" s="12"/>
      <c r="P275" s="12"/>
      <c r="Q275" s="12"/>
      <c r="R275" s="12"/>
      <c r="S275" s="12"/>
    </row>
    <row r="276" spans="1:19" ht="14.25" customHeight="1" x14ac:dyDescent="0.2">
      <c r="A276" s="1" t="s">
        <v>24</v>
      </c>
      <c r="B276" s="7">
        <v>46084.877905092595</v>
      </c>
      <c r="C276" s="7">
        <v>46084.981006944443</v>
      </c>
      <c r="D276" s="8">
        <v>46084</v>
      </c>
      <c r="E276" s="9">
        <v>0.98100694444292458</v>
      </c>
      <c r="F276" s="10" t="s">
        <v>398</v>
      </c>
      <c r="G276" s="10" t="s">
        <v>21</v>
      </c>
      <c r="H276" s="10" t="s">
        <v>399</v>
      </c>
      <c r="I276" s="10" t="s">
        <v>23</v>
      </c>
      <c r="J276" s="11">
        <v>3.92</v>
      </c>
      <c r="K276" s="12"/>
      <c r="L276" s="12"/>
      <c r="M276" s="12"/>
      <c r="N276" s="12"/>
      <c r="O276" s="12"/>
      <c r="P276" s="12"/>
      <c r="Q276" s="12"/>
      <c r="R276" s="12"/>
      <c r="S276" s="12"/>
    </row>
    <row r="277" spans="1:19" ht="14.25" customHeight="1" x14ac:dyDescent="0.2">
      <c r="A277" s="1" t="s">
        <v>42</v>
      </c>
      <c r="B277" s="7">
        <v>46084.9609375</v>
      </c>
      <c r="C277" s="7">
        <v>46084.982048611113</v>
      </c>
      <c r="D277" s="8">
        <v>46084</v>
      </c>
      <c r="E277" s="9">
        <v>0.98204861111298669</v>
      </c>
      <c r="F277" s="10" t="s">
        <v>400</v>
      </c>
      <c r="G277" s="10" t="s">
        <v>26</v>
      </c>
      <c r="H277" s="10" t="s">
        <v>56</v>
      </c>
      <c r="I277" s="10" t="s">
        <v>23</v>
      </c>
      <c r="J277" s="11">
        <v>0.73</v>
      </c>
      <c r="K277" s="12"/>
      <c r="L277" s="12"/>
      <c r="M277" s="12"/>
      <c r="N277" s="12"/>
      <c r="O277" s="12"/>
      <c r="P277" s="12"/>
      <c r="Q277" s="12"/>
      <c r="R277" s="12"/>
      <c r="S277" s="12"/>
    </row>
    <row r="278" spans="1:19" ht="14.25" customHeight="1" x14ac:dyDescent="0.2">
      <c r="A278" s="1" t="s">
        <v>95</v>
      </c>
      <c r="B278" s="7">
        <v>46084.931539351855</v>
      </c>
      <c r="C278" s="7">
        <v>46084.993842592594</v>
      </c>
      <c r="D278" s="8">
        <v>46084</v>
      </c>
      <c r="E278" s="9">
        <v>0.99384259259386454</v>
      </c>
      <c r="F278" s="10" t="s">
        <v>401</v>
      </c>
      <c r="G278" s="10" t="s">
        <v>21</v>
      </c>
      <c r="H278" s="10" t="s">
        <v>108</v>
      </c>
      <c r="I278" s="10" t="s">
        <v>23</v>
      </c>
      <c r="J278" s="11">
        <v>1.7</v>
      </c>
      <c r="K278" s="12"/>
      <c r="L278" s="12"/>
      <c r="M278" s="12"/>
      <c r="N278" s="12"/>
      <c r="O278" s="12"/>
      <c r="P278" s="12"/>
      <c r="Q278" s="12"/>
      <c r="R278" s="12"/>
      <c r="S278" s="12"/>
    </row>
    <row r="279" spans="1:19" ht="14.25" customHeight="1" x14ac:dyDescent="0.2">
      <c r="A279" s="1" t="s">
        <v>24</v>
      </c>
      <c r="B279" s="7">
        <v>46084.977569444447</v>
      </c>
      <c r="C279" s="7">
        <v>46084.994212962964</v>
      </c>
      <c r="D279" s="8">
        <v>46084</v>
      </c>
      <c r="E279" s="9">
        <v>0.99421296296350192</v>
      </c>
      <c r="F279" s="10" t="s">
        <v>402</v>
      </c>
      <c r="G279" s="10" t="s">
        <v>21</v>
      </c>
      <c r="H279" s="10" t="s">
        <v>52</v>
      </c>
      <c r="I279" s="10" t="s">
        <v>23</v>
      </c>
      <c r="J279" s="11">
        <v>0.98</v>
      </c>
      <c r="K279" s="12"/>
      <c r="L279" s="12"/>
      <c r="M279" s="12"/>
      <c r="N279" s="12"/>
      <c r="O279" s="12"/>
      <c r="P279" s="12"/>
      <c r="Q279" s="12"/>
      <c r="R279" s="12"/>
      <c r="S279" s="12"/>
    </row>
    <row r="280" spans="1:19" ht="14.25" customHeight="1" x14ac:dyDescent="0.2">
      <c r="A280" s="1" t="s">
        <v>24</v>
      </c>
      <c r="B280" s="7">
        <v>46084.971643518518</v>
      </c>
      <c r="C280" s="7">
        <v>46084.994756944441</v>
      </c>
      <c r="D280" s="8">
        <v>46084</v>
      </c>
      <c r="E280" s="9">
        <v>0.99475694444117835</v>
      </c>
      <c r="F280" s="10" t="s">
        <v>403</v>
      </c>
      <c r="G280" s="10" t="s">
        <v>26</v>
      </c>
      <c r="H280" s="10" t="s">
        <v>128</v>
      </c>
      <c r="I280" s="10" t="s">
        <v>23</v>
      </c>
      <c r="J280" s="11">
        <v>0.97</v>
      </c>
      <c r="K280" s="12"/>
      <c r="L280" s="12"/>
      <c r="M280" s="12"/>
      <c r="N280" s="12"/>
      <c r="O280" s="12"/>
      <c r="P280" s="12"/>
      <c r="Q280" s="12"/>
      <c r="R280" s="12"/>
      <c r="S280" s="12"/>
    </row>
    <row r="281" spans="1:19" ht="14.25" customHeight="1" x14ac:dyDescent="0.2">
      <c r="A281" s="1" t="s">
        <v>42</v>
      </c>
      <c r="B281" s="7">
        <v>46084.967233796298</v>
      </c>
      <c r="C281" s="7">
        <v>46084.995173611111</v>
      </c>
      <c r="D281" s="8">
        <v>46084</v>
      </c>
      <c r="E281" s="9">
        <v>0.99517361111065838</v>
      </c>
      <c r="F281" s="10" t="s">
        <v>404</v>
      </c>
      <c r="G281" s="10" t="s">
        <v>26</v>
      </c>
      <c r="H281" s="10" t="s">
        <v>76</v>
      </c>
      <c r="I281" s="10" t="s">
        <v>23</v>
      </c>
      <c r="J281" s="11">
        <v>0.75</v>
      </c>
      <c r="K281" s="12"/>
      <c r="L281" s="12"/>
      <c r="M281" s="12"/>
      <c r="N281" s="12"/>
      <c r="O281" s="12"/>
      <c r="P281" s="12"/>
      <c r="Q281" s="12"/>
      <c r="R281" s="12"/>
      <c r="S281" s="12"/>
    </row>
    <row r="282" spans="1:19" ht="14.25" customHeight="1" x14ac:dyDescent="0.2">
      <c r="A282" s="1" t="s">
        <v>95</v>
      </c>
      <c r="B282" s="7">
        <v>46084.988263888888</v>
      </c>
      <c r="C282" s="7">
        <v>46084.995879629627</v>
      </c>
      <c r="D282" s="8">
        <v>46084</v>
      </c>
      <c r="E282" s="9">
        <v>0.99587962962687016</v>
      </c>
      <c r="F282" s="10" t="s">
        <v>405</v>
      </c>
      <c r="G282" s="10" t="s">
        <v>21</v>
      </c>
      <c r="H282" s="10" t="s">
        <v>108</v>
      </c>
      <c r="I282" s="10" t="s">
        <v>23</v>
      </c>
      <c r="J282" s="11">
        <v>1.7</v>
      </c>
      <c r="K282" s="12"/>
      <c r="L282" s="12"/>
      <c r="M282" s="12"/>
      <c r="N282" s="12"/>
      <c r="O282" s="12"/>
      <c r="P282" s="12"/>
      <c r="Q282" s="12"/>
      <c r="R282" s="12"/>
      <c r="S282" s="12"/>
    </row>
    <row r="283" spans="1:19" ht="14.25" customHeight="1" x14ac:dyDescent="0.2">
      <c r="A283" s="1" t="s">
        <v>33</v>
      </c>
      <c r="B283" s="7">
        <v>46084.971435185187</v>
      </c>
      <c r="C283" s="7">
        <v>46084.996064814812</v>
      </c>
      <c r="D283" s="8">
        <v>46084</v>
      </c>
      <c r="E283" s="9">
        <v>0.99606481481168885</v>
      </c>
      <c r="F283" s="10" t="s">
        <v>406</v>
      </c>
      <c r="G283" s="10" t="s">
        <v>26</v>
      </c>
      <c r="H283" s="10" t="s">
        <v>86</v>
      </c>
      <c r="I283" s="10" t="s">
        <v>23</v>
      </c>
      <c r="J283" s="11">
        <v>0.88</v>
      </c>
      <c r="K283" s="12"/>
      <c r="L283" s="12"/>
      <c r="M283" s="12"/>
      <c r="N283" s="12"/>
      <c r="O283" s="12"/>
      <c r="P283" s="12"/>
      <c r="Q283" s="12"/>
      <c r="R283" s="12"/>
      <c r="S283" s="12"/>
    </row>
    <row r="284" spans="1:19" ht="14.25" customHeight="1" x14ac:dyDescent="0.2">
      <c r="A284" s="1" t="s">
        <v>19</v>
      </c>
      <c r="B284" s="7">
        <v>46084.969733796293</v>
      </c>
      <c r="C284" s="7">
        <v>46084.996481481481</v>
      </c>
      <c r="D284" s="8">
        <v>46084</v>
      </c>
      <c r="E284" s="9">
        <v>0.99648148148116888</v>
      </c>
      <c r="F284" s="10" t="s">
        <v>407</v>
      </c>
      <c r="G284" s="10" t="s">
        <v>21</v>
      </c>
      <c r="H284" s="10" t="s">
        <v>41</v>
      </c>
      <c r="I284" s="10" t="s">
        <v>23</v>
      </c>
      <c r="J284" s="11">
        <v>1.77</v>
      </c>
      <c r="K284" s="12"/>
      <c r="L284" s="12"/>
      <c r="M284" s="12"/>
      <c r="N284" s="12"/>
      <c r="O284" s="12"/>
      <c r="P284" s="12"/>
      <c r="Q284" s="12"/>
      <c r="R284" s="12"/>
      <c r="S284" s="12"/>
    </row>
    <row r="285" spans="1:19" ht="14.25" customHeight="1" x14ac:dyDescent="0.2">
      <c r="A285" s="1" t="s">
        <v>19</v>
      </c>
      <c r="B285" s="7">
        <v>46084.980046296296</v>
      </c>
      <c r="C285" s="7">
        <v>46084.997164351851</v>
      </c>
      <c r="D285" s="8">
        <v>46084</v>
      </c>
      <c r="E285" s="9">
        <v>0.99716435185109731</v>
      </c>
      <c r="F285" s="10" t="s">
        <v>408</v>
      </c>
      <c r="G285" s="10" t="s">
        <v>21</v>
      </c>
      <c r="H285" s="10" t="s">
        <v>409</v>
      </c>
      <c r="I285" s="10" t="s">
        <v>23</v>
      </c>
      <c r="J285" s="11">
        <v>2.9</v>
      </c>
      <c r="K285" s="12"/>
      <c r="L285" s="12"/>
      <c r="M285" s="12"/>
      <c r="N285" s="12"/>
      <c r="O285" s="12"/>
      <c r="P285" s="12"/>
      <c r="Q285" s="12"/>
      <c r="R285" s="12"/>
      <c r="S285" s="12"/>
    </row>
    <row r="286" spans="1:19" ht="14.25" customHeight="1" x14ac:dyDescent="0.2">
      <c r="A286" s="1" t="s">
        <v>95</v>
      </c>
      <c r="B286" s="7">
        <v>46084.984363425923</v>
      </c>
      <c r="C286" s="7">
        <v>46084.998148148145</v>
      </c>
      <c r="D286" s="8">
        <v>46084</v>
      </c>
      <c r="E286" s="9">
        <v>0.99814814814453712</v>
      </c>
      <c r="F286" s="10" t="s">
        <v>410</v>
      </c>
      <c r="G286" s="10" t="s">
        <v>21</v>
      </c>
      <c r="H286" s="10" t="s">
        <v>97</v>
      </c>
      <c r="I286" s="10" t="s">
        <v>23</v>
      </c>
      <c r="J286" s="11">
        <v>1.77</v>
      </c>
      <c r="K286" s="12"/>
      <c r="L286" s="12"/>
      <c r="M286" s="12"/>
      <c r="N286" s="12"/>
      <c r="O286" s="12"/>
      <c r="P286" s="12"/>
      <c r="Q286" s="12"/>
      <c r="R286" s="12"/>
      <c r="S286" s="12"/>
    </row>
    <row r="287" spans="1:19" ht="14.25" customHeight="1" x14ac:dyDescent="0.2">
      <c r="A287" s="1" t="s">
        <v>95</v>
      </c>
      <c r="B287" s="7">
        <v>46084.980740740742</v>
      </c>
      <c r="C287" s="7">
        <v>46084.998576388891</v>
      </c>
      <c r="D287" s="8">
        <v>46084</v>
      </c>
      <c r="E287" s="9">
        <v>0.99857638889079681</v>
      </c>
      <c r="F287" s="10" t="s">
        <v>411</v>
      </c>
      <c r="G287" s="10" t="s">
        <v>21</v>
      </c>
      <c r="H287" s="10" t="s">
        <v>412</v>
      </c>
      <c r="I287" s="10" t="s">
        <v>23</v>
      </c>
      <c r="J287" s="11">
        <v>0.98</v>
      </c>
      <c r="K287" s="12"/>
      <c r="L287" s="12"/>
      <c r="M287" s="12"/>
      <c r="N287" s="12"/>
      <c r="O287" s="12"/>
      <c r="P287" s="12"/>
      <c r="Q287" s="12"/>
      <c r="R287" s="12"/>
      <c r="S287" s="12"/>
    </row>
    <row r="288" spans="1:19" ht="14.25" customHeight="1" x14ac:dyDescent="0.2">
      <c r="A288" s="1" t="s">
        <v>42</v>
      </c>
      <c r="B288" s="7">
        <v>46084.970694444448</v>
      </c>
      <c r="C288" s="7">
        <v>46085.004131944443</v>
      </c>
      <c r="D288" s="8">
        <v>46085</v>
      </c>
      <c r="E288" s="9">
        <v>4.1319444426335394E-3</v>
      </c>
      <c r="F288" s="10" t="s">
        <v>413</v>
      </c>
      <c r="G288" s="10" t="s">
        <v>26</v>
      </c>
      <c r="H288" s="10" t="s">
        <v>172</v>
      </c>
      <c r="I288" s="10" t="s">
        <v>23</v>
      </c>
      <c r="J288" s="11">
        <v>0.67</v>
      </c>
      <c r="K288" s="12"/>
      <c r="L288" s="12">
        <f>SUM(J288:J299)</f>
        <v>16.7</v>
      </c>
      <c r="M288" s="13">
        <f>L288*65</f>
        <v>1085.5</v>
      </c>
      <c r="N288" s="14">
        <f>MAX(500,M288)</f>
        <v>1085.5</v>
      </c>
      <c r="O288" s="12"/>
      <c r="P288" s="12"/>
      <c r="Q288" s="12"/>
      <c r="R288" s="12"/>
      <c r="S288" s="12"/>
    </row>
    <row r="289" spans="1:19" ht="14.25" customHeight="1" x14ac:dyDescent="0.2">
      <c r="A289" s="1" t="s">
        <v>19</v>
      </c>
      <c r="B289" s="7">
        <v>46085.000289351854</v>
      </c>
      <c r="C289" s="7">
        <v>46085.012152777781</v>
      </c>
      <c r="D289" s="8">
        <v>46085</v>
      </c>
      <c r="E289" s="9">
        <v>1.2152777781011537E-2</v>
      </c>
      <c r="F289" s="10" t="s">
        <v>414</v>
      </c>
      <c r="G289" s="10" t="s">
        <v>21</v>
      </c>
      <c r="H289" s="10" t="s">
        <v>41</v>
      </c>
      <c r="I289" s="10" t="s">
        <v>23</v>
      </c>
      <c r="J289" s="11">
        <v>1.77</v>
      </c>
      <c r="K289" s="12"/>
      <c r="L289" s="12"/>
      <c r="M289" s="12"/>
      <c r="N289" s="12"/>
      <c r="O289" s="12"/>
      <c r="P289" s="12"/>
      <c r="Q289" s="12"/>
      <c r="R289" s="12"/>
      <c r="S289" s="12"/>
    </row>
    <row r="290" spans="1:19" ht="14.25" customHeight="1" x14ac:dyDescent="0.2">
      <c r="A290" s="1" t="s">
        <v>28</v>
      </c>
      <c r="B290" s="7">
        <v>46084.986030092594</v>
      </c>
      <c r="C290" s="7">
        <v>46085.013124999998</v>
      </c>
      <c r="D290" s="8">
        <v>46085</v>
      </c>
      <c r="E290" s="9">
        <v>1.3124999997671694E-2</v>
      </c>
      <c r="F290" s="10" t="s">
        <v>415</v>
      </c>
      <c r="G290" s="10" t="s">
        <v>26</v>
      </c>
      <c r="H290" s="10" t="s">
        <v>251</v>
      </c>
      <c r="I290" s="10" t="s">
        <v>23</v>
      </c>
      <c r="J290" s="11">
        <v>0.62</v>
      </c>
      <c r="K290" s="12"/>
      <c r="L290" s="12"/>
      <c r="M290" s="12"/>
      <c r="N290" s="12"/>
      <c r="O290" s="12"/>
      <c r="P290" s="12"/>
      <c r="Q290" s="12"/>
      <c r="R290" s="12"/>
      <c r="S290" s="12"/>
    </row>
    <row r="291" spans="1:19" ht="14.25" customHeight="1" x14ac:dyDescent="0.2">
      <c r="A291" s="1" t="s">
        <v>19</v>
      </c>
      <c r="B291" s="7">
        <v>46084.946550925924</v>
      </c>
      <c r="C291" s="7">
        <v>46085.013564814813</v>
      </c>
      <c r="D291" s="8">
        <v>46085</v>
      </c>
      <c r="E291" s="9">
        <v>1.3564814813435078E-2</v>
      </c>
      <c r="F291" s="10" t="s">
        <v>416</v>
      </c>
      <c r="G291" s="10" t="s">
        <v>26</v>
      </c>
      <c r="H291" s="10" t="s">
        <v>417</v>
      </c>
      <c r="I291" s="10" t="s">
        <v>23</v>
      </c>
      <c r="J291" s="11">
        <v>0.79</v>
      </c>
      <c r="K291" s="12"/>
      <c r="L291" s="12"/>
      <c r="M291" s="12"/>
      <c r="N291" s="12"/>
      <c r="O291" s="12"/>
      <c r="P291" s="12"/>
      <c r="Q291" s="12"/>
      <c r="R291" s="12"/>
      <c r="S291" s="12"/>
    </row>
    <row r="292" spans="1:19" ht="14.25" customHeight="1" x14ac:dyDescent="0.2">
      <c r="A292" s="1" t="s">
        <v>95</v>
      </c>
      <c r="B292" s="7">
        <v>46085.001574074071</v>
      </c>
      <c r="C292" s="7">
        <v>46085.016689814816</v>
      </c>
      <c r="D292" s="8">
        <v>46085</v>
      </c>
      <c r="E292" s="9">
        <v>1.6689814816345461E-2</v>
      </c>
      <c r="F292" s="10" t="s">
        <v>418</v>
      </c>
      <c r="G292" s="10" t="s">
        <v>21</v>
      </c>
      <c r="H292" s="10" t="s">
        <v>108</v>
      </c>
      <c r="I292" s="10" t="s">
        <v>23</v>
      </c>
      <c r="J292" s="11">
        <v>1.7</v>
      </c>
      <c r="K292" s="12"/>
      <c r="L292" s="12"/>
      <c r="M292" s="12"/>
      <c r="N292" s="12"/>
      <c r="O292" s="12"/>
      <c r="P292" s="12"/>
      <c r="Q292" s="12"/>
      <c r="R292" s="12"/>
      <c r="S292" s="12"/>
    </row>
    <row r="293" spans="1:19" ht="14.25" customHeight="1" x14ac:dyDescent="0.2">
      <c r="A293" s="1" t="s">
        <v>19</v>
      </c>
      <c r="B293" s="7">
        <v>46085.004918981482</v>
      </c>
      <c r="C293" s="7">
        <v>46085.020057870373</v>
      </c>
      <c r="D293" s="8">
        <v>46085</v>
      </c>
      <c r="E293" s="9">
        <v>2.0057870373420883E-2</v>
      </c>
      <c r="F293" s="10" t="s">
        <v>419</v>
      </c>
      <c r="G293" s="10" t="s">
        <v>21</v>
      </c>
      <c r="H293" s="10" t="s">
        <v>39</v>
      </c>
      <c r="I293" s="10" t="s">
        <v>23</v>
      </c>
      <c r="J293" s="11">
        <v>1.77</v>
      </c>
      <c r="K293" s="12"/>
      <c r="L293" s="12"/>
      <c r="M293" s="12"/>
      <c r="N293" s="12"/>
      <c r="O293" s="12"/>
      <c r="P293" s="12"/>
      <c r="Q293" s="12"/>
      <c r="R293" s="12"/>
      <c r="S293" s="12"/>
    </row>
    <row r="294" spans="1:19" ht="14.25" customHeight="1" x14ac:dyDescent="0.2">
      <c r="A294" s="1" t="s">
        <v>19</v>
      </c>
      <c r="B294" s="7">
        <v>46085.005243055559</v>
      </c>
      <c r="C294" s="7">
        <v>46085.020416666666</v>
      </c>
      <c r="D294" s="8">
        <v>46085</v>
      </c>
      <c r="E294" s="9">
        <v>2.0416666666278616E-2</v>
      </c>
      <c r="F294" s="10" t="s">
        <v>420</v>
      </c>
      <c r="G294" s="10" t="s">
        <v>21</v>
      </c>
      <c r="H294" s="10" t="s">
        <v>22</v>
      </c>
      <c r="I294" s="10" t="s">
        <v>23</v>
      </c>
      <c r="J294" s="11">
        <v>0.83</v>
      </c>
      <c r="K294" s="12"/>
      <c r="L294" s="12"/>
      <c r="M294" s="12"/>
      <c r="N294" s="12"/>
      <c r="O294" s="12"/>
      <c r="P294" s="12"/>
      <c r="Q294" s="12"/>
      <c r="R294" s="12"/>
      <c r="S294" s="12"/>
    </row>
    <row r="295" spans="1:19" ht="14.25" customHeight="1" x14ac:dyDescent="0.2">
      <c r="A295" s="1" t="s">
        <v>19</v>
      </c>
      <c r="B295" s="7">
        <v>46085.005243055559</v>
      </c>
      <c r="C295" s="7">
        <v>46085.02070601852</v>
      </c>
      <c r="D295" s="8">
        <v>46085</v>
      </c>
      <c r="E295" s="9">
        <v>2.0706018520286307E-2</v>
      </c>
      <c r="F295" s="10" t="s">
        <v>421</v>
      </c>
      <c r="G295" s="10" t="s">
        <v>21</v>
      </c>
      <c r="H295" s="10" t="s">
        <v>52</v>
      </c>
      <c r="I295" s="10" t="s">
        <v>23</v>
      </c>
      <c r="J295" s="11">
        <v>0.98</v>
      </c>
      <c r="K295" s="12"/>
      <c r="L295" s="12"/>
      <c r="M295" s="12"/>
      <c r="N295" s="12"/>
      <c r="O295" s="12"/>
      <c r="P295" s="12"/>
      <c r="Q295" s="12"/>
      <c r="R295" s="12"/>
      <c r="S295" s="12"/>
    </row>
    <row r="296" spans="1:19" ht="14.25" customHeight="1" x14ac:dyDescent="0.2">
      <c r="A296" s="1" t="s">
        <v>95</v>
      </c>
      <c r="B296" s="7">
        <v>46085.010416666664</v>
      </c>
      <c r="C296" s="7">
        <v>46085.021041666667</v>
      </c>
      <c r="D296" s="8">
        <v>46085</v>
      </c>
      <c r="E296" s="9">
        <v>2.1041666666860692E-2</v>
      </c>
      <c r="F296" s="10" t="s">
        <v>422</v>
      </c>
      <c r="G296" s="10" t="s">
        <v>44</v>
      </c>
      <c r="H296" s="10" t="s">
        <v>45</v>
      </c>
      <c r="I296" s="10" t="s">
        <v>23</v>
      </c>
      <c r="J296" s="11">
        <v>0.18</v>
      </c>
      <c r="K296" s="12"/>
      <c r="L296" s="12"/>
      <c r="M296" s="12"/>
      <c r="N296" s="12"/>
      <c r="O296" s="12"/>
      <c r="P296" s="12"/>
      <c r="Q296" s="12"/>
      <c r="R296" s="12"/>
      <c r="S296" s="12"/>
    </row>
    <row r="297" spans="1:19" ht="14.25" customHeight="1" x14ac:dyDescent="0.2">
      <c r="A297" s="1" t="s">
        <v>95</v>
      </c>
      <c r="B297" s="7">
        <v>46085.005706018521</v>
      </c>
      <c r="C297" s="7">
        <v>46085.028287037036</v>
      </c>
      <c r="D297" s="8">
        <v>46085</v>
      </c>
      <c r="E297" s="9">
        <v>2.8287037035624962E-2</v>
      </c>
      <c r="F297" s="10" t="s">
        <v>423</v>
      </c>
      <c r="G297" s="10" t="s">
        <v>21</v>
      </c>
      <c r="H297" s="10" t="s">
        <v>424</v>
      </c>
      <c r="I297" s="10" t="s">
        <v>23</v>
      </c>
      <c r="J297" s="11">
        <v>3.92</v>
      </c>
      <c r="K297" s="12"/>
      <c r="L297" s="12"/>
      <c r="M297" s="12"/>
      <c r="N297" s="12"/>
      <c r="O297" s="12"/>
      <c r="P297" s="12"/>
      <c r="Q297" s="12"/>
      <c r="R297" s="12"/>
      <c r="S297" s="12"/>
    </row>
    <row r="298" spans="1:19" ht="14.25" customHeight="1" x14ac:dyDescent="0.2">
      <c r="A298" s="1" t="s">
        <v>95</v>
      </c>
      <c r="B298" s="7">
        <v>46084.952106481483</v>
      </c>
      <c r="C298" s="7">
        <v>46085.038344907407</v>
      </c>
      <c r="D298" s="8">
        <v>46085</v>
      </c>
      <c r="E298" s="9">
        <v>3.8344907407008577E-2</v>
      </c>
      <c r="F298" s="10" t="s">
        <v>425</v>
      </c>
      <c r="G298" s="10" t="s">
        <v>21</v>
      </c>
      <c r="H298" s="10" t="s">
        <v>97</v>
      </c>
      <c r="I298" s="10" t="s">
        <v>23</v>
      </c>
      <c r="J298" s="11">
        <v>1.77</v>
      </c>
      <c r="K298" s="12"/>
      <c r="L298" s="12"/>
      <c r="M298" s="12"/>
      <c r="N298" s="12"/>
      <c r="O298" s="12"/>
      <c r="P298" s="12"/>
      <c r="Q298" s="12"/>
      <c r="R298" s="12"/>
      <c r="S298" s="12"/>
    </row>
    <row r="299" spans="1:19" ht="14.25" customHeight="1" x14ac:dyDescent="0.2">
      <c r="A299" s="1" t="s">
        <v>46</v>
      </c>
      <c r="B299" s="7">
        <v>46085.021331018521</v>
      </c>
      <c r="C299" s="7">
        <v>46085.040914351855</v>
      </c>
      <c r="D299" s="8">
        <v>46085</v>
      </c>
      <c r="E299" s="9">
        <v>4.0914351855462883E-2</v>
      </c>
      <c r="F299" s="10" t="s">
        <v>426</v>
      </c>
      <c r="G299" s="10" t="s">
        <v>21</v>
      </c>
      <c r="H299" s="10" t="s">
        <v>101</v>
      </c>
      <c r="I299" s="10" t="s">
        <v>23</v>
      </c>
      <c r="J299" s="11">
        <v>1.7</v>
      </c>
      <c r="K299" s="12"/>
      <c r="L299" s="12"/>
      <c r="M299" s="12"/>
      <c r="N299" s="12"/>
      <c r="O299" s="12"/>
      <c r="P299" s="12"/>
      <c r="Q299" s="12"/>
      <c r="R299" s="12"/>
      <c r="S299" s="12"/>
    </row>
    <row r="300" spans="1:19" ht="14.25" customHeight="1" x14ac:dyDescent="0.2">
      <c r="A300" s="1" t="s">
        <v>19</v>
      </c>
      <c r="B300" s="7">
        <v>46085.020092592589</v>
      </c>
      <c r="C300" s="7">
        <v>46085.042245370372</v>
      </c>
      <c r="D300" s="8">
        <v>46085</v>
      </c>
      <c r="E300" s="9">
        <v>4.224537037225673E-2</v>
      </c>
      <c r="F300" s="10" t="s">
        <v>427</v>
      </c>
      <c r="G300" s="10" t="s">
        <v>21</v>
      </c>
      <c r="H300" s="10" t="s">
        <v>41</v>
      </c>
      <c r="I300" s="10" t="s">
        <v>23</v>
      </c>
      <c r="J300" s="11">
        <v>1.77</v>
      </c>
      <c r="K300" s="12"/>
      <c r="L300" s="12">
        <f>SUM(J300:J308)</f>
        <v>8.7199999999999989</v>
      </c>
      <c r="M300" s="13">
        <f>L300*65</f>
        <v>566.79999999999995</v>
      </c>
      <c r="N300" s="14">
        <f>MAX(500,M300)</f>
        <v>566.79999999999995</v>
      </c>
      <c r="O300" s="12"/>
      <c r="P300" s="12"/>
      <c r="Q300" s="12"/>
      <c r="R300" s="12"/>
      <c r="S300" s="12"/>
    </row>
    <row r="301" spans="1:19" ht="14.25" customHeight="1" x14ac:dyDescent="0.2">
      <c r="A301" s="1" t="s">
        <v>19</v>
      </c>
      <c r="B301" s="7">
        <v>46085.038715277777</v>
      </c>
      <c r="C301" s="7">
        <v>46085.050902777781</v>
      </c>
      <c r="D301" s="8">
        <v>46085</v>
      </c>
      <c r="E301" s="9">
        <v>5.0902777780720498E-2</v>
      </c>
      <c r="F301" s="10" t="s">
        <v>428</v>
      </c>
      <c r="G301" s="10" t="s">
        <v>21</v>
      </c>
      <c r="H301" s="10" t="s">
        <v>22</v>
      </c>
      <c r="I301" s="10" t="s">
        <v>23</v>
      </c>
      <c r="J301" s="11">
        <v>0.83</v>
      </c>
      <c r="K301" s="12"/>
      <c r="L301" s="12"/>
      <c r="M301" s="12"/>
      <c r="N301" s="12"/>
      <c r="O301" s="12"/>
      <c r="P301" s="12"/>
      <c r="Q301" s="12"/>
      <c r="R301" s="12"/>
      <c r="S301" s="12"/>
    </row>
    <row r="302" spans="1:19" ht="14.25" customHeight="1" x14ac:dyDescent="0.2">
      <c r="A302" s="1" t="s">
        <v>95</v>
      </c>
      <c r="B302" s="7">
        <v>46085.040960648148</v>
      </c>
      <c r="C302" s="7">
        <v>46085.051111111112</v>
      </c>
      <c r="D302" s="8">
        <v>46085</v>
      </c>
      <c r="E302" s="9">
        <v>5.1111111111822538E-2</v>
      </c>
      <c r="F302" s="10" t="s">
        <v>429</v>
      </c>
      <c r="G302" s="10" t="s">
        <v>21</v>
      </c>
      <c r="H302" s="10" t="s">
        <v>110</v>
      </c>
      <c r="I302" s="10" t="s">
        <v>23</v>
      </c>
      <c r="J302" s="11">
        <v>0.83</v>
      </c>
      <c r="K302" s="12"/>
      <c r="L302" s="12"/>
      <c r="M302" s="12"/>
      <c r="N302" s="12"/>
      <c r="O302" s="12"/>
      <c r="P302" s="12"/>
      <c r="Q302" s="12"/>
      <c r="R302" s="12"/>
      <c r="S302" s="12"/>
    </row>
    <row r="303" spans="1:19" ht="14.25" customHeight="1" x14ac:dyDescent="0.2">
      <c r="A303" s="1" t="s">
        <v>95</v>
      </c>
      <c r="B303" s="7">
        <v>46085.039502314816</v>
      </c>
      <c r="C303" s="7">
        <v>46085.052418981482</v>
      </c>
      <c r="D303" s="8">
        <v>46085</v>
      </c>
      <c r="E303" s="9">
        <v>5.2418981482333038E-2</v>
      </c>
      <c r="F303" s="10" t="s">
        <v>430</v>
      </c>
      <c r="G303" s="10" t="s">
        <v>21</v>
      </c>
      <c r="H303" s="10" t="s">
        <v>52</v>
      </c>
      <c r="I303" s="10" t="s">
        <v>23</v>
      </c>
      <c r="J303" s="11">
        <v>0.98</v>
      </c>
      <c r="K303" s="12"/>
      <c r="L303" s="12"/>
      <c r="M303" s="12"/>
      <c r="N303" s="12"/>
      <c r="O303" s="12"/>
      <c r="P303" s="12"/>
      <c r="Q303" s="12"/>
      <c r="R303" s="12"/>
      <c r="S303" s="12"/>
    </row>
    <row r="304" spans="1:19" ht="14.25" customHeight="1" x14ac:dyDescent="0.2">
      <c r="A304" s="1" t="s">
        <v>95</v>
      </c>
      <c r="B304" s="7">
        <v>46085.031574074077</v>
      </c>
      <c r="C304" s="7">
        <v>46085.055706018517</v>
      </c>
      <c r="D304" s="8">
        <v>46085</v>
      </c>
      <c r="E304" s="9">
        <v>5.5706018516502809E-2</v>
      </c>
      <c r="F304" s="10" t="s">
        <v>431</v>
      </c>
      <c r="G304" s="10" t="s">
        <v>44</v>
      </c>
      <c r="H304" s="10" t="s">
        <v>45</v>
      </c>
      <c r="I304" s="10" t="s">
        <v>23</v>
      </c>
      <c r="J304" s="11">
        <v>0.18</v>
      </c>
      <c r="K304" s="12"/>
      <c r="L304" s="12"/>
      <c r="M304" s="12"/>
      <c r="N304" s="12"/>
      <c r="O304" s="12"/>
      <c r="P304" s="12"/>
      <c r="Q304" s="12"/>
      <c r="R304" s="12"/>
      <c r="S304" s="12"/>
    </row>
    <row r="305" spans="1:19" ht="14.25" customHeight="1" x14ac:dyDescent="0.2">
      <c r="A305" s="1" t="s">
        <v>95</v>
      </c>
      <c r="B305" s="7">
        <v>46085.03633101852</v>
      </c>
      <c r="C305" s="7">
        <v>46085.055972222224</v>
      </c>
      <c r="D305" s="8">
        <v>46085</v>
      </c>
      <c r="E305" s="9">
        <v>5.5972222224227153E-2</v>
      </c>
      <c r="F305" s="10" t="s">
        <v>432</v>
      </c>
      <c r="G305" s="10" t="s">
        <v>44</v>
      </c>
      <c r="H305" s="10" t="s">
        <v>45</v>
      </c>
      <c r="I305" s="10" t="s">
        <v>23</v>
      </c>
      <c r="J305" s="11">
        <v>0.18</v>
      </c>
      <c r="K305" s="12"/>
      <c r="L305" s="12"/>
      <c r="M305" s="12"/>
      <c r="N305" s="12"/>
      <c r="O305" s="12"/>
      <c r="P305" s="12"/>
      <c r="Q305" s="12"/>
      <c r="R305" s="12"/>
      <c r="S305" s="12"/>
    </row>
    <row r="306" spans="1:19" ht="14.25" customHeight="1" x14ac:dyDescent="0.2">
      <c r="A306" s="1" t="s">
        <v>95</v>
      </c>
      <c r="B306" s="7">
        <v>46085.052337962959</v>
      </c>
      <c r="C306" s="7">
        <v>46085.070590277777</v>
      </c>
      <c r="D306" s="8">
        <v>46085</v>
      </c>
      <c r="E306" s="9">
        <v>7.0590277777228039E-2</v>
      </c>
      <c r="F306" s="10" t="s">
        <v>433</v>
      </c>
      <c r="G306" s="10" t="s">
        <v>21</v>
      </c>
      <c r="H306" s="10" t="s">
        <v>71</v>
      </c>
      <c r="I306" s="10" t="s">
        <v>23</v>
      </c>
      <c r="J306" s="11">
        <v>1.05</v>
      </c>
      <c r="K306" s="12"/>
      <c r="L306" s="12"/>
      <c r="M306" s="12"/>
      <c r="N306" s="12"/>
      <c r="O306" s="12"/>
      <c r="P306" s="12"/>
      <c r="Q306" s="12"/>
      <c r="R306" s="12"/>
      <c r="S306" s="12"/>
    </row>
    <row r="307" spans="1:19" ht="14.25" customHeight="1" x14ac:dyDescent="0.2">
      <c r="A307" s="1" t="s">
        <v>95</v>
      </c>
      <c r="B307" s="7">
        <v>46085.055081018516</v>
      </c>
      <c r="C307" s="7">
        <v>46085.07172453704</v>
      </c>
      <c r="D307" s="8">
        <v>46085</v>
      </c>
      <c r="E307" s="9">
        <v>7.1724537039699499E-2</v>
      </c>
      <c r="F307" s="10" t="s">
        <v>434</v>
      </c>
      <c r="G307" s="10" t="s">
        <v>21</v>
      </c>
      <c r="H307" s="10" t="s">
        <v>435</v>
      </c>
      <c r="I307" s="10" t="s">
        <v>23</v>
      </c>
      <c r="J307" s="11">
        <v>1.1299999999999999</v>
      </c>
      <c r="K307" s="12"/>
      <c r="L307" s="12"/>
      <c r="M307" s="12"/>
      <c r="N307" s="12"/>
      <c r="O307" s="12"/>
      <c r="P307" s="12"/>
      <c r="Q307" s="12"/>
      <c r="R307" s="12"/>
      <c r="S307" s="12"/>
    </row>
    <row r="308" spans="1:19" ht="14.25" customHeight="1" x14ac:dyDescent="0.2">
      <c r="A308" s="1" t="s">
        <v>57</v>
      </c>
      <c r="B308" s="7">
        <v>46085.05259259259</v>
      </c>
      <c r="C308" s="7">
        <v>46085.079895833333</v>
      </c>
      <c r="D308" s="8">
        <v>46085</v>
      </c>
      <c r="E308" s="9">
        <v>7.9895833332557231E-2</v>
      </c>
      <c r="F308" s="10" t="s">
        <v>436</v>
      </c>
      <c r="G308" s="10" t="s">
        <v>21</v>
      </c>
      <c r="H308" s="10" t="s">
        <v>303</v>
      </c>
      <c r="I308" s="10" t="s">
        <v>23</v>
      </c>
      <c r="J308" s="11">
        <v>1.77</v>
      </c>
      <c r="K308" s="12"/>
      <c r="L308" s="12"/>
      <c r="M308" s="12"/>
      <c r="N308" s="12"/>
      <c r="O308" s="12"/>
      <c r="P308" s="12"/>
      <c r="Q308" s="12"/>
      <c r="R308" s="12"/>
      <c r="S308" s="12"/>
    </row>
    <row r="309" spans="1:19" ht="14.25" customHeight="1" x14ac:dyDescent="0.2">
      <c r="A309" s="1" t="s">
        <v>95</v>
      </c>
      <c r="B309" s="7">
        <v>46084.925057870372</v>
      </c>
      <c r="C309" s="7">
        <v>46085.087083333332</v>
      </c>
      <c r="D309" s="8">
        <v>46085</v>
      </c>
      <c r="E309" s="9">
        <v>8.7083333331975155E-2</v>
      </c>
      <c r="F309" s="10" t="s">
        <v>437</v>
      </c>
      <c r="G309" s="10" t="s">
        <v>21</v>
      </c>
      <c r="H309" s="10" t="s">
        <v>97</v>
      </c>
      <c r="I309" s="10" t="s">
        <v>23</v>
      </c>
      <c r="J309" s="11">
        <v>1.77</v>
      </c>
      <c r="K309" s="12"/>
      <c r="L309" s="12">
        <f>SUM(J309:J316)</f>
        <v>11.85</v>
      </c>
      <c r="M309" s="13">
        <f>L309*65</f>
        <v>770.25</v>
      </c>
      <c r="N309" s="14">
        <f>MAX(500,M309)</f>
        <v>770.25</v>
      </c>
      <c r="O309" s="12"/>
      <c r="P309" s="12"/>
      <c r="Q309" s="12"/>
      <c r="R309" s="12"/>
      <c r="S309" s="12"/>
    </row>
    <row r="310" spans="1:19" ht="14.25" customHeight="1" x14ac:dyDescent="0.2">
      <c r="A310" s="1" t="s">
        <v>95</v>
      </c>
      <c r="B310" s="7">
        <v>46085.076585648145</v>
      </c>
      <c r="C310" s="7">
        <v>46085.087824074071</v>
      </c>
      <c r="D310" s="8">
        <v>46085</v>
      </c>
      <c r="E310" s="9">
        <v>8.7824074071249925E-2</v>
      </c>
      <c r="F310" s="10" t="s">
        <v>438</v>
      </c>
      <c r="G310" s="10" t="s">
        <v>21</v>
      </c>
      <c r="H310" s="10" t="s">
        <v>268</v>
      </c>
      <c r="I310" s="10" t="s">
        <v>23</v>
      </c>
      <c r="J310" s="11">
        <v>1.35</v>
      </c>
      <c r="K310" s="12"/>
      <c r="L310" s="12"/>
      <c r="M310" s="12"/>
      <c r="N310" s="12"/>
      <c r="O310" s="12"/>
      <c r="P310" s="12"/>
      <c r="Q310" s="12"/>
      <c r="R310" s="12"/>
      <c r="S310" s="12"/>
    </row>
    <row r="311" spans="1:19" ht="14.25" customHeight="1" x14ac:dyDescent="0.2">
      <c r="A311" s="1" t="s">
        <v>24</v>
      </c>
      <c r="B311" s="7">
        <v>46085.058472222219</v>
      </c>
      <c r="C311" s="7">
        <v>46085.091122685182</v>
      </c>
      <c r="D311" s="8">
        <v>46085</v>
      </c>
      <c r="E311" s="9">
        <v>9.1122685182199348E-2</v>
      </c>
      <c r="F311" s="10" t="s">
        <v>439</v>
      </c>
      <c r="G311" s="10" t="s">
        <v>21</v>
      </c>
      <c r="H311" s="10" t="s">
        <v>440</v>
      </c>
      <c r="I311" s="10" t="s">
        <v>23</v>
      </c>
      <c r="J311" s="11">
        <v>2.34</v>
      </c>
      <c r="K311" s="12"/>
      <c r="L311" s="12"/>
      <c r="M311" s="12"/>
      <c r="N311" s="12"/>
      <c r="O311" s="12"/>
      <c r="P311" s="12"/>
      <c r="Q311" s="12"/>
      <c r="R311" s="12"/>
      <c r="S311" s="12"/>
    </row>
    <row r="312" spans="1:19" ht="14.25" customHeight="1" x14ac:dyDescent="0.2">
      <c r="A312" s="1" t="s">
        <v>24</v>
      </c>
      <c r="B312" s="7">
        <v>46085.068680555552</v>
      </c>
      <c r="C312" s="7">
        <v>46085.092766203707</v>
      </c>
      <c r="D312" s="8">
        <v>46085</v>
      </c>
      <c r="E312" s="9">
        <v>9.2766203706560191E-2</v>
      </c>
      <c r="F312" s="10" t="s">
        <v>441</v>
      </c>
      <c r="G312" s="10" t="s">
        <v>21</v>
      </c>
      <c r="H312" s="10" t="s">
        <v>61</v>
      </c>
      <c r="I312" s="10" t="s">
        <v>23</v>
      </c>
      <c r="J312" s="11">
        <v>2.5</v>
      </c>
      <c r="K312" s="12"/>
      <c r="L312" s="12"/>
      <c r="M312" s="12"/>
      <c r="N312" s="12"/>
      <c r="O312" s="12"/>
      <c r="P312" s="12"/>
      <c r="Q312" s="12"/>
      <c r="R312" s="12"/>
      <c r="S312" s="12"/>
    </row>
    <row r="313" spans="1:19" ht="14.25" customHeight="1" x14ac:dyDescent="0.2">
      <c r="A313" s="1" t="s">
        <v>63</v>
      </c>
      <c r="B313" s="7">
        <v>46085.072152777779</v>
      </c>
      <c r="C313" s="7">
        <v>46085.094247685185</v>
      </c>
      <c r="D313" s="8">
        <v>46085</v>
      </c>
      <c r="E313" s="9">
        <v>9.4247685185109731E-2</v>
      </c>
      <c r="F313" s="10" t="s">
        <v>442</v>
      </c>
      <c r="G313" s="10" t="s">
        <v>21</v>
      </c>
      <c r="H313" s="10" t="s">
        <v>65</v>
      </c>
      <c r="I313" s="10" t="s">
        <v>23</v>
      </c>
      <c r="J313" s="11">
        <v>1.1299999999999999</v>
      </c>
      <c r="K313" s="12"/>
      <c r="L313" s="12"/>
      <c r="M313" s="12"/>
      <c r="N313" s="12"/>
      <c r="O313" s="12"/>
      <c r="P313" s="12"/>
      <c r="Q313" s="12"/>
      <c r="R313" s="12"/>
      <c r="S313" s="12"/>
    </row>
    <row r="314" spans="1:19" ht="14.25" customHeight="1" x14ac:dyDescent="0.2">
      <c r="A314" s="1" t="s">
        <v>95</v>
      </c>
      <c r="B314" s="7">
        <v>46085.07545138889</v>
      </c>
      <c r="C314" s="7">
        <v>46085.096805555557</v>
      </c>
      <c r="D314" s="8">
        <v>46085</v>
      </c>
      <c r="E314" s="9">
        <v>9.6805555556784384E-2</v>
      </c>
      <c r="F314" s="10" t="s">
        <v>443</v>
      </c>
      <c r="G314" s="10" t="s">
        <v>21</v>
      </c>
      <c r="H314" s="10" t="s">
        <v>108</v>
      </c>
      <c r="I314" s="10" t="s">
        <v>23</v>
      </c>
      <c r="J314" s="11">
        <v>1.7</v>
      </c>
      <c r="K314" s="12"/>
      <c r="L314" s="12"/>
      <c r="M314" s="12"/>
      <c r="N314" s="12"/>
      <c r="O314" s="12"/>
      <c r="P314" s="12"/>
      <c r="Q314" s="12"/>
      <c r="R314" s="12"/>
      <c r="S314" s="12"/>
    </row>
    <row r="315" spans="1:19" ht="14.25" customHeight="1" x14ac:dyDescent="0.2">
      <c r="A315" s="1" t="s">
        <v>19</v>
      </c>
      <c r="B315" s="7">
        <v>46085.068032407406</v>
      </c>
      <c r="C315" s="7">
        <v>46085.104247685187</v>
      </c>
      <c r="D315" s="8">
        <v>46085</v>
      </c>
      <c r="E315" s="9">
        <v>0.104247685187147</v>
      </c>
      <c r="F315" s="10" t="s">
        <v>444</v>
      </c>
      <c r="G315" s="10" t="s">
        <v>26</v>
      </c>
      <c r="H315" s="10" t="s">
        <v>37</v>
      </c>
      <c r="I315" s="10" t="s">
        <v>23</v>
      </c>
      <c r="J315" s="11">
        <v>0.88</v>
      </c>
      <c r="K315" s="12"/>
      <c r="L315" s="12"/>
      <c r="M315" s="12"/>
      <c r="N315" s="12"/>
      <c r="O315" s="12"/>
      <c r="P315" s="12"/>
      <c r="Q315" s="12"/>
      <c r="R315" s="12"/>
      <c r="S315" s="12"/>
    </row>
    <row r="316" spans="1:19" ht="14.25" customHeight="1" x14ac:dyDescent="0.2">
      <c r="A316" s="1" t="s">
        <v>230</v>
      </c>
      <c r="B316" s="7">
        <v>46085.101006944446</v>
      </c>
      <c r="C316" s="7">
        <v>46085.115914351853</v>
      </c>
      <c r="D316" s="8">
        <v>46085</v>
      </c>
      <c r="E316" s="9">
        <v>0.1159143518525525</v>
      </c>
      <c r="F316" s="10" t="s">
        <v>445</v>
      </c>
      <c r="G316" s="10" t="s">
        <v>44</v>
      </c>
      <c r="H316" s="10" t="s">
        <v>446</v>
      </c>
      <c r="I316" s="10" t="s">
        <v>23</v>
      </c>
      <c r="J316" s="11">
        <v>0.18</v>
      </c>
      <c r="K316" s="12"/>
      <c r="L316" s="12"/>
      <c r="M316" s="12"/>
      <c r="N316" s="12"/>
      <c r="O316" s="12"/>
      <c r="P316" s="12"/>
      <c r="Q316" s="12"/>
      <c r="R316" s="12"/>
      <c r="S316" s="12"/>
    </row>
    <row r="317" spans="1:19" ht="14.25" customHeight="1" x14ac:dyDescent="0.2">
      <c r="A317" s="1" t="s">
        <v>57</v>
      </c>
      <c r="B317" s="19">
        <v>46084.861875000002</v>
      </c>
      <c r="C317" s="19">
        <v>46084.886597222219</v>
      </c>
      <c r="D317" s="20">
        <v>46084</v>
      </c>
      <c r="E317" s="21">
        <v>0.8865972222192795</v>
      </c>
      <c r="F317" s="1" t="s">
        <v>447</v>
      </c>
      <c r="G317" s="1" t="s">
        <v>21</v>
      </c>
      <c r="H317" s="1" t="s">
        <v>448</v>
      </c>
      <c r="I317" s="1" t="s">
        <v>166</v>
      </c>
      <c r="J317" s="12">
        <v>1.25</v>
      </c>
      <c r="K317" s="12">
        <f>SUM(J317:J338)</f>
        <v>31.649999999999991</v>
      </c>
      <c r="L317" s="12">
        <f>SUM(J317:J318)</f>
        <v>4.1500000000000004</v>
      </c>
      <c r="M317" s="13">
        <f>L317*65</f>
        <v>269.75</v>
      </c>
      <c r="N317" s="14">
        <f>MAX(500,M317)</f>
        <v>500</v>
      </c>
      <c r="O317" s="12"/>
      <c r="P317" s="12"/>
      <c r="Q317" s="12"/>
      <c r="R317" s="12"/>
      <c r="S317" s="12"/>
    </row>
    <row r="318" spans="1:19" ht="14.25" customHeight="1" x14ac:dyDescent="0.2">
      <c r="A318" s="1" t="s">
        <v>19</v>
      </c>
      <c r="B318" s="19">
        <v>46084.855000000003</v>
      </c>
      <c r="C318" s="19">
        <v>46084.90283564815</v>
      </c>
      <c r="D318" s="20">
        <v>46084</v>
      </c>
      <c r="E318" s="21">
        <v>0.90283564815035788</v>
      </c>
      <c r="F318" s="1" t="s">
        <v>449</v>
      </c>
      <c r="G318" s="1" t="s">
        <v>21</v>
      </c>
      <c r="H318" s="1" t="s">
        <v>409</v>
      </c>
      <c r="I318" s="1" t="s">
        <v>166</v>
      </c>
      <c r="J318" s="12">
        <v>2.9</v>
      </c>
      <c r="K318" s="12"/>
      <c r="L318" s="12"/>
      <c r="M318" s="12"/>
      <c r="N318" s="12"/>
      <c r="O318" s="12"/>
      <c r="P318" s="12"/>
      <c r="Q318" s="12"/>
      <c r="R318" s="12"/>
      <c r="S318" s="12"/>
    </row>
    <row r="319" spans="1:19" ht="14.25" customHeight="1" x14ac:dyDescent="0.2">
      <c r="A319" s="1" t="s">
        <v>24</v>
      </c>
      <c r="B319" s="19">
        <v>46084.85491898148</v>
      </c>
      <c r="C319" s="19">
        <v>46084.923807870371</v>
      </c>
      <c r="D319" s="20">
        <v>46084</v>
      </c>
      <c r="E319" s="21">
        <v>0.92380787037109258</v>
      </c>
      <c r="F319" s="1" t="s">
        <v>450</v>
      </c>
      <c r="G319" s="1" t="s">
        <v>21</v>
      </c>
      <c r="H319" s="1" t="s">
        <v>41</v>
      </c>
      <c r="I319" s="1" t="s">
        <v>166</v>
      </c>
      <c r="J319" s="12">
        <v>1.77</v>
      </c>
      <c r="K319" s="12"/>
      <c r="L319" s="12">
        <f>SUM(J319:J320)</f>
        <v>2.4</v>
      </c>
      <c r="M319" s="13">
        <f>L319*65</f>
        <v>156</v>
      </c>
      <c r="N319" s="14">
        <f>MAX(500,M319)</f>
        <v>500</v>
      </c>
      <c r="O319" s="12"/>
      <c r="P319" s="12"/>
      <c r="Q319" s="12"/>
      <c r="R319" s="12"/>
      <c r="S319" s="12"/>
    </row>
    <row r="320" spans="1:19" ht="14.25" customHeight="1" x14ac:dyDescent="0.2">
      <c r="A320" s="1" t="s">
        <v>24</v>
      </c>
      <c r="B320" s="19">
        <v>46084.904016203705</v>
      </c>
      <c r="C320" s="19">
        <v>46084.937800925924</v>
      </c>
      <c r="D320" s="20">
        <v>46084</v>
      </c>
      <c r="E320" s="21">
        <v>0.93780092592351139</v>
      </c>
      <c r="F320" s="1" t="s">
        <v>451</v>
      </c>
      <c r="G320" s="1" t="s">
        <v>26</v>
      </c>
      <c r="H320" s="1" t="s">
        <v>92</v>
      </c>
      <c r="I320" s="1" t="s">
        <v>166</v>
      </c>
      <c r="J320" s="12">
        <v>0.63</v>
      </c>
      <c r="K320" s="12"/>
      <c r="L320" s="12"/>
      <c r="M320" s="12"/>
      <c r="N320" s="12"/>
      <c r="O320" s="12"/>
      <c r="P320" s="12"/>
      <c r="Q320" s="12"/>
      <c r="R320" s="12"/>
      <c r="S320" s="12"/>
    </row>
    <row r="321" spans="1:19" ht="14.25" customHeight="1" x14ac:dyDescent="0.2">
      <c r="A321" s="1" t="s">
        <v>24</v>
      </c>
      <c r="B321" s="19">
        <v>46084.939513888887</v>
      </c>
      <c r="C321" s="19">
        <v>46084.961053240739</v>
      </c>
      <c r="D321" s="20">
        <v>46084</v>
      </c>
      <c r="E321" s="21">
        <v>0.96105324073869269</v>
      </c>
      <c r="F321" s="1" t="s">
        <v>452</v>
      </c>
      <c r="G321" s="1" t="s">
        <v>21</v>
      </c>
      <c r="H321" s="1" t="s">
        <v>41</v>
      </c>
      <c r="I321" s="1" t="s">
        <v>166</v>
      </c>
      <c r="J321" s="12">
        <v>1.77</v>
      </c>
      <c r="K321" s="12"/>
      <c r="L321" s="12">
        <f>SUM(J321:J325)</f>
        <v>6.34</v>
      </c>
      <c r="M321" s="13">
        <f>L321*65</f>
        <v>412.09999999999997</v>
      </c>
      <c r="N321" s="14">
        <f>MAX(500,M321)</f>
        <v>500</v>
      </c>
      <c r="O321" s="12"/>
      <c r="P321" s="12"/>
      <c r="Q321" s="12"/>
      <c r="R321" s="12"/>
      <c r="S321" s="12"/>
    </row>
    <row r="322" spans="1:19" ht="14.25" customHeight="1" x14ac:dyDescent="0.2">
      <c r="A322" s="1" t="s">
        <v>19</v>
      </c>
      <c r="B322" s="19">
        <v>46084.931331018517</v>
      </c>
      <c r="C322" s="19">
        <v>46084.971365740741</v>
      </c>
      <c r="D322" s="20">
        <v>46084</v>
      </c>
      <c r="E322" s="21">
        <v>0.971365740741021</v>
      </c>
      <c r="F322" s="1" t="s">
        <v>453</v>
      </c>
      <c r="G322" s="1" t="s">
        <v>21</v>
      </c>
      <c r="H322" s="1" t="s">
        <v>454</v>
      </c>
      <c r="I322" s="1" t="s">
        <v>166</v>
      </c>
      <c r="J322" s="12">
        <v>1.77</v>
      </c>
      <c r="K322" s="12"/>
      <c r="L322" s="12"/>
      <c r="M322" s="12"/>
      <c r="N322" s="12"/>
      <c r="O322" s="12"/>
      <c r="P322" s="12"/>
      <c r="Q322" s="12"/>
      <c r="R322" s="12"/>
      <c r="S322" s="12"/>
    </row>
    <row r="323" spans="1:19" ht="14.25" customHeight="1" x14ac:dyDescent="0.2">
      <c r="A323" s="1" t="s">
        <v>28</v>
      </c>
      <c r="B323" s="19">
        <v>46084.955312500002</v>
      </c>
      <c r="C323" s="19">
        <v>46084.981562499997</v>
      </c>
      <c r="D323" s="20">
        <v>46084</v>
      </c>
      <c r="E323" s="21">
        <v>0.98156249999738066</v>
      </c>
      <c r="F323" s="1" t="s">
        <v>455</v>
      </c>
      <c r="G323" s="1" t="s">
        <v>26</v>
      </c>
      <c r="H323" s="1" t="s">
        <v>251</v>
      </c>
      <c r="I323" s="1" t="s">
        <v>166</v>
      </c>
      <c r="J323" s="12">
        <v>0.62</v>
      </c>
      <c r="K323" s="12"/>
      <c r="L323" s="12"/>
      <c r="M323" s="12"/>
      <c r="N323" s="12"/>
      <c r="O323" s="12"/>
      <c r="P323" s="12"/>
      <c r="Q323" s="12"/>
      <c r="R323" s="12"/>
      <c r="S323" s="12"/>
    </row>
    <row r="324" spans="1:19" ht="14.25" customHeight="1" x14ac:dyDescent="0.2">
      <c r="A324" s="1" t="s">
        <v>28</v>
      </c>
      <c r="B324" s="19">
        <v>46084.974780092591</v>
      </c>
      <c r="C324" s="19">
        <v>46084.989201388889</v>
      </c>
      <c r="D324" s="20">
        <v>46084</v>
      </c>
      <c r="E324" s="21">
        <v>0.98920138888934162</v>
      </c>
      <c r="F324" s="1" t="s">
        <v>456</v>
      </c>
      <c r="G324" s="1" t="s">
        <v>21</v>
      </c>
      <c r="H324" s="1" t="s">
        <v>22</v>
      </c>
      <c r="I324" s="1" t="s">
        <v>166</v>
      </c>
      <c r="J324" s="12">
        <v>0.83</v>
      </c>
      <c r="K324" s="12"/>
      <c r="L324" s="12"/>
      <c r="M324" s="12"/>
      <c r="N324" s="12"/>
      <c r="O324" s="12"/>
      <c r="P324" s="12"/>
      <c r="Q324" s="12"/>
      <c r="R324" s="12"/>
      <c r="S324" s="12"/>
    </row>
    <row r="325" spans="1:19" ht="14.25" customHeight="1" x14ac:dyDescent="0.2">
      <c r="A325" s="1" t="s">
        <v>24</v>
      </c>
      <c r="B325" s="19">
        <v>46084.973113425927</v>
      </c>
      <c r="C325" s="19">
        <v>46084.996840277781</v>
      </c>
      <c r="D325" s="20">
        <v>46084</v>
      </c>
      <c r="E325" s="21">
        <v>0.99684027778130258</v>
      </c>
      <c r="F325" s="1" t="s">
        <v>457</v>
      </c>
      <c r="G325" s="1" t="s">
        <v>21</v>
      </c>
      <c r="H325" s="1" t="s">
        <v>268</v>
      </c>
      <c r="I325" s="1" t="s">
        <v>166</v>
      </c>
      <c r="J325" s="12">
        <v>1.35</v>
      </c>
      <c r="K325" s="12"/>
      <c r="L325" s="12"/>
      <c r="M325" s="12"/>
      <c r="N325" s="12"/>
      <c r="O325" s="12"/>
      <c r="P325" s="12"/>
      <c r="Q325" s="12"/>
      <c r="R325" s="12"/>
      <c r="S325" s="12"/>
    </row>
    <row r="326" spans="1:19" ht="14.25" customHeight="1" x14ac:dyDescent="0.2">
      <c r="A326" s="1" t="s">
        <v>95</v>
      </c>
      <c r="B326" s="19">
        <v>46084.964537037034</v>
      </c>
      <c r="C326" s="19">
        <v>46085.009085648147</v>
      </c>
      <c r="D326" s="20">
        <v>46085</v>
      </c>
      <c r="E326" s="21">
        <v>9.0856481474475004E-3</v>
      </c>
      <c r="F326" s="1" t="s">
        <v>458</v>
      </c>
      <c r="G326" s="1" t="s">
        <v>21</v>
      </c>
      <c r="H326" s="1" t="s">
        <v>236</v>
      </c>
      <c r="I326" s="1" t="s">
        <v>166</v>
      </c>
      <c r="J326" s="12">
        <v>1.96</v>
      </c>
      <c r="K326" s="12"/>
      <c r="L326" s="12">
        <f>SUM(J326:J330)</f>
        <v>6.4700000000000006</v>
      </c>
      <c r="M326" s="13">
        <f>L326*65</f>
        <v>420.55000000000007</v>
      </c>
      <c r="N326" s="14">
        <f>MAX(500,M326)</f>
        <v>500</v>
      </c>
      <c r="O326" s="12"/>
      <c r="P326" s="12"/>
      <c r="Q326" s="12"/>
      <c r="R326" s="12"/>
      <c r="S326" s="12"/>
    </row>
    <row r="327" spans="1:19" ht="14.25" customHeight="1" x14ac:dyDescent="0.2">
      <c r="A327" s="1" t="s">
        <v>33</v>
      </c>
      <c r="B327" s="19">
        <v>46084.994722222225</v>
      </c>
      <c r="C327" s="19">
        <v>46085.011608796296</v>
      </c>
      <c r="D327" s="20">
        <v>46085</v>
      </c>
      <c r="E327" s="21">
        <v>1.1608796296059154E-2</v>
      </c>
      <c r="F327" s="1" t="s">
        <v>459</v>
      </c>
      <c r="G327" s="1" t="s">
        <v>21</v>
      </c>
      <c r="H327" s="1" t="s">
        <v>460</v>
      </c>
      <c r="I327" s="1" t="s">
        <v>166</v>
      </c>
      <c r="J327" s="12">
        <v>1.1299999999999999</v>
      </c>
      <c r="K327" s="12"/>
      <c r="L327" s="12"/>
      <c r="M327" s="12"/>
      <c r="N327" s="12"/>
      <c r="O327" s="12"/>
      <c r="P327" s="12"/>
      <c r="Q327" s="12"/>
      <c r="R327" s="12"/>
      <c r="S327" s="12"/>
    </row>
    <row r="328" spans="1:19" ht="14.25" customHeight="1" x14ac:dyDescent="0.2">
      <c r="A328" s="1" t="s">
        <v>19</v>
      </c>
      <c r="B328" s="19">
        <v>46084.968101851853</v>
      </c>
      <c r="C328" s="19">
        <v>46085.013321759259</v>
      </c>
      <c r="D328" s="20">
        <v>46085</v>
      </c>
      <c r="E328" s="21">
        <v>1.3321759259270038E-2</v>
      </c>
      <c r="F328" s="1" t="s">
        <v>461</v>
      </c>
      <c r="G328" s="1" t="s">
        <v>26</v>
      </c>
      <c r="H328" s="1" t="s">
        <v>92</v>
      </c>
      <c r="I328" s="1" t="s">
        <v>166</v>
      </c>
      <c r="J328" s="12">
        <v>0.63</v>
      </c>
      <c r="K328" s="12"/>
      <c r="L328" s="12"/>
      <c r="M328" s="12"/>
      <c r="N328" s="12"/>
      <c r="O328" s="12"/>
      <c r="P328" s="12"/>
      <c r="Q328" s="12"/>
      <c r="R328" s="12"/>
      <c r="S328" s="12"/>
    </row>
    <row r="329" spans="1:19" ht="14.25" customHeight="1" x14ac:dyDescent="0.2">
      <c r="A329" s="1" t="s">
        <v>95</v>
      </c>
      <c r="B329" s="19">
        <v>46084.995856481481</v>
      </c>
      <c r="C329" s="19">
        <v>46085.026736111111</v>
      </c>
      <c r="D329" s="20">
        <v>46085</v>
      </c>
      <c r="E329" s="21">
        <v>2.6736111110949423E-2</v>
      </c>
      <c r="F329" s="1" t="s">
        <v>462</v>
      </c>
      <c r="G329" s="1" t="s">
        <v>21</v>
      </c>
      <c r="H329" s="1" t="s">
        <v>154</v>
      </c>
      <c r="I329" s="1" t="s">
        <v>166</v>
      </c>
      <c r="J329" s="12">
        <v>1.77</v>
      </c>
      <c r="K329" s="12"/>
      <c r="L329" s="12"/>
      <c r="M329" s="12"/>
      <c r="N329" s="12"/>
      <c r="O329" s="12"/>
      <c r="P329" s="12"/>
      <c r="Q329" s="12"/>
      <c r="R329" s="12"/>
      <c r="S329" s="12"/>
    </row>
    <row r="330" spans="1:19" ht="14.25" customHeight="1" x14ac:dyDescent="0.2">
      <c r="A330" s="1" t="s">
        <v>28</v>
      </c>
      <c r="B330" s="19">
        <v>46085.012025462966</v>
      </c>
      <c r="C330" s="19">
        <v>46085.029363425929</v>
      </c>
      <c r="D330" s="20">
        <v>46085</v>
      </c>
      <c r="E330" s="21">
        <v>2.9363425928750075E-2</v>
      </c>
      <c r="F330" s="1" t="s">
        <v>463</v>
      </c>
      <c r="G330" s="1" t="s">
        <v>21</v>
      </c>
      <c r="H330" s="1" t="s">
        <v>464</v>
      </c>
      <c r="I330" s="1" t="s">
        <v>166</v>
      </c>
      <c r="J330" s="12">
        <v>0.98</v>
      </c>
      <c r="K330" s="12"/>
      <c r="L330" s="12"/>
      <c r="M330" s="12"/>
      <c r="N330" s="12"/>
      <c r="O330" s="12"/>
      <c r="P330" s="12"/>
      <c r="Q330" s="12"/>
      <c r="R330" s="12"/>
      <c r="S330" s="12"/>
    </row>
    <row r="331" spans="1:19" ht="14.25" customHeight="1" x14ac:dyDescent="0.2">
      <c r="A331" s="1" t="s">
        <v>95</v>
      </c>
      <c r="B331" s="19">
        <v>46085.015879629631</v>
      </c>
      <c r="C331" s="19">
        <v>46085.041712962964</v>
      </c>
      <c r="D331" s="20">
        <v>46085</v>
      </c>
      <c r="E331" s="21">
        <v>4.1712962964083999E-2</v>
      </c>
      <c r="F331" s="1" t="s">
        <v>465</v>
      </c>
      <c r="G331" s="1" t="s">
        <v>26</v>
      </c>
      <c r="H331" s="1" t="s">
        <v>128</v>
      </c>
      <c r="I331" s="1" t="s">
        <v>166</v>
      </c>
      <c r="J331" s="12">
        <v>0.97</v>
      </c>
      <c r="K331" s="12"/>
      <c r="L331" s="12">
        <f>SUM(J331:J334)</f>
        <v>6.2199999999999989</v>
      </c>
      <c r="M331" s="13">
        <f>L331*65</f>
        <v>404.29999999999995</v>
      </c>
      <c r="N331" s="14">
        <f>MAX(500,M331)</f>
        <v>500</v>
      </c>
      <c r="O331" s="12"/>
      <c r="P331" s="12"/>
      <c r="Q331" s="12"/>
      <c r="R331" s="12"/>
      <c r="S331" s="12"/>
    </row>
    <row r="332" spans="1:19" ht="14.25" customHeight="1" x14ac:dyDescent="0.2">
      <c r="A332" s="1" t="s">
        <v>33</v>
      </c>
      <c r="B332" s="19">
        <v>46085.024548611109</v>
      </c>
      <c r="C332" s="19">
        <v>46085.047511574077</v>
      </c>
      <c r="D332" s="20">
        <v>46085</v>
      </c>
      <c r="E332" s="21">
        <v>4.7511574077361729E-2</v>
      </c>
      <c r="F332" s="1" t="s">
        <v>466</v>
      </c>
      <c r="G332" s="1" t="s">
        <v>21</v>
      </c>
      <c r="H332" s="1" t="s">
        <v>467</v>
      </c>
      <c r="I332" s="1" t="s">
        <v>166</v>
      </c>
      <c r="J332" s="12">
        <v>2.75</v>
      </c>
      <c r="K332" s="12"/>
      <c r="L332" s="12"/>
      <c r="M332" s="12"/>
      <c r="N332" s="12"/>
      <c r="O332" s="12"/>
      <c r="P332" s="12"/>
      <c r="Q332" s="12"/>
      <c r="R332" s="12"/>
      <c r="S332" s="12"/>
    </row>
    <row r="333" spans="1:19" ht="14.25" customHeight="1" x14ac:dyDescent="0.2">
      <c r="A333" s="1" t="s">
        <v>95</v>
      </c>
      <c r="B333" s="19">
        <v>46085.049340277779</v>
      </c>
      <c r="C333" s="19">
        <v>46085.071296296293</v>
      </c>
      <c r="D333" s="20">
        <v>46085</v>
      </c>
      <c r="E333" s="21">
        <v>7.1296296293439809E-2</v>
      </c>
      <c r="F333" s="1" t="s">
        <v>468</v>
      </c>
      <c r="G333" s="1" t="s">
        <v>26</v>
      </c>
      <c r="H333" s="1" t="s">
        <v>56</v>
      </c>
      <c r="I333" s="1" t="s">
        <v>166</v>
      </c>
      <c r="J333" s="12">
        <v>0.73</v>
      </c>
      <c r="K333" s="12"/>
      <c r="L333" s="12"/>
      <c r="M333" s="12"/>
      <c r="N333" s="12"/>
      <c r="O333" s="12"/>
      <c r="P333" s="12"/>
      <c r="Q333" s="12"/>
      <c r="R333" s="12"/>
      <c r="S333" s="12"/>
    </row>
    <row r="334" spans="1:19" ht="14.25" customHeight="1" x14ac:dyDescent="0.2">
      <c r="A334" s="1" t="s">
        <v>28</v>
      </c>
      <c r="B334" s="19">
        <v>46085.06181712963</v>
      </c>
      <c r="C334" s="19">
        <v>46085.079629629632</v>
      </c>
      <c r="D334" s="20">
        <v>46085</v>
      </c>
      <c r="E334" s="21">
        <v>7.9629629632108845E-2</v>
      </c>
      <c r="F334" s="1" t="s">
        <v>469</v>
      </c>
      <c r="G334" s="1" t="s">
        <v>21</v>
      </c>
      <c r="H334" s="1" t="s">
        <v>41</v>
      </c>
      <c r="I334" s="1" t="s">
        <v>166</v>
      </c>
      <c r="J334" s="12">
        <v>1.77</v>
      </c>
      <c r="K334" s="12"/>
      <c r="L334" s="12"/>
      <c r="M334" s="12"/>
      <c r="N334" s="12"/>
      <c r="O334" s="12"/>
      <c r="P334" s="12"/>
      <c r="Q334" s="12"/>
      <c r="R334" s="12"/>
      <c r="S334" s="12"/>
    </row>
    <row r="335" spans="1:19" ht="14.25" customHeight="1" x14ac:dyDescent="0.2">
      <c r="A335" s="1" t="s">
        <v>24</v>
      </c>
      <c r="B335" s="19">
        <v>46085.067361111112</v>
      </c>
      <c r="C335" s="19">
        <v>46085.094652777778</v>
      </c>
      <c r="D335" s="20">
        <v>46085</v>
      </c>
      <c r="E335" s="21">
        <v>9.4652777777810115E-2</v>
      </c>
      <c r="F335" s="1" t="s">
        <v>470</v>
      </c>
      <c r="G335" s="1" t="s">
        <v>21</v>
      </c>
      <c r="H335" s="1" t="s">
        <v>54</v>
      </c>
      <c r="I335" s="1" t="s">
        <v>166</v>
      </c>
      <c r="J335" s="12">
        <v>0.83</v>
      </c>
      <c r="K335" s="12"/>
      <c r="L335" s="12">
        <f>SUM(J335:J338)</f>
        <v>6.07</v>
      </c>
      <c r="M335" s="13">
        <f>L335*65</f>
        <v>394.55</v>
      </c>
      <c r="N335" s="14">
        <f>MAX(500,M335)</f>
        <v>500</v>
      </c>
      <c r="O335" s="12"/>
      <c r="P335" s="12"/>
      <c r="Q335" s="12"/>
      <c r="R335" s="12"/>
      <c r="S335" s="12"/>
    </row>
    <row r="336" spans="1:19" ht="14.25" customHeight="1" x14ac:dyDescent="0.2">
      <c r="A336" s="1" t="s">
        <v>24</v>
      </c>
      <c r="B336" s="19">
        <v>46085.083958333336</v>
      </c>
      <c r="C336" s="19">
        <v>46085.098587962966</v>
      </c>
      <c r="D336" s="20">
        <v>46085</v>
      </c>
      <c r="E336" s="21">
        <v>9.8587962966121268E-2</v>
      </c>
      <c r="F336" s="1" t="s">
        <v>471</v>
      </c>
      <c r="G336" s="1" t="s">
        <v>21</v>
      </c>
      <c r="H336" s="1" t="s">
        <v>39</v>
      </c>
      <c r="I336" s="1" t="s">
        <v>166</v>
      </c>
      <c r="J336" s="12">
        <v>1.77</v>
      </c>
      <c r="K336" s="12"/>
      <c r="L336" s="12"/>
      <c r="M336" s="12"/>
      <c r="N336" s="12"/>
      <c r="O336" s="12"/>
      <c r="P336" s="12"/>
      <c r="Q336" s="12"/>
      <c r="R336" s="12"/>
      <c r="S336" s="12"/>
    </row>
    <row r="337" spans="1:19" ht="14.25" customHeight="1" x14ac:dyDescent="0.2">
      <c r="A337" s="1" t="s">
        <v>19</v>
      </c>
      <c r="B337" s="19">
        <v>46085.105092592596</v>
      </c>
      <c r="C337" s="19">
        <v>46085.122303240743</v>
      </c>
      <c r="D337" s="20">
        <v>46085</v>
      </c>
      <c r="E337" s="21">
        <v>0.12230324074334931</v>
      </c>
      <c r="F337" s="1" t="s">
        <v>472</v>
      </c>
      <c r="G337" s="1" t="s">
        <v>21</v>
      </c>
      <c r="H337" s="1" t="s">
        <v>101</v>
      </c>
      <c r="I337" s="1" t="s">
        <v>166</v>
      </c>
      <c r="J337" s="12">
        <v>1.7</v>
      </c>
      <c r="K337" s="12"/>
      <c r="L337" s="12"/>
      <c r="M337" s="12"/>
      <c r="N337" s="12"/>
      <c r="O337" s="12"/>
      <c r="P337" s="12"/>
      <c r="Q337" s="12"/>
      <c r="R337" s="12"/>
      <c r="S337" s="12"/>
    </row>
    <row r="338" spans="1:19" ht="14.25" customHeight="1" x14ac:dyDescent="0.2">
      <c r="A338" s="1" t="s">
        <v>19</v>
      </c>
      <c r="B338" s="19">
        <v>46085.112858796296</v>
      </c>
      <c r="C338" s="19">
        <v>46085.127395833333</v>
      </c>
      <c r="D338" s="20">
        <v>46085</v>
      </c>
      <c r="E338" s="21">
        <v>0.12739583333313931</v>
      </c>
      <c r="F338" s="1" t="s">
        <v>473</v>
      </c>
      <c r="G338" s="1" t="s">
        <v>21</v>
      </c>
      <c r="H338" s="1" t="s">
        <v>39</v>
      </c>
      <c r="I338" s="1" t="s">
        <v>166</v>
      </c>
      <c r="J338" s="12">
        <v>1.77</v>
      </c>
      <c r="K338" s="12"/>
      <c r="L338" s="12"/>
      <c r="M338" s="12"/>
      <c r="N338" s="12"/>
      <c r="O338" s="12"/>
      <c r="P338" s="12"/>
      <c r="Q338" s="12"/>
      <c r="R338" s="12"/>
      <c r="S338" s="12"/>
    </row>
    <row r="339" spans="1:19" ht="14.25" customHeight="1" x14ac:dyDescent="0.2">
      <c r="A339" s="1" t="s">
        <v>95</v>
      </c>
      <c r="B339" s="7">
        <v>46085.127268518518</v>
      </c>
      <c r="C339" s="7">
        <v>46085.134583333333</v>
      </c>
      <c r="D339" s="8">
        <v>46085</v>
      </c>
      <c r="E339" s="9">
        <v>0.13458333333255723</v>
      </c>
      <c r="F339" s="10" t="s">
        <v>474</v>
      </c>
      <c r="G339" s="10" t="s">
        <v>21</v>
      </c>
      <c r="H339" s="10" t="s">
        <v>110</v>
      </c>
      <c r="I339" s="10" t="s">
        <v>23</v>
      </c>
      <c r="J339" s="11">
        <v>0.83</v>
      </c>
      <c r="K339" s="12">
        <f>SUM(J339:J361)</f>
        <v>26.009999999999994</v>
      </c>
      <c r="L339" s="12">
        <f>SUM(J339:J344)</f>
        <v>6.66</v>
      </c>
      <c r="M339" s="13">
        <f>L339*65</f>
        <v>432.90000000000003</v>
      </c>
      <c r="N339" s="14">
        <f>MAX(500,M339)</f>
        <v>500</v>
      </c>
      <c r="O339" s="12"/>
      <c r="P339" s="12"/>
      <c r="Q339" s="12"/>
      <c r="R339" s="12"/>
      <c r="S339" s="12"/>
    </row>
    <row r="340" spans="1:19" ht="14.25" customHeight="1" x14ac:dyDescent="0.2">
      <c r="A340" s="1" t="s">
        <v>95</v>
      </c>
      <c r="B340" s="7">
        <v>46085.135358796295</v>
      </c>
      <c r="C340" s="7">
        <v>46085.135937500003</v>
      </c>
      <c r="D340" s="8">
        <v>46085</v>
      </c>
      <c r="E340" s="9">
        <v>0.13593750000291038</v>
      </c>
      <c r="F340" s="10" t="s">
        <v>475</v>
      </c>
      <c r="G340" s="10" t="s">
        <v>21</v>
      </c>
      <c r="H340" s="10" t="s">
        <v>110</v>
      </c>
      <c r="I340" s="10" t="s">
        <v>23</v>
      </c>
      <c r="J340" s="11">
        <v>0.83</v>
      </c>
      <c r="K340" s="12"/>
      <c r="L340" s="12"/>
      <c r="M340" s="12"/>
      <c r="N340" s="12"/>
      <c r="O340" s="12"/>
      <c r="P340" s="12"/>
      <c r="Q340" s="12"/>
      <c r="R340" s="12"/>
      <c r="S340" s="12"/>
    </row>
    <row r="341" spans="1:19" ht="14.25" customHeight="1" x14ac:dyDescent="0.2">
      <c r="A341" s="1" t="s">
        <v>95</v>
      </c>
      <c r="B341" s="7">
        <v>46085.124548611115</v>
      </c>
      <c r="C341" s="7">
        <v>46085.147037037037</v>
      </c>
      <c r="D341" s="8">
        <v>46085</v>
      </c>
      <c r="E341" s="9">
        <v>0.14703703703708015</v>
      </c>
      <c r="F341" s="10" t="s">
        <v>476</v>
      </c>
      <c r="G341" s="10" t="s">
        <v>21</v>
      </c>
      <c r="H341" s="10" t="s">
        <v>110</v>
      </c>
      <c r="I341" s="10" t="s">
        <v>23</v>
      </c>
      <c r="J341" s="11">
        <v>0.83</v>
      </c>
      <c r="K341" s="12"/>
      <c r="L341" s="12"/>
      <c r="M341" s="12"/>
      <c r="N341" s="12"/>
      <c r="O341" s="12"/>
      <c r="P341" s="12"/>
      <c r="Q341" s="12"/>
      <c r="R341" s="12"/>
      <c r="S341" s="12"/>
    </row>
    <row r="342" spans="1:19" ht="14.25" customHeight="1" x14ac:dyDescent="0.2">
      <c r="A342" s="1" t="s">
        <v>95</v>
      </c>
      <c r="B342" s="7">
        <v>46085.133483796293</v>
      </c>
      <c r="C342" s="7">
        <v>46085.149895833332</v>
      </c>
      <c r="D342" s="8">
        <v>46085</v>
      </c>
      <c r="E342" s="9">
        <v>0.14989583333226619</v>
      </c>
      <c r="F342" s="10" t="s">
        <v>477</v>
      </c>
      <c r="G342" s="10" t="s">
        <v>21</v>
      </c>
      <c r="H342" s="10" t="s">
        <v>97</v>
      </c>
      <c r="I342" s="10" t="s">
        <v>23</v>
      </c>
      <c r="J342" s="11">
        <v>1.77</v>
      </c>
      <c r="K342" s="12"/>
      <c r="L342" s="12"/>
      <c r="M342" s="12"/>
      <c r="N342" s="12"/>
      <c r="O342" s="12"/>
      <c r="P342" s="12"/>
      <c r="Q342" s="12"/>
      <c r="R342" s="12"/>
      <c r="S342" s="12"/>
    </row>
    <row r="343" spans="1:19" ht="14.25" customHeight="1" x14ac:dyDescent="0.2">
      <c r="A343" s="1" t="s">
        <v>19</v>
      </c>
      <c r="B343" s="7">
        <v>46085.110150462962</v>
      </c>
      <c r="C343" s="7">
        <v>46085.151018518518</v>
      </c>
      <c r="D343" s="8">
        <v>46085</v>
      </c>
      <c r="E343" s="9">
        <v>0.151018518517958</v>
      </c>
      <c r="F343" s="10" t="s">
        <v>478</v>
      </c>
      <c r="G343" s="10" t="s">
        <v>26</v>
      </c>
      <c r="H343" s="10" t="s">
        <v>92</v>
      </c>
      <c r="I343" s="10" t="s">
        <v>23</v>
      </c>
      <c r="J343" s="11">
        <v>0.63</v>
      </c>
      <c r="K343" s="12"/>
      <c r="L343" s="12"/>
      <c r="M343" s="12"/>
      <c r="N343" s="12"/>
      <c r="O343" s="12"/>
      <c r="P343" s="12"/>
      <c r="Q343" s="12"/>
      <c r="R343" s="12"/>
      <c r="S343" s="12"/>
    </row>
    <row r="344" spans="1:19" ht="14.25" customHeight="1" x14ac:dyDescent="0.2">
      <c r="A344" s="1" t="s">
        <v>95</v>
      </c>
      <c r="B344" s="7">
        <v>46085.149641203701</v>
      </c>
      <c r="C344" s="7">
        <v>46085.157187500001</v>
      </c>
      <c r="D344" s="8">
        <v>46085</v>
      </c>
      <c r="E344" s="9">
        <v>0.15718750000087311</v>
      </c>
      <c r="F344" s="10" t="s">
        <v>479</v>
      </c>
      <c r="G344" s="10" t="s">
        <v>21</v>
      </c>
      <c r="H344" s="10" t="s">
        <v>97</v>
      </c>
      <c r="I344" s="10" t="s">
        <v>23</v>
      </c>
      <c r="J344" s="11">
        <v>1.77</v>
      </c>
      <c r="K344" s="12"/>
      <c r="L344" s="12"/>
      <c r="M344" s="12"/>
      <c r="N344" s="12"/>
      <c r="O344" s="12"/>
      <c r="P344" s="12"/>
      <c r="Q344" s="12"/>
      <c r="R344" s="12"/>
      <c r="S344" s="12"/>
    </row>
    <row r="345" spans="1:19" ht="14.25" customHeight="1" x14ac:dyDescent="0.2">
      <c r="A345" s="1" t="s">
        <v>95</v>
      </c>
      <c r="B345" s="7">
        <v>46085.167326388888</v>
      </c>
      <c r="C345" s="7">
        <v>46085.169212962966</v>
      </c>
      <c r="D345" s="8">
        <v>46085</v>
      </c>
      <c r="E345" s="9">
        <v>0.16921296296641231</v>
      </c>
      <c r="F345" s="10" t="s">
        <v>480</v>
      </c>
      <c r="G345" s="10" t="s">
        <v>21</v>
      </c>
      <c r="H345" s="10" t="s">
        <v>108</v>
      </c>
      <c r="I345" s="10" t="s">
        <v>23</v>
      </c>
      <c r="J345" s="11">
        <v>1.7</v>
      </c>
      <c r="K345" s="12"/>
      <c r="L345" s="12">
        <f>SUM(J345:J354)</f>
        <v>12.03</v>
      </c>
      <c r="M345" s="13">
        <f>L345*65</f>
        <v>781.94999999999993</v>
      </c>
      <c r="N345" s="14">
        <f>MAX(500,M345)</f>
        <v>781.94999999999993</v>
      </c>
      <c r="O345" s="12"/>
      <c r="P345" s="12"/>
      <c r="Q345" s="12"/>
      <c r="R345" s="12"/>
      <c r="S345" s="12"/>
    </row>
    <row r="346" spans="1:19" ht="14.25" customHeight="1" x14ac:dyDescent="0.2">
      <c r="A346" s="1" t="s">
        <v>95</v>
      </c>
      <c r="B346" s="7">
        <v>46085.162303240744</v>
      </c>
      <c r="C346" s="7">
        <v>46085.172650462962</v>
      </c>
      <c r="D346" s="8">
        <v>46085</v>
      </c>
      <c r="E346" s="9">
        <v>0.17265046296233777</v>
      </c>
      <c r="F346" s="10" t="s">
        <v>481</v>
      </c>
      <c r="G346" s="10" t="s">
        <v>21</v>
      </c>
      <c r="H346" s="10" t="s">
        <v>110</v>
      </c>
      <c r="I346" s="10" t="s">
        <v>23</v>
      </c>
      <c r="J346" s="11">
        <v>0.83</v>
      </c>
      <c r="K346" s="12"/>
      <c r="L346" s="12"/>
      <c r="M346" s="12"/>
      <c r="N346" s="12"/>
      <c r="O346" s="12"/>
      <c r="P346" s="12"/>
      <c r="Q346" s="12"/>
      <c r="R346" s="12"/>
      <c r="S346" s="12"/>
    </row>
    <row r="347" spans="1:19" ht="14.25" customHeight="1" x14ac:dyDescent="0.2">
      <c r="A347" s="1" t="s">
        <v>19</v>
      </c>
      <c r="B347" s="7">
        <v>46085.135555555556</v>
      </c>
      <c r="C347" s="7">
        <v>46085.185937499999</v>
      </c>
      <c r="D347" s="8">
        <v>46085</v>
      </c>
      <c r="E347" s="9">
        <v>0.18593749999854481</v>
      </c>
      <c r="F347" s="10" t="s">
        <v>482</v>
      </c>
      <c r="G347" s="10" t="s">
        <v>21</v>
      </c>
      <c r="H347" s="10" t="s">
        <v>435</v>
      </c>
      <c r="I347" s="10" t="s">
        <v>23</v>
      </c>
      <c r="J347" s="11">
        <v>1.1299999999999999</v>
      </c>
      <c r="K347" s="12"/>
      <c r="L347" s="12"/>
      <c r="M347" s="12"/>
      <c r="N347" s="12"/>
      <c r="O347" s="12"/>
      <c r="P347" s="12"/>
      <c r="Q347" s="12"/>
      <c r="R347" s="12"/>
      <c r="S347" s="12"/>
    </row>
    <row r="348" spans="1:19" ht="14.25" customHeight="1" x14ac:dyDescent="0.2">
      <c r="A348" s="1" t="s">
        <v>19</v>
      </c>
      <c r="B348" s="7">
        <v>46085.176342592589</v>
      </c>
      <c r="C348" s="7">
        <v>46085.186388888891</v>
      </c>
      <c r="D348" s="8">
        <v>46085</v>
      </c>
      <c r="E348" s="9">
        <v>0.18638888889108784</v>
      </c>
      <c r="F348" s="10" t="s">
        <v>483</v>
      </c>
      <c r="G348" s="10" t="s">
        <v>21</v>
      </c>
      <c r="H348" s="10" t="s">
        <v>52</v>
      </c>
      <c r="I348" s="10" t="s">
        <v>23</v>
      </c>
      <c r="J348" s="11">
        <v>0.98</v>
      </c>
      <c r="K348" s="12"/>
      <c r="L348" s="12"/>
      <c r="M348" s="12"/>
      <c r="N348" s="12"/>
      <c r="O348" s="12"/>
      <c r="P348" s="12"/>
      <c r="Q348" s="12"/>
      <c r="R348" s="12"/>
      <c r="S348" s="12"/>
    </row>
    <row r="349" spans="1:19" ht="14.25" customHeight="1" x14ac:dyDescent="0.2">
      <c r="A349" s="1" t="s">
        <v>95</v>
      </c>
      <c r="B349" s="7">
        <v>46085.173738425925</v>
      </c>
      <c r="C349" s="7">
        <v>46085.187939814816</v>
      </c>
      <c r="D349" s="8">
        <v>46085</v>
      </c>
      <c r="E349" s="9">
        <v>0.18793981481576338</v>
      </c>
      <c r="F349" s="10" t="s">
        <v>484</v>
      </c>
      <c r="G349" s="10" t="s">
        <v>21</v>
      </c>
      <c r="H349" s="10" t="s">
        <v>485</v>
      </c>
      <c r="I349" s="10" t="s">
        <v>23</v>
      </c>
      <c r="J349" s="11">
        <v>1.1299999999999999</v>
      </c>
      <c r="K349" s="12"/>
      <c r="L349" s="12"/>
      <c r="M349" s="12"/>
      <c r="N349" s="12"/>
      <c r="O349" s="12"/>
      <c r="P349" s="12"/>
      <c r="Q349" s="12"/>
      <c r="R349" s="12"/>
      <c r="S349" s="12"/>
    </row>
    <row r="350" spans="1:19" ht="14.25" customHeight="1" x14ac:dyDescent="0.2">
      <c r="A350" s="1" t="s">
        <v>19</v>
      </c>
      <c r="B350" s="7">
        <v>46085.176342592589</v>
      </c>
      <c r="C350" s="7">
        <v>46085.188217592593</v>
      </c>
      <c r="D350" s="8">
        <v>46085</v>
      </c>
      <c r="E350" s="9">
        <v>0.18821759259299142</v>
      </c>
      <c r="F350" s="10" t="s">
        <v>486</v>
      </c>
      <c r="G350" s="10" t="s">
        <v>21</v>
      </c>
      <c r="H350" s="10" t="s">
        <v>22</v>
      </c>
      <c r="I350" s="10" t="s">
        <v>23</v>
      </c>
      <c r="J350" s="11">
        <v>0.83</v>
      </c>
      <c r="K350" s="12"/>
      <c r="L350" s="12"/>
      <c r="M350" s="12"/>
      <c r="N350" s="12"/>
      <c r="O350" s="12"/>
      <c r="P350" s="12"/>
      <c r="Q350" s="12"/>
      <c r="R350" s="12"/>
      <c r="S350" s="12"/>
    </row>
    <row r="351" spans="1:19" ht="14.25" customHeight="1" x14ac:dyDescent="0.2">
      <c r="A351" s="1" t="s">
        <v>19</v>
      </c>
      <c r="B351" s="7">
        <v>46085.160879629628</v>
      </c>
      <c r="C351" s="7">
        <v>46085.18917824074</v>
      </c>
      <c r="D351" s="8">
        <v>46085</v>
      </c>
      <c r="E351" s="9">
        <v>0.18917824074014788</v>
      </c>
      <c r="F351" s="10" t="s">
        <v>487</v>
      </c>
      <c r="G351" s="10" t="s">
        <v>21</v>
      </c>
      <c r="H351" s="10" t="s">
        <v>488</v>
      </c>
      <c r="I351" s="10" t="s">
        <v>23</v>
      </c>
      <c r="J351" s="11">
        <v>1.1299999999999999</v>
      </c>
      <c r="K351" s="12"/>
      <c r="L351" s="12"/>
      <c r="M351" s="12"/>
      <c r="N351" s="12"/>
      <c r="O351" s="12"/>
      <c r="P351" s="12"/>
      <c r="Q351" s="12"/>
      <c r="R351" s="12"/>
      <c r="S351" s="12"/>
    </row>
    <row r="352" spans="1:19" ht="14.25" customHeight="1" x14ac:dyDescent="0.2">
      <c r="A352" s="1" t="s">
        <v>24</v>
      </c>
      <c r="B352" s="7">
        <v>46085.1796412037</v>
      </c>
      <c r="C352" s="7">
        <v>46085.198275462964</v>
      </c>
      <c r="D352" s="8">
        <v>46085</v>
      </c>
      <c r="E352" s="9">
        <v>0.19827546296437504</v>
      </c>
      <c r="F352" s="10" t="s">
        <v>489</v>
      </c>
      <c r="G352" s="10" t="s">
        <v>21</v>
      </c>
      <c r="H352" s="10" t="s">
        <v>39</v>
      </c>
      <c r="I352" s="10" t="s">
        <v>23</v>
      </c>
      <c r="J352" s="11">
        <v>1.77</v>
      </c>
      <c r="K352" s="12"/>
      <c r="L352" s="12"/>
      <c r="M352" s="12"/>
      <c r="N352" s="12"/>
      <c r="O352" s="12"/>
      <c r="P352" s="12"/>
      <c r="Q352" s="12"/>
      <c r="R352" s="12"/>
      <c r="S352" s="12"/>
    </row>
    <row r="353" spans="1:19" ht="14.25" customHeight="1" x14ac:dyDescent="0.2">
      <c r="A353" s="1" t="s">
        <v>24</v>
      </c>
      <c r="B353" s="7">
        <v>46085.1871875</v>
      </c>
      <c r="C353" s="7">
        <v>46085.203402777777</v>
      </c>
      <c r="D353" s="8">
        <v>46085</v>
      </c>
      <c r="E353" s="9">
        <v>0.20340277777722804</v>
      </c>
      <c r="F353" s="10" t="s">
        <v>490</v>
      </c>
      <c r="G353" s="10" t="s">
        <v>21</v>
      </c>
      <c r="H353" s="10" t="s">
        <v>101</v>
      </c>
      <c r="I353" s="10" t="s">
        <v>23</v>
      </c>
      <c r="J353" s="11">
        <v>1.7</v>
      </c>
      <c r="K353" s="12"/>
      <c r="L353" s="12"/>
      <c r="M353" s="12"/>
      <c r="N353" s="12"/>
      <c r="O353" s="12"/>
      <c r="P353" s="12"/>
      <c r="Q353" s="12"/>
      <c r="R353" s="12"/>
      <c r="S353" s="12"/>
    </row>
    <row r="354" spans="1:19" ht="14.25" customHeight="1" x14ac:dyDescent="0.2">
      <c r="A354" s="1" t="s">
        <v>33</v>
      </c>
      <c r="B354" s="7">
        <v>46085.19699074074</v>
      </c>
      <c r="C354" s="7">
        <v>46085.206226851849</v>
      </c>
      <c r="D354" s="8">
        <v>46085</v>
      </c>
      <c r="E354" s="9">
        <v>0.20622685184935108</v>
      </c>
      <c r="F354" s="10" t="s">
        <v>491</v>
      </c>
      <c r="G354" s="10" t="s">
        <v>21</v>
      </c>
      <c r="H354" s="10" t="s">
        <v>22</v>
      </c>
      <c r="I354" s="10" t="s">
        <v>23</v>
      </c>
      <c r="J354" s="11">
        <v>0.83</v>
      </c>
      <c r="K354" s="12"/>
      <c r="L354" s="12"/>
      <c r="M354" s="12"/>
      <c r="N354" s="12"/>
      <c r="O354" s="12"/>
      <c r="P354" s="12"/>
      <c r="Q354" s="12"/>
      <c r="R354" s="12"/>
      <c r="S354" s="12"/>
    </row>
    <row r="355" spans="1:19" ht="14.25" customHeight="1" x14ac:dyDescent="0.2">
      <c r="A355" s="1" t="s">
        <v>42</v>
      </c>
      <c r="B355" s="7">
        <v>46085.174907407411</v>
      </c>
      <c r="C355" s="7">
        <v>46085.214247685188</v>
      </c>
      <c r="D355" s="8">
        <v>46085</v>
      </c>
      <c r="E355" s="9">
        <v>0.21424768518772908</v>
      </c>
      <c r="F355" s="10" t="s">
        <v>492</v>
      </c>
      <c r="G355" s="10" t="s">
        <v>26</v>
      </c>
      <c r="H355" s="10" t="s">
        <v>56</v>
      </c>
      <c r="I355" s="10" t="s">
        <v>23</v>
      </c>
      <c r="J355" s="11">
        <v>0.73</v>
      </c>
      <c r="K355" s="12"/>
      <c r="L355" s="12">
        <f>SUM(J355:J361)</f>
        <v>7.32</v>
      </c>
      <c r="M355" s="13">
        <f>L355*65</f>
        <v>475.8</v>
      </c>
      <c r="N355" s="14">
        <f>MAX(500,M355)</f>
        <v>500</v>
      </c>
      <c r="O355" s="12"/>
      <c r="P355" s="12"/>
      <c r="Q355" s="12"/>
      <c r="R355" s="12"/>
      <c r="S355" s="12"/>
    </row>
    <row r="356" spans="1:19" ht="14.25" customHeight="1" x14ac:dyDescent="0.2">
      <c r="A356" s="1" t="s">
        <v>95</v>
      </c>
      <c r="B356" s="7">
        <v>46085.205960648149</v>
      </c>
      <c r="C356" s="7">
        <v>46085.224895833337</v>
      </c>
      <c r="D356" s="8">
        <v>46085</v>
      </c>
      <c r="E356" s="9">
        <v>0.22489583333663177</v>
      </c>
      <c r="F356" s="10" t="s">
        <v>493</v>
      </c>
      <c r="G356" s="10" t="s">
        <v>21</v>
      </c>
      <c r="H356" s="10" t="s">
        <v>97</v>
      </c>
      <c r="I356" s="10" t="s">
        <v>23</v>
      </c>
      <c r="J356" s="11">
        <v>1.77</v>
      </c>
      <c r="K356" s="12"/>
      <c r="L356" s="12"/>
      <c r="M356" s="12"/>
      <c r="N356" s="12"/>
      <c r="O356" s="12"/>
      <c r="P356" s="12"/>
      <c r="Q356" s="12"/>
      <c r="R356" s="12"/>
      <c r="S356" s="12"/>
    </row>
    <row r="357" spans="1:19" ht="14.25" customHeight="1" x14ac:dyDescent="0.2">
      <c r="A357" s="1" t="s">
        <v>42</v>
      </c>
      <c r="B357" s="7">
        <v>46085.212268518517</v>
      </c>
      <c r="C357" s="7">
        <v>46085.234143518515</v>
      </c>
      <c r="D357" s="8">
        <v>46085</v>
      </c>
      <c r="E357" s="9">
        <v>0.23414351851533866</v>
      </c>
      <c r="F357" s="10" t="s">
        <v>494</v>
      </c>
      <c r="G357" s="10" t="s">
        <v>44</v>
      </c>
      <c r="H357" s="10" t="s">
        <v>140</v>
      </c>
      <c r="I357" s="10" t="s">
        <v>23</v>
      </c>
      <c r="J357" s="11">
        <v>0.18</v>
      </c>
      <c r="K357" s="12"/>
      <c r="L357" s="12"/>
      <c r="M357" s="12"/>
      <c r="N357" s="12"/>
      <c r="O357" s="12"/>
      <c r="P357" s="12"/>
      <c r="Q357" s="12"/>
      <c r="R357" s="12"/>
      <c r="S357" s="12"/>
    </row>
    <row r="358" spans="1:19" ht="14.25" customHeight="1" x14ac:dyDescent="0.2">
      <c r="A358" s="1" t="s">
        <v>19</v>
      </c>
      <c r="B358" s="7">
        <v>46085.217118055552</v>
      </c>
      <c r="C358" s="7">
        <v>46085.234513888892</v>
      </c>
      <c r="D358" s="8">
        <v>46085</v>
      </c>
      <c r="E358" s="9">
        <v>0.234513888892252</v>
      </c>
      <c r="F358" s="10" t="s">
        <v>495</v>
      </c>
      <c r="G358" s="10" t="s">
        <v>21</v>
      </c>
      <c r="H358" s="10" t="s">
        <v>22</v>
      </c>
      <c r="I358" s="10" t="s">
        <v>23</v>
      </c>
      <c r="J358" s="11">
        <v>0.83</v>
      </c>
      <c r="K358" s="12"/>
      <c r="L358" s="12"/>
      <c r="M358" s="12"/>
      <c r="N358" s="12"/>
      <c r="O358" s="12"/>
      <c r="P358" s="12"/>
      <c r="Q358" s="12"/>
      <c r="R358" s="12"/>
      <c r="S358" s="12"/>
    </row>
    <row r="359" spans="1:19" ht="14.25" customHeight="1" x14ac:dyDescent="0.2">
      <c r="A359" s="1" t="s">
        <v>42</v>
      </c>
      <c r="B359" s="7">
        <v>46085.222384259258</v>
      </c>
      <c r="C359" s="7">
        <v>46085.235717592594</v>
      </c>
      <c r="D359" s="8">
        <v>46085</v>
      </c>
      <c r="E359" s="9">
        <v>0.2357175925935735</v>
      </c>
      <c r="F359" s="10" t="s">
        <v>496</v>
      </c>
      <c r="G359" s="10" t="s">
        <v>44</v>
      </c>
      <c r="H359" s="10" t="s">
        <v>497</v>
      </c>
      <c r="I359" s="10" t="s">
        <v>23</v>
      </c>
      <c r="J359" s="11">
        <v>0.18</v>
      </c>
      <c r="K359" s="12"/>
      <c r="L359" s="12"/>
      <c r="M359" s="12"/>
      <c r="N359" s="12"/>
      <c r="O359" s="12"/>
      <c r="P359" s="12"/>
      <c r="Q359" s="12"/>
      <c r="R359" s="12"/>
      <c r="S359" s="12"/>
    </row>
    <row r="360" spans="1:19" ht="14.25" customHeight="1" x14ac:dyDescent="0.2">
      <c r="A360" s="1" t="s">
        <v>19</v>
      </c>
      <c r="B360" s="7">
        <v>46085.221041666664</v>
      </c>
      <c r="C360" s="7">
        <v>46085.242893518516</v>
      </c>
      <c r="D360" s="8">
        <v>46085</v>
      </c>
      <c r="E360" s="9">
        <v>0.24289351851621177</v>
      </c>
      <c r="F360" s="10" t="s">
        <v>498</v>
      </c>
      <c r="G360" s="10" t="s">
        <v>21</v>
      </c>
      <c r="H360" s="10" t="s">
        <v>409</v>
      </c>
      <c r="I360" s="10" t="s">
        <v>23</v>
      </c>
      <c r="J360" s="11">
        <v>2.9</v>
      </c>
      <c r="K360" s="12"/>
      <c r="L360" s="12"/>
      <c r="M360" s="12"/>
      <c r="N360" s="12"/>
      <c r="O360" s="12"/>
      <c r="P360" s="12"/>
      <c r="Q360" s="12"/>
      <c r="R360" s="12"/>
      <c r="S360" s="12"/>
    </row>
    <row r="361" spans="1:19" ht="14.25" customHeight="1" x14ac:dyDescent="0.2">
      <c r="A361" s="1" t="s">
        <v>42</v>
      </c>
      <c r="B361" s="7">
        <v>46085.217129629629</v>
      </c>
      <c r="C361" s="7">
        <v>46085.246747685182</v>
      </c>
      <c r="D361" s="8">
        <v>46085</v>
      </c>
      <c r="E361" s="9">
        <v>0.24674768518161727</v>
      </c>
      <c r="F361" s="10" t="s">
        <v>499</v>
      </c>
      <c r="G361" s="10" t="s">
        <v>26</v>
      </c>
      <c r="H361" s="10" t="s">
        <v>56</v>
      </c>
      <c r="I361" s="10" t="s">
        <v>23</v>
      </c>
      <c r="J361" s="11">
        <v>0.73</v>
      </c>
      <c r="K361" s="12"/>
      <c r="L361" s="12"/>
      <c r="M361" s="12"/>
      <c r="N361" s="12"/>
      <c r="O361" s="12"/>
      <c r="P361" s="12"/>
      <c r="Q361" s="12"/>
      <c r="R361" s="12"/>
      <c r="S361" s="12"/>
    </row>
    <row r="362" spans="1:19" ht="14.25" customHeight="1" x14ac:dyDescent="0.2">
      <c r="A362" s="1" t="s">
        <v>33</v>
      </c>
      <c r="B362" s="7">
        <v>46085.87400462963</v>
      </c>
      <c r="C362" s="7">
        <v>46085.881238425929</v>
      </c>
      <c r="D362" s="8">
        <v>46085</v>
      </c>
      <c r="E362" s="9">
        <v>0.88123842592904111</v>
      </c>
      <c r="F362" s="10" t="s">
        <v>500</v>
      </c>
      <c r="G362" s="10" t="s">
        <v>21</v>
      </c>
      <c r="H362" s="10" t="s">
        <v>54</v>
      </c>
      <c r="I362" s="10" t="s">
        <v>23</v>
      </c>
      <c r="J362" s="11">
        <v>0.83</v>
      </c>
      <c r="K362" s="12">
        <f>SUM(J362:J434)</f>
        <v>88.249999999999957</v>
      </c>
      <c r="L362" s="12">
        <f>SUM(J362:J376)</f>
        <v>18.5</v>
      </c>
      <c r="M362" s="13">
        <f>L362*65</f>
        <v>1202.5</v>
      </c>
      <c r="N362" s="14">
        <f>MAX(500,M362)</f>
        <v>1202.5</v>
      </c>
      <c r="O362" s="12"/>
      <c r="P362" s="12"/>
      <c r="Q362" s="12"/>
      <c r="R362" s="12"/>
      <c r="S362" s="12"/>
    </row>
    <row r="363" spans="1:19" ht="14.25" customHeight="1" x14ac:dyDescent="0.2">
      <c r="A363" s="1" t="s">
        <v>24</v>
      </c>
      <c r="B363" s="7">
        <v>46085.851041666669</v>
      </c>
      <c r="C363" s="7">
        <v>46085.881469907406</v>
      </c>
      <c r="D363" s="8">
        <v>46085</v>
      </c>
      <c r="E363" s="9">
        <v>0.8814699074064265</v>
      </c>
      <c r="F363" s="10" t="s">
        <v>501</v>
      </c>
      <c r="G363" s="10" t="s">
        <v>21</v>
      </c>
      <c r="H363" s="10" t="s">
        <v>54</v>
      </c>
      <c r="I363" s="10" t="s">
        <v>23</v>
      </c>
      <c r="J363" s="11">
        <v>0.83</v>
      </c>
      <c r="K363" s="12"/>
      <c r="L363" s="12"/>
      <c r="M363" s="12"/>
      <c r="N363" s="12"/>
      <c r="O363" s="12"/>
      <c r="P363" s="12"/>
      <c r="Q363" s="12"/>
      <c r="R363" s="12"/>
      <c r="S363" s="12"/>
    </row>
    <row r="364" spans="1:19" ht="14.25" customHeight="1" x14ac:dyDescent="0.2">
      <c r="A364" s="1" t="s">
        <v>24</v>
      </c>
      <c r="B364" s="7">
        <v>46085.851041666669</v>
      </c>
      <c r="C364" s="7">
        <v>46085.88208333333</v>
      </c>
      <c r="D364" s="8">
        <v>46085</v>
      </c>
      <c r="E364" s="9">
        <v>0.88208333333022892</v>
      </c>
      <c r="F364" s="10" t="s">
        <v>502</v>
      </c>
      <c r="G364" s="10" t="s">
        <v>21</v>
      </c>
      <c r="H364" s="10" t="s">
        <v>61</v>
      </c>
      <c r="I364" s="10" t="s">
        <v>23</v>
      </c>
      <c r="J364" s="11">
        <v>2.5</v>
      </c>
      <c r="K364" s="12"/>
      <c r="L364" s="12"/>
      <c r="M364" s="12"/>
      <c r="N364" s="12"/>
      <c r="O364" s="12"/>
      <c r="P364" s="12"/>
      <c r="Q364" s="12"/>
      <c r="R364" s="12"/>
      <c r="S364" s="12"/>
    </row>
    <row r="365" spans="1:19" ht="14.25" customHeight="1" x14ac:dyDescent="0.2">
      <c r="A365" s="1" t="s">
        <v>24</v>
      </c>
      <c r="B365" s="7">
        <v>46085.850555555553</v>
      </c>
      <c r="C365" s="7">
        <v>46085.890636574077</v>
      </c>
      <c r="D365" s="8">
        <v>46085</v>
      </c>
      <c r="E365" s="9">
        <v>0.89063657407677965</v>
      </c>
      <c r="F365" s="10" t="s">
        <v>503</v>
      </c>
      <c r="G365" s="10" t="s">
        <v>180</v>
      </c>
      <c r="H365" s="10" t="s">
        <v>504</v>
      </c>
      <c r="I365" s="10" t="s">
        <v>23</v>
      </c>
      <c r="J365" s="11">
        <v>1.44</v>
      </c>
      <c r="K365" s="12"/>
      <c r="L365" s="12"/>
      <c r="M365" s="12"/>
      <c r="N365" s="12"/>
      <c r="O365" s="12"/>
      <c r="P365" s="12"/>
      <c r="Q365" s="12"/>
      <c r="R365" s="12"/>
      <c r="S365" s="12"/>
    </row>
    <row r="366" spans="1:19" ht="14.25" customHeight="1" x14ac:dyDescent="0.2">
      <c r="A366" s="1" t="s">
        <v>24</v>
      </c>
      <c r="B366" s="7">
        <v>46085.850555555553</v>
      </c>
      <c r="C366" s="7">
        <v>46085.892141203702</v>
      </c>
      <c r="D366" s="8">
        <v>46085</v>
      </c>
      <c r="E366" s="9">
        <v>0.89214120370161254</v>
      </c>
      <c r="F366" s="10" t="s">
        <v>505</v>
      </c>
      <c r="G366" s="10" t="s">
        <v>180</v>
      </c>
      <c r="H366" s="10" t="s">
        <v>506</v>
      </c>
      <c r="I366" s="10" t="s">
        <v>23</v>
      </c>
      <c r="J366" s="11">
        <v>1.44</v>
      </c>
      <c r="K366" s="12"/>
      <c r="L366" s="12"/>
      <c r="M366" s="12"/>
      <c r="N366" s="12"/>
      <c r="O366" s="12"/>
      <c r="P366" s="12"/>
      <c r="Q366" s="12"/>
      <c r="R366" s="12"/>
      <c r="S366" s="12"/>
    </row>
    <row r="367" spans="1:19" ht="14.25" customHeight="1" x14ac:dyDescent="0.2">
      <c r="A367" s="1" t="s">
        <v>148</v>
      </c>
      <c r="B367" s="7">
        <v>46085.862743055557</v>
      </c>
      <c r="C367" s="7">
        <v>46085.892372685186</v>
      </c>
      <c r="D367" s="8">
        <v>46085</v>
      </c>
      <c r="E367" s="9">
        <v>0.89237268518627388</v>
      </c>
      <c r="F367" s="10" t="s">
        <v>507</v>
      </c>
      <c r="G367" s="10" t="s">
        <v>21</v>
      </c>
      <c r="H367" s="10" t="s">
        <v>258</v>
      </c>
      <c r="I367" s="10" t="s">
        <v>23</v>
      </c>
      <c r="J367" s="11">
        <v>0.83</v>
      </c>
      <c r="K367" s="12"/>
      <c r="L367" s="12"/>
      <c r="M367" s="12"/>
      <c r="N367" s="12"/>
      <c r="O367" s="12"/>
      <c r="P367" s="12"/>
      <c r="Q367" s="12"/>
      <c r="R367" s="12"/>
      <c r="S367" s="12"/>
    </row>
    <row r="368" spans="1:19" ht="14.25" customHeight="1" x14ac:dyDescent="0.2">
      <c r="A368" s="1" t="s">
        <v>148</v>
      </c>
      <c r="B368" s="7">
        <v>46085.87226851852</v>
      </c>
      <c r="C368" s="7">
        <v>46085.892592592594</v>
      </c>
      <c r="D368" s="8">
        <v>46085</v>
      </c>
      <c r="E368" s="9">
        <v>0.89259259259415558</v>
      </c>
      <c r="F368" s="10" t="s">
        <v>508</v>
      </c>
      <c r="G368" s="10" t="s">
        <v>21</v>
      </c>
      <c r="H368" s="10" t="s">
        <v>509</v>
      </c>
      <c r="I368" s="10" t="s">
        <v>23</v>
      </c>
      <c r="J368" s="11">
        <v>0.98</v>
      </c>
      <c r="K368" s="12"/>
      <c r="L368" s="12"/>
      <c r="M368" s="12"/>
      <c r="N368" s="12"/>
      <c r="O368" s="12"/>
      <c r="P368" s="12"/>
      <c r="Q368" s="12"/>
      <c r="R368" s="12"/>
      <c r="S368" s="12"/>
    </row>
    <row r="369" spans="1:19" ht="14.25" customHeight="1" x14ac:dyDescent="0.2">
      <c r="A369" s="1" t="s">
        <v>148</v>
      </c>
      <c r="B369" s="7">
        <v>46085.874027777776</v>
      </c>
      <c r="C369" s="7">
        <v>46085.893148148149</v>
      </c>
      <c r="D369" s="8">
        <v>46085</v>
      </c>
      <c r="E369" s="9">
        <v>0.89314814814861165</v>
      </c>
      <c r="F369" s="10" t="s">
        <v>510</v>
      </c>
      <c r="G369" s="10" t="s">
        <v>21</v>
      </c>
      <c r="H369" s="10" t="s">
        <v>511</v>
      </c>
      <c r="I369" s="10" t="s">
        <v>23</v>
      </c>
      <c r="J369" s="11">
        <v>0.98</v>
      </c>
      <c r="K369" s="12"/>
      <c r="L369" s="12"/>
      <c r="M369" s="12"/>
      <c r="N369" s="12"/>
      <c r="O369" s="12"/>
      <c r="P369" s="12"/>
      <c r="Q369" s="12"/>
      <c r="R369" s="12"/>
      <c r="S369" s="12"/>
    </row>
    <row r="370" spans="1:19" ht="14.25" customHeight="1" x14ac:dyDescent="0.2">
      <c r="A370" s="1" t="s">
        <v>24</v>
      </c>
      <c r="B370" s="7">
        <v>46085.738217592596</v>
      </c>
      <c r="C370" s="7">
        <v>46085.893819444442</v>
      </c>
      <c r="D370" s="8">
        <v>46085</v>
      </c>
      <c r="E370" s="9">
        <v>0.89381944444176042</v>
      </c>
      <c r="F370" s="10" t="s">
        <v>512</v>
      </c>
      <c r="G370" s="10" t="s">
        <v>364</v>
      </c>
      <c r="H370" s="10" t="s">
        <v>513</v>
      </c>
      <c r="I370" s="10" t="s">
        <v>23</v>
      </c>
      <c r="J370" s="11">
        <v>1.7</v>
      </c>
      <c r="K370" s="12"/>
      <c r="L370" s="12"/>
      <c r="M370" s="12"/>
      <c r="N370" s="12"/>
      <c r="O370" s="12"/>
      <c r="P370" s="12"/>
      <c r="Q370" s="12"/>
      <c r="R370" s="12"/>
      <c r="S370" s="12"/>
    </row>
    <row r="371" spans="1:19" ht="14.25" customHeight="1" x14ac:dyDescent="0.2">
      <c r="A371" s="1" t="s">
        <v>148</v>
      </c>
      <c r="B371" s="7">
        <v>46085.87604166667</v>
      </c>
      <c r="C371" s="7">
        <v>46085.899594907409</v>
      </c>
      <c r="D371" s="8">
        <v>46085</v>
      </c>
      <c r="E371" s="9">
        <v>0.89959490740875481</v>
      </c>
      <c r="F371" s="10" t="s">
        <v>514</v>
      </c>
      <c r="G371" s="10" t="s">
        <v>21</v>
      </c>
      <c r="H371" s="10" t="s">
        <v>515</v>
      </c>
      <c r="I371" s="10" t="s">
        <v>23</v>
      </c>
      <c r="J371" s="11">
        <v>0.98</v>
      </c>
      <c r="K371" s="12"/>
      <c r="L371" s="12"/>
      <c r="M371" s="12"/>
      <c r="N371" s="12"/>
      <c r="O371" s="12"/>
      <c r="P371" s="12"/>
      <c r="Q371" s="12"/>
      <c r="R371" s="12"/>
      <c r="S371" s="12"/>
    </row>
    <row r="372" spans="1:19" ht="14.25" customHeight="1" x14ac:dyDescent="0.2">
      <c r="A372" s="1" t="s">
        <v>24</v>
      </c>
      <c r="B372" s="7">
        <v>46085.873935185184</v>
      </c>
      <c r="C372" s="7">
        <v>46085.900150462963</v>
      </c>
      <c r="D372" s="8">
        <v>46085</v>
      </c>
      <c r="E372" s="9">
        <v>0.90015046296321088</v>
      </c>
      <c r="F372" s="10" t="s">
        <v>516</v>
      </c>
      <c r="G372" s="10" t="s">
        <v>26</v>
      </c>
      <c r="H372" s="10" t="s">
        <v>56</v>
      </c>
      <c r="I372" s="10" t="s">
        <v>23</v>
      </c>
      <c r="J372" s="11">
        <v>0.73</v>
      </c>
      <c r="K372" s="12"/>
      <c r="L372" s="12"/>
      <c r="M372" s="12"/>
      <c r="N372" s="12"/>
      <c r="O372" s="12"/>
      <c r="P372" s="12"/>
      <c r="Q372" s="12"/>
      <c r="R372" s="12"/>
      <c r="S372" s="12"/>
    </row>
    <row r="373" spans="1:19" ht="14.25" customHeight="1" x14ac:dyDescent="0.2">
      <c r="A373" s="1" t="s">
        <v>19</v>
      </c>
      <c r="B373" s="7">
        <v>46085.890300925923</v>
      </c>
      <c r="C373" s="7">
        <v>46085.903680555559</v>
      </c>
      <c r="D373" s="8">
        <v>46085</v>
      </c>
      <c r="E373" s="9">
        <v>0.90368055555882165</v>
      </c>
      <c r="F373" s="10" t="s">
        <v>517</v>
      </c>
      <c r="G373" s="10" t="s">
        <v>21</v>
      </c>
      <c r="H373" s="10" t="s">
        <v>41</v>
      </c>
      <c r="I373" s="10" t="s">
        <v>23</v>
      </c>
      <c r="J373" s="11">
        <v>1.77</v>
      </c>
      <c r="K373" s="12"/>
      <c r="L373" s="12"/>
      <c r="M373" s="12"/>
      <c r="N373" s="12"/>
      <c r="O373" s="12"/>
      <c r="P373" s="12"/>
      <c r="Q373" s="12"/>
      <c r="R373" s="12"/>
      <c r="S373" s="12"/>
    </row>
    <row r="374" spans="1:19" ht="14.25" customHeight="1" x14ac:dyDescent="0.2">
      <c r="A374" s="1" t="s">
        <v>57</v>
      </c>
      <c r="B374" s="7">
        <v>46085.885798611111</v>
      </c>
      <c r="C374" s="7">
        <v>46085.913078703707</v>
      </c>
      <c r="D374" s="8">
        <v>46085</v>
      </c>
      <c r="E374" s="9">
        <v>0.91307870370656019</v>
      </c>
      <c r="F374" s="10" t="s">
        <v>518</v>
      </c>
      <c r="G374" s="10" t="s">
        <v>21</v>
      </c>
      <c r="H374" s="10" t="s">
        <v>303</v>
      </c>
      <c r="I374" s="10" t="s">
        <v>23</v>
      </c>
      <c r="J374" s="11">
        <v>1.77</v>
      </c>
      <c r="K374" s="12"/>
      <c r="L374" s="12"/>
      <c r="M374" s="12"/>
      <c r="N374" s="12"/>
      <c r="O374" s="12"/>
      <c r="P374" s="12"/>
      <c r="Q374" s="12"/>
      <c r="R374" s="12"/>
      <c r="S374" s="12"/>
    </row>
    <row r="375" spans="1:19" ht="14.25" customHeight="1" x14ac:dyDescent="0.2">
      <c r="A375" s="1" t="s">
        <v>42</v>
      </c>
      <c r="B375" s="7">
        <v>46085.868935185186</v>
      </c>
      <c r="C375" s="7">
        <v>46085.913391203707</v>
      </c>
      <c r="D375" s="8">
        <v>46085</v>
      </c>
      <c r="E375" s="9">
        <v>0.91339120370685123</v>
      </c>
      <c r="F375" s="10" t="s">
        <v>519</v>
      </c>
      <c r="G375" s="10" t="s">
        <v>26</v>
      </c>
      <c r="H375" s="10" t="s">
        <v>76</v>
      </c>
      <c r="I375" s="10" t="s">
        <v>23</v>
      </c>
      <c r="J375" s="11">
        <v>0.75</v>
      </c>
      <c r="K375" s="12"/>
      <c r="L375" s="12"/>
      <c r="M375" s="12"/>
      <c r="N375" s="12"/>
      <c r="O375" s="12"/>
      <c r="P375" s="12"/>
      <c r="Q375" s="12"/>
      <c r="R375" s="12"/>
      <c r="S375" s="12"/>
    </row>
    <row r="376" spans="1:19" ht="14.25" customHeight="1" x14ac:dyDescent="0.2">
      <c r="A376" s="1" t="s">
        <v>24</v>
      </c>
      <c r="B376" s="7">
        <v>46085.897604166668</v>
      </c>
      <c r="C376" s="7">
        <v>46085.916041666664</v>
      </c>
      <c r="D376" s="8">
        <v>46085</v>
      </c>
      <c r="E376" s="9">
        <v>0.91604166666365927</v>
      </c>
      <c r="F376" s="10" t="s">
        <v>520</v>
      </c>
      <c r="G376" s="10" t="s">
        <v>26</v>
      </c>
      <c r="H376" s="10" t="s">
        <v>128</v>
      </c>
      <c r="I376" s="10" t="s">
        <v>23</v>
      </c>
      <c r="J376" s="11">
        <v>0.97</v>
      </c>
      <c r="K376" s="12"/>
      <c r="L376" s="12"/>
      <c r="M376" s="12"/>
      <c r="N376" s="12"/>
      <c r="O376" s="12"/>
      <c r="P376" s="12"/>
      <c r="Q376" s="12"/>
      <c r="R376" s="12"/>
      <c r="S376" s="12"/>
    </row>
    <row r="377" spans="1:19" ht="14.25" customHeight="1" x14ac:dyDescent="0.2">
      <c r="A377" s="1" t="s">
        <v>33</v>
      </c>
      <c r="B377" s="7">
        <v>46085.905127314814</v>
      </c>
      <c r="C377" s="7">
        <v>46085.916967592595</v>
      </c>
      <c r="D377" s="8">
        <v>46085</v>
      </c>
      <c r="E377" s="9">
        <v>0.91696759259502869</v>
      </c>
      <c r="F377" s="10" t="s">
        <v>521</v>
      </c>
      <c r="G377" s="10" t="s">
        <v>21</v>
      </c>
      <c r="H377" s="10" t="s">
        <v>101</v>
      </c>
      <c r="I377" s="10" t="s">
        <v>23</v>
      </c>
      <c r="J377" s="11">
        <v>1.7</v>
      </c>
      <c r="K377" s="12"/>
      <c r="L377" s="12">
        <f>SUM(J377:J390)</f>
        <v>18.3</v>
      </c>
      <c r="M377" s="13">
        <f>L377*65</f>
        <v>1189.5</v>
      </c>
      <c r="N377" s="14">
        <f>MAX(500,M377)</f>
        <v>1189.5</v>
      </c>
      <c r="O377" s="12"/>
      <c r="P377" s="12"/>
      <c r="Q377" s="12"/>
      <c r="R377" s="12"/>
      <c r="S377" s="12"/>
    </row>
    <row r="378" spans="1:19" ht="14.25" customHeight="1" x14ac:dyDescent="0.2">
      <c r="A378" s="1" t="s">
        <v>28</v>
      </c>
      <c r="B378" s="7">
        <v>46085.907152777778</v>
      </c>
      <c r="C378" s="7">
        <v>46085.921377314815</v>
      </c>
      <c r="D378" s="8">
        <v>46085</v>
      </c>
      <c r="E378" s="9">
        <v>0.92137731481489027</v>
      </c>
      <c r="F378" s="10" t="s">
        <v>522</v>
      </c>
      <c r="G378" s="10" t="s">
        <v>21</v>
      </c>
      <c r="H378" s="10" t="s">
        <v>523</v>
      </c>
      <c r="I378" s="10" t="s">
        <v>23</v>
      </c>
      <c r="J378" s="11">
        <v>1.96</v>
      </c>
      <c r="K378" s="12"/>
      <c r="L378" s="12"/>
      <c r="M378" s="12"/>
      <c r="N378" s="12"/>
      <c r="O378" s="12"/>
      <c r="P378" s="12"/>
      <c r="Q378" s="12"/>
      <c r="R378" s="12"/>
      <c r="S378" s="12"/>
    </row>
    <row r="379" spans="1:19" ht="14.25" customHeight="1" x14ac:dyDescent="0.2">
      <c r="A379" s="1" t="s">
        <v>19</v>
      </c>
      <c r="B379" s="7">
        <v>46085.900011574071</v>
      </c>
      <c r="C379" s="7">
        <v>46085.921863425923</v>
      </c>
      <c r="D379" s="8">
        <v>46085</v>
      </c>
      <c r="E379" s="9">
        <v>0.92186342592322035</v>
      </c>
      <c r="F379" s="10" t="s">
        <v>524</v>
      </c>
      <c r="G379" s="10" t="s">
        <v>26</v>
      </c>
      <c r="H379" s="10" t="s">
        <v>202</v>
      </c>
      <c r="I379" s="10" t="s">
        <v>23</v>
      </c>
      <c r="J379" s="11">
        <v>0.57999999999999996</v>
      </c>
      <c r="K379" s="12"/>
      <c r="L379" s="12"/>
      <c r="M379" s="12"/>
      <c r="N379" s="12"/>
      <c r="O379" s="12"/>
      <c r="P379" s="12"/>
      <c r="Q379" s="12"/>
      <c r="R379" s="12"/>
      <c r="S379" s="12"/>
    </row>
    <row r="380" spans="1:19" ht="14.25" customHeight="1" x14ac:dyDescent="0.2">
      <c r="A380" s="1" t="s">
        <v>42</v>
      </c>
      <c r="B380" s="7">
        <v>46085.901539351849</v>
      </c>
      <c r="C380" s="7">
        <v>46085.922164351854</v>
      </c>
      <c r="D380" s="8">
        <v>46085</v>
      </c>
      <c r="E380" s="9">
        <v>0.92216435185400769</v>
      </c>
      <c r="F380" s="10" t="s">
        <v>525</v>
      </c>
      <c r="G380" s="10" t="s">
        <v>26</v>
      </c>
      <c r="H380" s="10" t="s">
        <v>76</v>
      </c>
      <c r="I380" s="10" t="s">
        <v>23</v>
      </c>
      <c r="J380" s="11">
        <v>0.75</v>
      </c>
      <c r="K380" s="12"/>
      <c r="L380" s="12"/>
      <c r="M380" s="12"/>
      <c r="N380" s="12"/>
      <c r="O380" s="12"/>
      <c r="P380" s="12"/>
      <c r="Q380" s="12"/>
      <c r="R380" s="12"/>
      <c r="S380" s="12"/>
    </row>
    <row r="381" spans="1:19" ht="14.25" customHeight="1" x14ac:dyDescent="0.2">
      <c r="A381" s="1" t="s">
        <v>24</v>
      </c>
      <c r="B381" s="7">
        <v>46085.899884259263</v>
      </c>
      <c r="C381" s="7">
        <v>46085.926527777781</v>
      </c>
      <c r="D381" s="8">
        <v>46085</v>
      </c>
      <c r="E381" s="9">
        <v>0.92652777778130258</v>
      </c>
      <c r="F381" s="10" t="s">
        <v>526</v>
      </c>
      <c r="G381" s="10" t="s">
        <v>21</v>
      </c>
      <c r="H381" s="10" t="s">
        <v>71</v>
      </c>
      <c r="I381" s="10" t="s">
        <v>23</v>
      </c>
      <c r="J381" s="11">
        <v>1.05</v>
      </c>
      <c r="K381" s="12"/>
      <c r="L381" s="12"/>
      <c r="M381" s="12"/>
      <c r="N381" s="12"/>
      <c r="O381" s="12"/>
      <c r="P381" s="12"/>
      <c r="Q381" s="12"/>
      <c r="R381" s="12"/>
      <c r="S381" s="12"/>
    </row>
    <row r="382" spans="1:19" ht="14.25" customHeight="1" x14ac:dyDescent="0.2">
      <c r="A382" s="1" t="s">
        <v>19</v>
      </c>
      <c r="B382" s="7">
        <v>46085.895682870374</v>
      </c>
      <c r="C382" s="7">
        <v>46085.930150462962</v>
      </c>
      <c r="D382" s="8">
        <v>46085</v>
      </c>
      <c r="E382" s="9">
        <v>0.93015046296204673</v>
      </c>
      <c r="F382" s="10" t="s">
        <v>527</v>
      </c>
      <c r="G382" s="10" t="s">
        <v>21</v>
      </c>
      <c r="H382" s="10" t="s">
        <v>39</v>
      </c>
      <c r="I382" s="10" t="s">
        <v>23</v>
      </c>
      <c r="J382" s="11">
        <v>1.77</v>
      </c>
      <c r="K382" s="12"/>
      <c r="L382" s="12"/>
      <c r="M382" s="12"/>
      <c r="N382" s="12"/>
      <c r="O382" s="12"/>
      <c r="P382" s="12"/>
      <c r="Q382" s="12"/>
      <c r="R382" s="12"/>
      <c r="S382" s="12"/>
    </row>
    <row r="383" spans="1:19" ht="14.25" customHeight="1" x14ac:dyDescent="0.2">
      <c r="A383" s="1" t="s">
        <v>42</v>
      </c>
      <c r="B383" s="7">
        <v>46085.904074074075</v>
      </c>
      <c r="C383" s="7">
        <v>46085.934895833336</v>
      </c>
      <c r="D383" s="8">
        <v>46085</v>
      </c>
      <c r="E383" s="9">
        <v>0.93489583333575865</v>
      </c>
      <c r="F383" s="10" t="s">
        <v>528</v>
      </c>
      <c r="G383" s="10" t="s">
        <v>26</v>
      </c>
      <c r="H383" s="10" t="s">
        <v>56</v>
      </c>
      <c r="I383" s="10" t="s">
        <v>23</v>
      </c>
      <c r="J383" s="11">
        <v>0.73</v>
      </c>
      <c r="K383" s="12"/>
      <c r="L383" s="12"/>
      <c r="M383" s="12"/>
      <c r="N383" s="12"/>
      <c r="O383" s="12"/>
      <c r="P383" s="12"/>
      <c r="Q383" s="12"/>
      <c r="R383" s="12"/>
      <c r="S383" s="12"/>
    </row>
    <row r="384" spans="1:19" ht="14.25" customHeight="1" x14ac:dyDescent="0.2">
      <c r="A384" s="1" t="s">
        <v>24</v>
      </c>
      <c r="B384" s="7">
        <v>46085.920289351852</v>
      </c>
      <c r="C384" s="7">
        <v>46085.938078703701</v>
      </c>
      <c r="D384" s="8">
        <v>46085</v>
      </c>
      <c r="E384" s="9">
        <v>0.93807870370073942</v>
      </c>
      <c r="F384" s="10" t="s">
        <v>529</v>
      </c>
      <c r="G384" s="10" t="s">
        <v>21</v>
      </c>
      <c r="H384" s="10" t="s">
        <v>530</v>
      </c>
      <c r="I384" s="10" t="s">
        <v>23</v>
      </c>
      <c r="J384" s="11">
        <v>1.25</v>
      </c>
      <c r="K384" s="12"/>
      <c r="L384" s="12"/>
      <c r="M384" s="12"/>
      <c r="N384" s="12"/>
      <c r="O384" s="12"/>
      <c r="P384" s="12"/>
      <c r="Q384" s="12"/>
      <c r="R384" s="12"/>
      <c r="S384" s="12"/>
    </row>
    <row r="385" spans="1:19" ht="14.25" customHeight="1" x14ac:dyDescent="0.2">
      <c r="A385" s="1" t="s">
        <v>42</v>
      </c>
      <c r="B385" s="7">
        <v>46085.924756944441</v>
      </c>
      <c r="C385" s="7">
        <v>46085.941018518519</v>
      </c>
      <c r="D385" s="8">
        <v>46085</v>
      </c>
      <c r="E385" s="9">
        <v>0.94101851851883112</v>
      </c>
      <c r="F385" s="10" t="s">
        <v>531</v>
      </c>
      <c r="G385" s="10" t="s">
        <v>21</v>
      </c>
      <c r="H385" s="10" t="s">
        <v>97</v>
      </c>
      <c r="I385" s="10" t="s">
        <v>23</v>
      </c>
      <c r="J385" s="11">
        <v>1.77</v>
      </c>
      <c r="K385" s="12"/>
      <c r="L385" s="12"/>
      <c r="M385" s="12"/>
      <c r="N385" s="12"/>
      <c r="O385" s="12"/>
      <c r="P385" s="12"/>
      <c r="Q385" s="12"/>
      <c r="R385" s="12"/>
      <c r="S385" s="12"/>
    </row>
    <row r="386" spans="1:19" ht="14.25" customHeight="1" x14ac:dyDescent="0.2">
      <c r="A386" s="1" t="s">
        <v>24</v>
      </c>
      <c r="B386" s="7">
        <v>46085.932847222219</v>
      </c>
      <c r="C386" s="7">
        <v>46085.941365740742</v>
      </c>
      <c r="D386" s="8">
        <v>46085</v>
      </c>
      <c r="E386" s="9">
        <v>0.94136574074218515</v>
      </c>
      <c r="F386" s="10" t="s">
        <v>532</v>
      </c>
      <c r="G386" s="10" t="s">
        <v>21</v>
      </c>
      <c r="H386" s="10" t="s">
        <v>101</v>
      </c>
      <c r="I386" s="10" t="s">
        <v>23</v>
      </c>
      <c r="J386" s="11">
        <v>1.7</v>
      </c>
      <c r="K386" s="12"/>
      <c r="L386" s="12"/>
      <c r="M386" s="12"/>
      <c r="N386" s="12"/>
      <c r="O386" s="12"/>
      <c r="P386" s="12"/>
      <c r="Q386" s="12"/>
      <c r="R386" s="12"/>
      <c r="S386" s="12"/>
    </row>
    <row r="387" spans="1:19" ht="14.25" customHeight="1" x14ac:dyDescent="0.2">
      <c r="A387" s="1" t="s">
        <v>42</v>
      </c>
      <c r="B387" s="7">
        <v>46085.911770833336</v>
      </c>
      <c r="C387" s="7">
        <v>46085.941921296297</v>
      </c>
      <c r="D387" s="8">
        <v>46085</v>
      </c>
      <c r="E387" s="9">
        <v>0.94192129629664123</v>
      </c>
      <c r="F387" s="10" t="s">
        <v>533</v>
      </c>
      <c r="G387" s="10" t="s">
        <v>26</v>
      </c>
      <c r="H387" s="10" t="s">
        <v>56</v>
      </c>
      <c r="I387" s="10" t="s">
        <v>23</v>
      </c>
      <c r="J387" s="11">
        <v>0.73</v>
      </c>
      <c r="K387" s="12"/>
      <c r="L387" s="12"/>
      <c r="M387" s="12"/>
      <c r="N387" s="12"/>
      <c r="O387" s="12"/>
      <c r="P387" s="12"/>
      <c r="Q387" s="12"/>
      <c r="R387" s="12"/>
      <c r="S387" s="12"/>
    </row>
    <row r="388" spans="1:19" ht="14.25" customHeight="1" x14ac:dyDescent="0.2">
      <c r="A388" s="1" t="s">
        <v>19</v>
      </c>
      <c r="B388" s="7">
        <v>46085.920659722222</v>
      </c>
      <c r="C388" s="7">
        <v>46085.948437500003</v>
      </c>
      <c r="D388" s="8">
        <v>46085</v>
      </c>
      <c r="E388" s="9">
        <v>0.94843750000291038</v>
      </c>
      <c r="F388" s="10" t="s">
        <v>534</v>
      </c>
      <c r="G388" s="10" t="s">
        <v>21</v>
      </c>
      <c r="H388" s="10" t="s">
        <v>22</v>
      </c>
      <c r="I388" s="10" t="s">
        <v>23</v>
      </c>
      <c r="J388" s="11">
        <v>0.83</v>
      </c>
      <c r="K388" s="12"/>
      <c r="L388" s="12"/>
      <c r="M388" s="12"/>
      <c r="N388" s="12"/>
      <c r="O388" s="12"/>
      <c r="P388" s="12"/>
      <c r="Q388" s="12"/>
      <c r="R388" s="12"/>
      <c r="S388" s="12"/>
    </row>
    <row r="389" spans="1:19" ht="14.25" customHeight="1" x14ac:dyDescent="0.2">
      <c r="A389" s="1" t="s">
        <v>19</v>
      </c>
      <c r="B389" s="7">
        <v>46085.913043981483</v>
      </c>
      <c r="C389" s="7">
        <v>46085.94903935185</v>
      </c>
      <c r="D389" s="8">
        <v>46085</v>
      </c>
      <c r="E389" s="9">
        <v>0.94903935184993315</v>
      </c>
      <c r="F389" s="10" t="s">
        <v>535</v>
      </c>
      <c r="G389" s="10" t="s">
        <v>21</v>
      </c>
      <c r="H389" s="10" t="s">
        <v>467</v>
      </c>
      <c r="I389" s="10" t="s">
        <v>23</v>
      </c>
      <c r="J389" s="11">
        <v>2.75</v>
      </c>
      <c r="K389" s="12"/>
      <c r="L389" s="12"/>
      <c r="M389" s="12"/>
      <c r="N389" s="12"/>
      <c r="O389" s="12"/>
      <c r="P389" s="12"/>
      <c r="Q389" s="12"/>
      <c r="R389" s="12"/>
      <c r="S389" s="12"/>
    </row>
    <row r="390" spans="1:19" ht="14.25" customHeight="1" x14ac:dyDescent="0.2">
      <c r="A390" s="1" t="s">
        <v>42</v>
      </c>
      <c r="B390" s="7">
        <v>46085.923136574071</v>
      </c>
      <c r="C390" s="7">
        <v>46085.949652777781</v>
      </c>
      <c r="D390" s="8">
        <v>46085</v>
      </c>
      <c r="E390" s="9">
        <v>0.94965277778101154</v>
      </c>
      <c r="F390" s="10" t="s">
        <v>536</v>
      </c>
      <c r="G390" s="10" t="s">
        <v>26</v>
      </c>
      <c r="H390" s="10" t="s">
        <v>56</v>
      </c>
      <c r="I390" s="10" t="s">
        <v>23</v>
      </c>
      <c r="J390" s="11">
        <v>0.73</v>
      </c>
      <c r="K390" s="12"/>
      <c r="L390" s="12"/>
      <c r="M390" s="12"/>
      <c r="N390" s="12"/>
      <c r="O390" s="12"/>
      <c r="P390" s="12"/>
      <c r="Q390" s="12"/>
      <c r="R390" s="12"/>
      <c r="S390" s="12"/>
    </row>
    <row r="391" spans="1:19" ht="14.25" customHeight="1" x14ac:dyDescent="0.2">
      <c r="A391" s="1" t="s">
        <v>24</v>
      </c>
      <c r="B391" s="7">
        <v>46085.938842592594</v>
      </c>
      <c r="C391" s="7">
        <v>46085.962430555555</v>
      </c>
      <c r="D391" s="8">
        <v>46085</v>
      </c>
      <c r="E391" s="9">
        <v>0.96243055555532919</v>
      </c>
      <c r="F391" s="10" t="s">
        <v>537</v>
      </c>
      <c r="G391" s="10" t="s">
        <v>21</v>
      </c>
      <c r="H391" s="10" t="s">
        <v>248</v>
      </c>
      <c r="I391" s="10" t="s">
        <v>23</v>
      </c>
      <c r="J391" s="11">
        <v>2.15</v>
      </c>
      <c r="K391" s="12"/>
      <c r="L391" s="12">
        <f>SUM(J391:J407)</f>
        <v>17.430000000000003</v>
      </c>
      <c r="M391" s="13">
        <f>L391*65</f>
        <v>1132.9500000000003</v>
      </c>
      <c r="N391" s="14">
        <f>MAX(500,M391)</f>
        <v>1132.9500000000003</v>
      </c>
      <c r="O391" s="12"/>
      <c r="P391" s="12"/>
      <c r="Q391" s="12"/>
      <c r="R391" s="12"/>
      <c r="S391" s="12"/>
    </row>
    <row r="392" spans="1:19" ht="14.25" customHeight="1" x14ac:dyDescent="0.2">
      <c r="A392" s="1" t="s">
        <v>95</v>
      </c>
      <c r="B392" s="7">
        <v>46085.954027777778</v>
      </c>
      <c r="C392" s="7">
        <v>46085.963425925926</v>
      </c>
      <c r="D392" s="8">
        <v>46085</v>
      </c>
      <c r="E392" s="9">
        <v>0.96342592592554865</v>
      </c>
      <c r="F392" s="10" t="s">
        <v>538</v>
      </c>
      <c r="G392" s="10" t="s">
        <v>21</v>
      </c>
      <c r="H392" s="10" t="s">
        <v>110</v>
      </c>
      <c r="I392" s="10" t="s">
        <v>23</v>
      </c>
      <c r="J392" s="11">
        <v>0.83</v>
      </c>
      <c r="K392" s="12"/>
      <c r="L392" s="12"/>
      <c r="M392" s="12"/>
      <c r="N392" s="12"/>
      <c r="O392" s="12"/>
      <c r="P392" s="12"/>
      <c r="Q392" s="12"/>
      <c r="R392" s="12"/>
      <c r="S392" s="12"/>
    </row>
    <row r="393" spans="1:19" ht="14.25" customHeight="1" x14ac:dyDescent="0.2">
      <c r="A393" s="1" t="s">
        <v>24</v>
      </c>
      <c r="B393" s="7">
        <v>46085.955266203702</v>
      </c>
      <c r="C393" s="7">
        <v>46085.973020833335</v>
      </c>
      <c r="D393" s="8">
        <v>46085</v>
      </c>
      <c r="E393" s="9">
        <v>0.97302083333488554</v>
      </c>
      <c r="F393" s="10" t="s">
        <v>539</v>
      </c>
      <c r="G393" s="10" t="s">
        <v>21</v>
      </c>
      <c r="H393" s="10" t="s">
        <v>22</v>
      </c>
      <c r="I393" s="10" t="s">
        <v>23</v>
      </c>
      <c r="J393" s="11">
        <v>0.83</v>
      </c>
      <c r="K393" s="12"/>
      <c r="L393" s="12"/>
      <c r="M393" s="12"/>
      <c r="N393" s="12"/>
      <c r="O393" s="12"/>
      <c r="P393" s="12"/>
      <c r="Q393" s="12"/>
      <c r="R393" s="12"/>
      <c r="S393" s="12"/>
    </row>
    <row r="394" spans="1:19" ht="14.25" customHeight="1" x14ac:dyDescent="0.2">
      <c r="A394" s="1" t="s">
        <v>24</v>
      </c>
      <c r="B394" s="7">
        <v>46085.966886574075</v>
      </c>
      <c r="C394" s="7">
        <v>46085.979409722226</v>
      </c>
      <c r="D394" s="8">
        <v>46085</v>
      </c>
      <c r="E394" s="9">
        <v>0.97940972222568234</v>
      </c>
      <c r="F394" s="10" t="s">
        <v>540</v>
      </c>
      <c r="G394" s="10" t="s">
        <v>21</v>
      </c>
      <c r="H394" s="10" t="s">
        <v>22</v>
      </c>
      <c r="I394" s="10" t="s">
        <v>23</v>
      </c>
      <c r="J394" s="11">
        <v>0.83</v>
      </c>
      <c r="K394" s="12"/>
      <c r="L394" s="12"/>
      <c r="M394" s="12"/>
      <c r="N394" s="12"/>
      <c r="O394" s="12"/>
      <c r="P394" s="12"/>
      <c r="Q394" s="12"/>
      <c r="R394" s="12"/>
      <c r="S394" s="12"/>
    </row>
    <row r="395" spans="1:19" ht="14.25" customHeight="1" x14ac:dyDescent="0.2">
      <c r="A395" s="1" t="s">
        <v>28</v>
      </c>
      <c r="B395" s="7">
        <v>46085.968692129631</v>
      </c>
      <c r="C395" s="7">
        <v>46085.982488425929</v>
      </c>
      <c r="D395" s="8">
        <v>46085</v>
      </c>
      <c r="E395" s="9">
        <v>0.98248842592875008</v>
      </c>
      <c r="F395" s="10" t="s">
        <v>541</v>
      </c>
      <c r="G395" s="10" t="s">
        <v>21</v>
      </c>
      <c r="H395" s="10" t="s">
        <v>41</v>
      </c>
      <c r="I395" s="10" t="s">
        <v>23</v>
      </c>
      <c r="J395" s="11">
        <v>1.77</v>
      </c>
      <c r="K395" s="12"/>
      <c r="L395" s="12"/>
      <c r="M395" s="12"/>
      <c r="N395" s="12"/>
      <c r="O395" s="12"/>
      <c r="P395" s="12"/>
      <c r="Q395" s="12"/>
      <c r="R395" s="12"/>
      <c r="S395" s="12"/>
    </row>
    <row r="396" spans="1:19" ht="14.25" customHeight="1" x14ac:dyDescent="0.2">
      <c r="A396" s="1" t="s">
        <v>19</v>
      </c>
      <c r="B396" s="7">
        <v>46085.947974537034</v>
      </c>
      <c r="C396" s="7">
        <v>46085.983275462961</v>
      </c>
      <c r="D396" s="8">
        <v>46085</v>
      </c>
      <c r="E396" s="9">
        <v>0.98327546296059154</v>
      </c>
      <c r="F396" s="10" t="s">
        <v>542</v>
      </c>
      <c r="G396" s="10" t="s">
        <v>26</v>
      </c>
      <c r="H396" s="10" t="s">
        <v>251</v>
      </c>
      <c r="I396" s="10" t="s">
        <v>23</v>
      </c>
      <c r="J396" s="11">
        <v>0.62</v>
      </c>
      <c r="K396" s="12"/>
      <c r="L396" s="12"/>
      <c r="M396" s="12"/>
      <c r="N396" s="12"/>
      <c r="O396" s="12"/>
      <c r="P396" s="12"/>
      <c r="Q396" s="12"/>
      <c r="R396" s="12"/>
      <c r="S396" s="12"/>
    </row>
    <row r="397" spans="1:19" ht="14.25" customHeight="1" x14ac:dyDescent="0.2">
      <c r="A397" s="1" t="s">
        <v>42</v>
      </c>
      <c r="B397" s="7">
        <v>46085.957175925927</v>
      </c>
      <c r="C397" s="7">
        <v>46085.98369212963</v>
      </c>
      <c r="D397" s="8">
        <v>46085</v>
      </c>
      <c r="E397" s="9">
        <v>0.98369212963007158</v>
      </c>
      <c r="F397" s="10" t="s">
        <v>543</v>
      </c>
      <c r="G397" s="10" t="s">
        <v>26</v>
      </c>
      <c r="H397" s="10" t="s">
        <v>76</v>
      </c>
      <c r="I397" s="10" t="s">
        <v>23</v>
      </c>
      <c r="J397" s="11">
        <v>0.75</v>
      </c>
      <c r="K397" s="12"/>
      <c r="L397" s="12"/>
      <c r="M397" s="12"/>
      <c r="N397" s="12"/>
      <c r="O397" s="12"/>
      <c r="P397" s="12"/>
      <c r="Q397" s="12"/>
      <c r="R397" s="12"/>
      <c r="S397" s="12"/>
    </row>
    <row r="398" spans="1:19" ht="14.25" customHeight="1" x14ac:dyDescent="0.2">
      <c r="A398" s="1" t="s">
        <v>19</v>
      </c>
      <c r="B398" s="7">
        <v>46085.973391203705</v>
      </c>
      <c r="C398" s="7">
        <v>46085.986979166664</v>
      </c>
      <c r="D398" s="8">
        <v>46085</v>
      </c>
      <c r="E398" s="9">
        <v>0.98697916666424135</v>
      </c>
      <c r="F398" s="10" t="s">
        <v>544</v>
      </c>
      <c r="G398" s="10" t="s">
        <v>21</v>
      </c>
      <c r="H398" s="10" t="s">
        <v>268</v>
      </c>
      <c r="I398" s="10" t="s">
        <v>23</v>
      </c>
      <c r="J398" s="11">
        <v>1.35</v>
      </c>
      <c r="K398" s="12"/>
      <c r="L398" s="12"/>
      <c r="M398" s="12"/>
      <c r="N398" s="12"/>
      <c r="O398" s="12"/>
      <c r="P398" s="12"/>
      <c r="Q398" s="12"/>
      <c r="R398" s="12"/>
      <c r="S398" s="12"/>
    </row>
    <row r="399" spans="1:19" ht="14.25" customHeight="1" x14ac:dyDescent="0.2">
      <c r="A399" s="1" t="s">
        <v>95</v>
      </c>
      <c r="B399" s="7">
        <v>46085.974432870367</v>
      </c>
      <c r="C399" s="7">
        <v>46085.987199074072</v>
      </c>
      <c r="D399" s="8">
        <v>46085</v>
      </c>
      <c r="E399" s="9">
        <v>0.98719907407212304</v>
      </c>
      <c r="F399" s="10" t="s">
        <v>545</v>
      </c>
      <c r="G399" s="10" t="s">
        <v>21</v>
      </c>
      <c r="H399" s="10" t="s">
        <v>110</v>
      </c>
      <c r="I399" s="10" t="s">
        <v>23</v>
      </c>
      <c r="J399" s="11">
        <v>0.83</v>
      </c>
      <c r="K399" s="12"/>
      <c r="L399" s="12"/>
      <c r="M399" s="12"/>
      <c r="N399" s="12"/>
      <c r="O399" s="12"/>
      <c r="P399" s="12"/>
      <c r="Q399" s="12"/>
      <c r="R399" s="12"/>
      <c r="S399" s="12"/>
    </row>
    <row r="400" spans="1:19" ht="14.25" customHeight="1" x14ac:dyDescent="0.2">
      <c r="A400" s="1" t="s">
        <v>95</v>
      </c>
      <c r="B400" s="7">
        <v>46085.980115740742</v>
      </c>
      <c r="C400" s="7">
        <v>46085.992719907408</v>
      </c>
      <c r="D400" s="8">
        <v>46085</v>
      </c>
      <c r="E400" s="9">
        <v>0.99271990740817273</v>
      </c>
      <c r="F400" s="10" t="s">
        <v>546</v>
      </c>
      <c r="G400" s="10" t="s">
        <v>21</v>
      </c>
      <c r="H400" s="10" t="s">
        <v>52</v>
      </c>
      <c r="I400" s="10" t="s">
        <v>23</v>
      </c>
      <c r="J400" s="11">
        <v>0.98</v>
      </c>
      <c r="K400" s="12"/>
      <c r="L400" s="12"/>
      <c r="M400" s="12"/>
      <c r="N400" s="12"/>
      <c r="O400" s="12"/>
      <c r="P400" s="12"/>
      <c r="Q400" s="12"/>
      <c r="R400" s="12"/>
      <c r="S400" s="12"/>
    </row>
    <row r="401" spans="1:19" ht="14.25" customHeight="1" x14ac:dyDescent="0.2">
      <c r="A401" s="1" t="s">
        <v>95</v>
      </c>
      <c r="B401" s="7">
        <v>46085.958078703705</v>
      </c>
      <c r="C401" s="7">
        <v>46085.992928240739</v>
      </c>
      <c r="D401" s="8">
        <v>46085</v>
      </c>
      <c r="E401" s="9">
        <v>0.99292824073927477</v>
      </c>
      <c r="F401" s="10" t="s">
        <v>547</v>
      </c>
      <c r="G401" s="10" t="s">
        <v>21</v>
      </c>
      <c r="H401" s="10" t="s">
        <v>110</v>
      </c>
      <c r="I401" s="10" t="s">
        <v>23</v>
      </c>
      <c r="J401" s="11">
        <v>0.83</v>
      </c>
      <c r="K401" s="12"/>
      <c r="L401" s="12"/>
      <c r="M401" s="12"/>
      <c r="N401" s="12"/>
      <c r="O401" s="12"/>
      <c r="P401" s="12"/>
      <c r="Q401" s="12"/>
      <c r="R401" s="12"/>
      <c r="S401" s="12"/>
    </row>
    <row r="402" spans="1:19" ht="14.25" customHeight="1" x14ac:dyDescent="0.2">
      <c r="A402" s="1" t="s">
        <v>95</v>
      </c>
      <c r="B402" s="7">
        <v>46085.958078703705</v>
      </c>
      <c r="C402" s="7">
        <v>46085.99318287037</v>
      </c>
      <c r="D402" s="8">
        <v>46085</v>
      </c>
      <c r="E402" s="9">
        <v>0.99318287037021946</v>
      </c>
      <c r="F402" s="10" t="s">
        <v>548</v>
      </c>
      <c r="G402" s="10" t="s">
        <v>21</v>
      </c>
      <c r="H402" s="10" t="s">
        <v>52</v>
      </c>
      <c r="I402" s="10" t="s">
        <v>23</v>
      </c>
      <c r="J402" s="11">
        <v>0.98</v>
      </c>
      <c r="K402" s="12"/>
      <c r="L402" s="12"/>
      <c r="M402" s="12"/>
      <c r="N402" s="12"/>
      <c r="O402" s="12"/>
      <c r="P402" s="12"/>
      <c r="Q402" s="12"/>
      <c r="R402" s="12"/>
      <c r="S402" s="12"/>
    </row>
    <row r="403" spans="1:19" ht="14.25" customHeight="1" x14ac:dyDescent="0.2">
      <c r="A403" s="1" t="s">
        <v>28</v>
      </c>
      <c r="B403" s="7">
        <v>46085.975104166668</v>
      </c>
      <c r="C403" s="7">
        <v>46085.993449074071</v>
      </c>
      <c r="D403" s="8">
        <v>46085</v>
      </c>
      <c r="E403" s="9">
        <v>0.99344907407066785</v>
      </c>
      <c r="F403" s="10" t="s">
        <v>549</v>
      </c>
      <c r="G403" s="10" t="s">
        <v>21</v>
      </c>
      <c r="H403" s="10" t="s">
        <v>22</v>
      </c>
      <c r="I403" s="10" t="s">
        <v>23</v>
      </c>
      <c r="J403" s="11">
        <v>0.83</v>
      </c>
      <c r="K403" s="12"/>
      <c r="L403" s="12"/>
      <c r="M403" s="12"/>
      <c r="N403" s="12"/>
      <c r="O403" s="12"/>
      <c r="P403" s="12"/>
      <c r="Q403" s="12"/>
      <c r="R403" s="12"/>
      <c r="S403" s="12"/>
    </row>
    <row r="404" spans="1:19" ht="14.25" customHeight="1" x14ac:dyDescent="0.2">
      <c r="A404" s="1" t="s">
        <v>95</v>
      </c>
      <c r="B404" s="7">
        <v>46085.960960648146</v>
      </c>
      <c r="C404" s="7">
        <v>46085.993900462963</v>
      </c>
      <c r="D404" s="8">
        <v>46085</v>
      </c>
      <c r="E404" s="9">
        <v>0.99390046296321088</v>
      </c>
      <c r="F404" s="10" t="s">
        <v>550</v>
      </c>
      <c r="G404" s="10" t="s">
        <v>21</v>
      </c>
      <c r="H404" s="10" t="s">
        <v>551</v>
      </c>
      <c r="I404" s="10" t="s">
        <v>23</v>
      </c>
      <c r="J404" s="11">
        <v>1.06</v>
      </c>
      <c r="K404" s="12"/>
      <c r="L404" s="12"/>
      <c r="M404" s="12"/>
      <c r="N404" s="12"/>
      <c r="O404" s="12"/>
      <c r="P404" s="12"/>
      <c r="Q404" s="12"/>
      <c r="R404" s="12"/>
      <c r="S404" s="12"/>
    </row>
    <row r="405" spans="1:19" ht="14.25" customHeight="1" x14ac:dyDescent="0.2">
      <c r="A405" s="1" t="s">
        <v>28</v>
      </c>
      <c r="B405" s="7">
        <v>46085.977071759262</v>
      </c>
      <c r="C405" s="7">
        <v>46085.994155092594</v>
      </c>
      <c r="D405" s="8">
        <v>46085</v>
      </c>
      <c r="E405" s="9">
        <v>0.99415509259415558</v>
      </c>
      <c r="F405" s="10" t="s">
        <v>552</v>
      </c>
      <c r="G405" s="10" t="s">
        <v>21</v>
      </c>
      <c r="H405" s="10" t="s">
        <v>52</v>
      </c>
      <c r="I405" s="10" t="s">
        <v>23</v>
      </c>
      <c r="J405" s="11">
        <v>0.98</v>
      </c>
      <c r="K405" s="12"/>
      <c r="L405" s="12"/>
      <c r="M405" s="12"/>
      <c r="N405" s="12"/>
      <c r="O405" s="12"/>
      <c r="P405" s="12"/>
      <c r="Q405" s="12"/>
      <c r="R405" s="12"/>
      <c r="S405" s="12"/>
    </row>
    <row r="406" spans="1:19" ht="14.25" customHeight="1" x14ac:dyDescent="0.2">
      <c r="A406" s="1" t="s">
        <v>95</v>
      </c>
      <c r="B406" s="7">
        <v>46085.980115740742</v>
      </c>
      <c r="C406" s="7">
        <v>46085.994837962964</v>
      </c>
      <c r="D406" s="8">
        <v>46085</v>
      </c>
      <c r="E406" s="9">
        <v>0.994837962964084</v>
      </c>
      <c r="F406" s="10" t="s">
        <v>553</v>
      </c>
      <c r="G406" s="10" t="s">
        <v>21</v>
      </c>
      <c r="H406" s="10" t="s">
        <v>110</v>
      </c>
      <c r="I406" s="10" t="s">
        <v>23</v>
      </c>
      <c r="J406" s="11">
        <v>0.83</v>
      </c>
      <c r="K406" s="12"/>
      <c r="L406" s="12"/>
      <c r="M406" s="12"/>
      <c r="N406" s="12"/>
      <c r="O406" s="12"/>
      <c r="P406" s="12"/>
      <c r="Q406" s="12"/>
      <c r="R406" s="12"/>
      <c r="S406" s="12"/>
    </row>
    <row r="407" spans="1:19" ht="14.25" customHeight="1" x14ac:dyDescent="0.2">
      <c r="A407" s="1" t="s">
        <v>95</v>
      </c>
      <c r="B407" s="7">
        <v>46085.960960648146</v>
      </c>
      <c r="C407" s="7">
        <v>46085.995358796295</v>
      </c>
      <c r="D407" s="8">
        <v>46085</v>
      </c>
      <c r="E407" s="9">
        <v>0.99535879629547708</v>
      </c>
      <c r="F407" s="10" t="s">
        <v>554</v>
      </c>
      <c r="G407" s="10" t="s">
        <v>21</v>
      </c>
      <c r="H407" s="10" t="s">
        <v>412</v>
      </c>
      <c r="I407" s="10" t="s">
        <v>23</v>
      </c>
      <c r="J407" s="11">
        <v>0.98</v>
      </c>
      <c r="K407" s="12"/>
      <c r="L407" s="12"/>
      <c r="M407" s="12"/>
      <c r="N407" s="12"/>
      <c r="O407" s="12"/>
      <c r="P407" s="12"/>
      <c r="Q407" s="12"/>
      <c r="R407" s="12"/>
      <c r="S407" s="12"/>
    </row>
    <row r="408" spans="1:19" ht="14.25" customHeight="1" x14ac:dyDescent="0.2">
      <c r="A408" s="1" t="s">
        <v>24</v>
      </c>
      <c r="B408" s="7">
        <v>46085.981087962966</v>
      </c>
      <c r="C408" s="7">
        <v>46086.000636574077</v>
      </c>
      <c r="D408" s="8">
        <v>46086</v>
      </c>
      <c r="E408" s="9">
        <v>6.36574077361729E-4</v>
      </c>
      <c r="F408" s="10" t="s">
        <v>555</v>
      </c>
      <c r="G408" s="10" t="s">
        <v>21</v>
      </c>
      <c r="H408" s="10" t="s">
        <v>399</v>
      </c>
      <c r="I408" s="10" t="s">
        <v>23</v>
      </c>
      <c r="J408" s="11">
        <v>3.92</v>
      </c>
      <c r="K408" s="12"/>
      <c r="L408" s="12">
        <f>SUM(J408:J418)</f>
        <v>16.89</v>
      </c>
      <c r="M408" s="13">
        <f>L408*65</f>
        <v>1097.8500000000001</v>
      </c>
      <c r="N408" s="14">
        <f>MAX(500,M408)</f>
        <v>1097.8500000000001</v>
      </c>
      <c r="O408" s="12"/>
      <c r="P408" s="12"/>
      <c r="Q408" s="12"/>
      <c r="R408" s="12"/>
      <c r="S408" s="12"/>
    </row>
    <row r="409" spans="1:19" ht="14.25" customHeight="1" x14ac:dyDescent="0.2">
      <c r="A409" s="1" t="s">
        <v>24</v>
      </c>
      <c r="B409" s="7">
        <v>46085.965532407405</v>
      </c>
      <c r="C409" s="7">
        <v>46086.004953703705</v>
      </c>
      <c r="D409" s="8">
        <v>46086</v>
      </c>
      <c r="E409" s="9">
        <v>4.9537037048139609E-3</v>
      </c>
      <c r="F409" s="10" t="s">
        <v>556</v>
      </c>
      <c r="G409" s="10" t="s">
        <v>26</v>
      </c>
      <c r="H409" s="10" t="s">
        <v>205</v>
      </c>
      <c r="I409" s="10" t="s">
        <v>23</v>
      </c>
      <c r="J409" s="11">
        <v>0.57999999999999996</v>
      </c>
      <c r="K409" s="12"/>
      <c r="L409" s="12"/>
      <c r="M409" s="12"/>
      <c r="N409" s="12"/>
      <c r="O409" s="12"/>
      <c r="P409" s="12"/>
      <c r="Q409" s="12"/>
      <c r="R409" s="12"/>
      <c r="S409" s="12"/>
    </row>
    <row r="410" spans="1:19" ht="14.25" customHeight="1" x14ac:dyDescent="0.2">
      <c r="A410" s="1" t="s">
        <v>33</v>
      </c>
      <c r="B410" s="7">
        <v>46085.999780092592</v>
      </c>
      <c r="C410" s="7">
        <v>46086.005416666667</v>
      </c>
      <c r="D410" s="8">
        <v>46086</v>
      </c>
      <c r="E410" s="9">
        <v>5.4166666668606922E-3</v>
      </c>
      <c r="F410" s="10" t="s">
        <v>557</v>
      </c>
      <c r="G410" s="10" t="s">
        <v>44</v>
      </c>
      <c r="H410" s="10" t="s">
        <v>185</v>
      </c>
      <c r="I410" s="10" t="s">
        <v>23</v>
      </c>
      <c r="J410" s="11">
        <v>0.18</v>
      </c>
      <c r="K410" s="12"/>
      <c r="L410" s="12"/>
      <c r="M410" s="12"/>
      <c r="N410" s="12"/>
      <c r="O410" s="12"/>
      <c r="P410" s="12"/>
      <c r="Q410" s="12"/>
      <c r="R410" s="12"/>
      <c r="S410" s="12"/>
    </row>
    <row r="411" spans="1:19" ht="14.25" customHeight="1" x14ac:dyDescent="0.2">
      <c r="A411" s="1" t="s">
        <v>95</v>
      </c>
      <c r="B411" s="7">
        <v>46086.010138888887</v>
      </c>
      <c r="C411" s="7">
        <v>46086.017013888886</v>
      </c>
      <c r="D411" s="8">
        <v>46086</v>
      </c>
      <c r="E411" s="9">
        <v>1.7013888886140194E-2</v>
      </c>
      <c r="F411" s="10" t="s">
        <v>558</v>
      </c>
      <c r="G411" s="10" t="s">
        <v>21</v>
      </c>
      <c r="H411" s="10" t="s">
        <v>110</v>
      </c>
      <c r="I411" s="10" t="s">
        <v>23</v>
      </c>
      <c r="J411" s="11">
        <v>0.83</v>
      </c>
      <c r="K411" s="12"/>
      <c r="L411" s="12"/>
      <c r="M411" s="12"/>
      <c r="N411" s="12"/>
      <c r="O411" s="12"/>
      <c r="P411" s="12"/>
      <c r="Q411" s="12"/>
      <c r="R411" s="12"/>
      <c r="S411" s="12"/>
    </row>
    <row r="412" spans="1:19" ht="14.25" customHeight="1" x14ac:dyDescent="0.2">
      <c r="A412" s="1" t="s">
        <v>95</v>
      </c>
      <c r="B412" s="7">
        <v>46086.012280092589</v>
      </c>
      <c r="C412" s="7">
        <v>46086.017870370371</v>
      </c>
      <c r="D412" s="8">
        <v>46086</v>
      </c>
      <c r="E412" s="9">
        <v>1.7870370371383615E-2</v>
      </c>
      <c r="F412" s="10" t="s">
        <v>559</v>
      </c>
      <c r="G412" s="10" t="s">
        <v>21</v>
      </c>
      <c r="H412" s="10" t="s">
        <v>97</v>
      </c>
      <c r="I412" s="10" t="s">
        <v>23</v>
      </c>
      <c r="J412" s="11">
        <v>1.77</v>
      </c>
      <c r="K412" s="12"/>
      <c r="L412" s="12"/>
      <c r="M412" s="12"/>
      <c r="N412" s="12"/>
      <c r="O412" s="12"/>
      <c r="P412" s="12"/>
      <c r="Q412" s="12"/>
      <c r="R412" s="12"/>
      <c r="S412" s="12"/>
    </row>
    <row r="413" spans="1:19" ht="14.25" customHeight="1" x14ac:dyDescent="0.2">
      <c r="A413" s="1" t="s">
        <v>24</v>
      </c>
      <c r="B413" s="7">
        <v>46085.998483796298</v>
      </c>
      <c r="C413" s="7">
        <v>46086.018194444441</v>
      </c>
      <c r="D413" s="8">
        <v>46086</v>
      </c>
      <c r="E413" s="9">
        <v>1.8194444441178348E-2</v>
      </c>
      <c r="F413" s="10" t="s">
        <v>560</v>
      </c>
      <c r="G413" s="10" t="s">
        <v>21</v>
      </c>
      <c r="H413" s="10" t="s">
        <v>22</v>
      </c>
      <c r="I413" s="10" t="s">
        <v>23</v>
      </c>
      <c r="J413" s="11">
        <v>0.83</v>
      </c>
      <c r="K413" s="12"/>
      <c r="L413" s="12"/>
      <c r="M413" s="12"/>
      <c r="N413" s="12"/>
      <c r="O413" s="12"/>
      <c r="P413" s="12"/>
      <c r="Q413" s="12"/>
      <c r="R413" s="12"/>
      <c r="S413" s="12"/>
    </row>
    <row r="414" spans="1:19" ht="14.25" customHeight="1" x14ac:dyDescent="0.2">
      <c r="A414" s="1" t="s">
        <v>28</v>
      </c>
      <c r="B414" s="7">
        <v>46086.001689814817</v>
      </c>
      <c r="C414" s="7">
        <v>46086.026064814818</v>
      </c>
      <c r="D414" s="8">
        <v>46086</v>
      </c>
      <c r="E414" s="9">
        <v>2.6064814817800652E-2</v>
      </c>
      <c r="F414" s="10" t="s">
        <v>561</v>
      </c>
      <c r="G414" s="10" t="s">
        <v>26</v>
      </c>
      <c r="H414" s="10" t="s">
        <v>128</v>
      </c>
      <c r="I414" s="10" t="s">
        <v>23</v>
      </c>
      <c r="J414" s="11">
        <v>0.97</v>
      </c>
      <c r="K414" s="12"/>
      <c r="L414" s="12"/>
      <c r="M414" s="12"/>
      <c r="N414" s="12"/>
      <c r="O414" s="12"/>
      <c r="P414" s="12"/>
      <c r="Q414" s="12"/>
      <c r="R414" s="12"/>
      <c r="S414" s="12"/>
    </row>
    <row r="415" spans="1:19" ht="14.25" customHeight="1" x14ac:dyDescent="0.2">
      <c r="A415" s="1" t="s">
        <v>95</v>
      </c>
      <c r="B415" s="7">
        <v>46086.021203703705</v>
      </c>
      <c r="C415" s="7">
        <v>46086.029780092591</v>
      </c>
      <c r="D415" s="8">
        <v>46086</v>
      </c>
      <c r="E415" s="9">
        <v>2.9780092590954155E-2</v>
      </c>
      <c r="F415" s="10" t="s">
        <v>562</v>
      </c>
      <c r="G415" s="10" t="s">
        <v>21</v>
      </c>
      <c r="H415" s="10" t="s">
        <v>97</v>
      </c>
      <c r="I415" s="10" t="s">
        <v>23</v>
      </c>
      <c r="J415" s="11">
        <v>1.77</v>
      </c>
      <c r="K415" s="12"/>
      <c r="L415" s="12"/>
      <c r="M415" s="12"/>
      <c r="N415" s="12"/>
      <c r="O415" s="12"/>
      <c r="P415" s="12"/>
      <c r="Q415" s="12"/>
      <c r="R415" s="12"/>
      <c r="S415" s="12"/>
    </row>
    <row r="416" spans="1:19" ht="14.25" customHeight="1" x14ac:dyDescent="0.2">
      <c r="A416" s="1" t="s">
        <v>24</v>
      </c>
      <c r="B416" s="7">
        <v>46086.001493055555</v>
      </c>
      <c r="C416" s="7">
        <v>46086.035462962966</v>
      </c>
      <c r="D416" s="8">
        <v>46086</v>
      </c>
      <c r="E416" s="9">
        <v>3.5462962965539191E-2</v>
      </c>
      <c r="F416" s="10" t="s">
        <v>563</v>
      </c>
      <c r="G416" s="10" t="s">
        <v>21</v>
      </c>
      <c r="H416" s="10" t="s">
        <v>281</v>
      </c>
      <c r="I416" s="10" t="s">
        <v>23</v>
      </c>
      <c r="J416" s="11">
        <v>2.5</v>
      </c>
      <c r="K416" s="12"/>
      <c r="L416" s="12"/>
      <c r="M416" s="12"/>
      <c r="N416" s="12"/>
      <c r="O416" s="12"/>
      <c r="P416" s="12"/>
      <c r="Q416" s="12"/>
      <c r="R416" s="12"/>
      <c r="S416" s="12"/>
    </row>
    <row r="417" spans="1:19" ht="14.25" customHeight="1" x14ac:dyDescent="0.2">
      <c r="A417" s="1" t="s">
        <v>63</v>
      </c>
      <c r="B417" s="7">
        <v>46086.012256944443</v>
      </c>
      <c r="C417" s="7">
        <v>46086.035960648151</v>
      </c>
      <c r="D417" s="8">
        <v>46086</v>
      </c>
      <c r="E417" s="9">
        <v>3.5960648150648922E-2</v>
      </c>
      <c r="F417" s="10" t="s">
        <v>564</v>
      </c>
      <c r="G417" s="10" t="s">
        <v>21</v>
      </c>
      <c r="H417" s="10" t="s">
        <v>67</v>
      </c>
      <c r="I417" s="10" t="s">
        <v>23</v>
      </c>
      <c r="J417" s="11">
        <v>1.77</v>
      </c>
      <c r="K417" s="12"/>
      <c r="L417" s="12"/>
      <c r="M417" s="12"/>
      <c r="N417" s="12"/>
      <c r="O417" s="12"/>
      <c r="P417" s="12"/>
      <c r="Q417" s="12"/>
      <c r="R417" s="12"/>
      <c r="S417" s="12"/>
    </row>
    <row r="418" spans="1:19" ht="14.25" customHeight="1" x14ac:dyDescent="0.2">
      <c r="A418" s="1" t="s">
        <v>24</v>
      </c>
      <c r="B418" s="7">
        <v>46086.01934027778</v>
      </c>
      <c r="C418" s="7">
        <v>46086.037106481483</v>
      </c>
      <c r="D418" s="8">
        <v>46086</v>
      </c>
      <c r="E418" s="9">
        <v>3.7106481482624076E-2</v>
      </c>
      <c r="F418" s="10" t="s">
        <v>565</v>
      </c>
      <c r="G418" s="10" t="s">
        <v>21</v>
      </c>
      <c r="H418" s="10" t="s">
        <v>39</v>
      </c>
      <c r="I418" s="10" t="s">
        <v>23</v>
      </c>
      <c r="J418" s="11">
        <v>1.77</v>
      </c>
      <c r="K418" s="12"/>
      <c r="L418" s="12"/>
      <c r="M418" s="12"/>
      <c r="N418" s="12"/>
      <c r="O418" s="12"/>
      <c r="P418" s="12"/>
      <c r="Q418" s="12"/>
      <c r="R418" s="12"/>
      <c r="S418" s="12"/>
    </row>
    <row r="419" spans="1:19" ht="14.25" customHeight="1" x14ac:dyDescent="0.2">
      <c r="A419" s="1" t="s">
        <v>24</v>
      </c>
      <c r="B419" s="7">
        <v>46086.027638888889</v>
      </c>
      <c r="C419" s="7">
        <v>46086.041759259257</v>
      </c>
      <c r="D419" s="8">
        <v>46086</v>
      </c>
      <c r="E419" s="9">
        <v>4.1759259256650694E-2</v>
      </c>
      <c r="F419" s="10" t="s">
        <v>566</v>
      </c>
      <c r="G419" s="10" t="s">
        <v>21</v>
      </c>
      <c r="H419" s="10" t="s">
        <v>39</v>
      </c>
      <c r="I419" s="10" t="s">
        <v>23</v>
      </c>
      <c r="J419" s="11">
        <v>1.77</v>
      </c>
      <c r="K419" s="12"/>
      <c r="L419" s="12">
        <f>SUM(J419:J427)</f>
        <v>11.93</v>
      </c>
      <c r="M419" s="13">
        <f>L419*65</f>
        <v>775.44999999999993</v>
      </c>
      <c r="N419" s="14">
        <f>MAX(500,M419)</f>
        <v>775.44999999999993</v>
      </c>
      <c r="O419" s="12"/>
      <c r="P419" s="12"/>
      <c r="Q419" s="12"/>
      <c r="R419" s="12"/>
      <c r="S419" s="12"/>
    </row>
    <row r="420" spans="1:19" ht="14.25" customHeight="1" x14ac:dyDescent="0.2">
      <c r="A420" s="1" t="s">
        <v>19</v>
      </c>
      <c r="B420" s="7">
        <v>46086.019421296296</v>
      </c>
      <c r="C420" s="7">
        <v>46086.053842592592</v>
      </c>
      <c r="D420" s="8">
        <v>46086</v>
      </c>
      <c r="E420" s="9">
        <v>5.3842592591536231E-2</v>
      </c>
      <c r="F420" s="10" t="s">
        <v>567</v>
      </c>
      <c r="G420" s="10" t="s">
        <v>26</v>
      </c>
      <c r="H420" s="10" t="s">
        <v>251</v>
      </c>
      <c r="I420" s="10" t="s">
        <v>23</v>
      </c>
      <c r="J420" s="11">
        <v>0.62</v>
      </c>
      <c r="K420" s="12"/>
      <c r="L420" s="12"/>
      <c r="M420" s="12"/>
      <c r="N420" s="12"/>
      <c r="O420" s="12"/>
      <c r="P420" s="12"/>
      <c r="Q420" s="12"/>
      <c r="R420" s="12"/>
      <c r="S420" s="12"/>
    </row>
    <row r="421" spans="1:19" ht="14.25" customHeight="1" x14ac:dyDescent="0.2">
      <c r="A421" s="1" t="s">
        <v>95</v>
      </c>
      <c r="B421" s="7">
        <v>46086.048506944448</v>
      </c>
      <c r="C421" s="7">
        <v>46086.054305555554</v>
      </c>
      <c r="D421" s="8">
        <v>46086</v>
      </c>
      <c r="E421" s="9">
        <v>5.4305555553582963E-2</v>
      </c>
      <c r="F421" s="10" t="s">
        <v>568</v>
      </c>
      <c r="G421" s="10" t="s">
        <v>21</v>
      </c>
      <c r="H421" s="10" t="s">
        <v>97</v>
      </c>
      <c r="I421" s="10" t="s">
        <v>23</v>
      </c>
      <c r="J421" s="11">
        <v>1.77</v>
      </c>
      <c r="K421" s="12"/>
      <c r="L421" s="12"/>
      <c r="M421" s="12"/>
      <c r="N421" s="12"/>
      <c r="O421" s="12"/>
      <c r="P421" s="12"/>
      <c r="Q421" s="12"/>
      <c r="R421" s="12"/>
      <c r="S421" s="12"/>
    </row>
    <row r="422" spans="1:19" ht="14.25" customHeight="1" x14ac:dyDescent="0.2">
      <c r="A422" s="1" t="s">
        <v>24</v>
      </c>
      <c r="B422" s="7">
        <v>46086.04005787037</v>
      </c>
      <c r="C422" s="7">
        <v>46086.059583333335</v>
      </c>
      <c r="D422" s="8">
        <v>46086</v>
      </c>
      <c r="E422" s="9">
        <v>5.9583333335467614E-2</v>
      </c>
      <c r="F422" s="10" t="s">
        <v>569</v>
      </c>
      <c r="G422" s="10" t="s">
        <v>21</v>
      </c>
      <c r="H422" s="10" t="s">
        <v>523</v>
      </c>
      <c r="I422" s="10" t="s">
        <v>23</v>
      </c>
      <c r="J422" s="11">
        <v>1.96</v>
      </c>
      <c r="K422" s="12"/>
      <c r="L422" s="12"/>
      <c r="M422" s="12"/>
      <c r="N422" s="12"/>
      <c r="O422" s="12"/>
      <c r="P422" s="12"/>
      <c r="Q422" s="12"/>
      <c r="R422" s="12"/>
      <c r="S422" s="12"/>
    </row>
    <row r="423" spans="1:19" ht="14.25" customHeight="1" x14ac:dyDescent="0.2">
      <c r="A423" s="1" t="s">
        <v>19</v>
      </c>
      <c r="B423" s="7">
        <v>46086.047071759262</v>
      </c>
      <c r="C423" s="7">
        <v>46086.060208333336</v>
      </c>
      <c r="D423" s="8">
        <v>46086</v>
      </c>
      <c r="E423" s="9">
        <v>6.0208333336049691E-2</v>
      </c>
      <c r="F423" s="10" t="s">
        <v>570</v>
      </c>
      <c r="G423" s="10" t="s">
        <v>21</v>
      </c>
      <c r="H423" s="10" t="s">
        <v>22</v>
      </c>
      <c r="I423" s="10" t="s">
        <v>23</v>
      </c>
      <c r="J423" s="11">
        <v>0.83</v>
      </c>
      <c r="K423" s="12"/>
      <c r="L423" s="12"/>
      <c r="M423" s="12"/>
      <c r="N423" s="12"/>
      <c r="O423" s="12"/>
      <c r="P423" s="12"/>
      <c r="Q423" s="12"/>
      <c r="R423" s="12"/>
      <c r="S423" s="12"/>
    </row>
    <row r="424" spans="1:19" ht="14.25" customHeight="1" x14ac:dyDescent="0.2">
      <c r="A424" s="1" t="s">
        <v>95</v>
      </c>
      <c r="B424" s="7">
        <v>46086.055868055555</v>
      </c>
      <c r="C424" s="7">
        <v>46086.062858796293</v>
      </c>
      <c r="D424" s="8">
        <v>46086</v>
      </c>
      <c r="E424" s="9">
        <v>6.2858796292857733E-2</v>
      </c>
      <c r="F424" s="10" t="s">
        <v>571</v>
      </c>
      <c r="G424" s="10" t="s">
        <v>21</v>
      </c>
      <c r="H424" s="10" t="s">
        <v>110</v>
      </c>
      <c r="I424" s="10" t="s">
        <v>23</v>
      </c>
      <c r="J424" s="11">
        <v>0.83</v>
      </c>
      <c r="K424" s="12"/>
      <c r="L424" s="12"/>
      <c r="M424" s="12"/>
      <c r="N424" s="12"/>
      <c r="O424" s="12"/>
      <c r="P424" s="12"/>
      <c r="Q424" s="12"/>
      <c r="R424" s="12"/>
      <c r="S424" s="12"/>
    </row>
    <row r="425" spans="1:19" ht="14.25" customHeight="1" x14ac:dyDescent="0.2">
      <c r="A425" s="1" t="s">
        <v>95</v>
      </c>
      <c r="B425" s="7">
        <v>46086.053541666668</v>
      </c>
      <c r="C425" s="7">
        <v>46086.065960648149</v>
      </c>
      <c r="D425" s="8">
        <v>46086</v>
      </c>
      <c r="E425" s="9">
        <v>6.5960648149484769E-2</v>
      </c>
      <c r="F425" s="10" t="s">
        <v>572</v>
      </c>
      <c r="G425" s="10" t="s">
        <v>21</v>
      </c>
      <c r="H425" s="10" t="s">
        <v>97</v>
      </c>
      <c r="I425" s="10" t="s">
        <v>23</v>
      </c>
      <c r="J425" s="11">
        <v>1.77</v>
      </c>
      <c r="K425" s="12"/>
      <c r="L425" s="12"/>
      <c r="M425" s="12"/>
      <c r="N425" s="12"/>
      <c r="O425" s="12"/>
      <c r="P425" s="12"/>
      <c r="Q425" s="12"/>
      <c r="R425" s="12"/>
      <c r="S425" s="12"/>
    </row>
    <row r="426" spans="1:19" ht="14.25" customHeight="1" x14ac:dyDescent="0.2">
      <c r="A426" s="1" t="s">
        <v>95</v>
      </c>
      <c r="B426" s="7">
        <v>46086.056851851848</v>
      </c>
      <c r="C426" s="7">
        <v>46086.069490740738</v>
      </c>
      <c r="D426" s="8">
        <v>46086</v>
      </c>
      <c r="E426" s="9">
        <v>6.9490740737819578E-2</v>
      </c>
      <c r="F426" s="10" t="s">
        <v>573</v>
      </c>
      <c r="G426" s="10" t="s">
        <v>21</v>
      </c>
      <c r="H426" s="10" t="s">
        <v>108</v>
      </c>
      <c r="I426" s="10" t="s">
        <v>23</v>
      </c>
      <c r="J426" s="11">
        <v>1.7</v>
      </c>
      <c r="K426" s="12"/>
      <c r="L426" s="12"/>
      <c r="M426" s="12"/>
      <c r="N426" s="12"/>
      <c r="O426" s="12"/>
      <c r="P426" s="12"/>
      <c r="Q426" s="12"/>
      <c r="R426" s="12"/>
      <c r="S426" s="12"/>
    </row>
    <row r="427" spans="1:19" ht="14.25" customHeight="1" x14ac:dyDescent="0.2">
      <c r="A427" s="1" t="s">
        <v>24</v>
      </c>
      <c r="B427" s="7">
        <v>46086.065682870372</v>
      </c>
      <c r="C427" s="7">
        <v>46086.080833333333</v>
      </c>
      <c r="D427" s="8">
        <v>46086</v>
      </c>
      <c r="E427" s="9">
        <v>8.0833333333430346E-2</v>
      </c>
      <c r="F427" s="10" t="s">
        <v>574</v>
      </c>
      <c r="G427" s="10" t="s">
        <v>26</v>
      </c>
      <c r="H427" s="10" t="s">
        <v>27</v>
      </c>
      <c r="I427" s="10" t="s">
        <v>23</v>
      </c>
      <c r="J427" s="11">
        <v>0.68</v>
      </c>
      <c r="K427" s="12"/>
      <c r="L427" s="12"/>
      <c r="M427" s="12"/>
      <c r="N427" s="12"/>
      <c r="O427" s="12"/>
      <c r="P427" s="12"/>
      <c r="Q427" s="12"/>
      <c r="R427" s="12"/>
      <c r="S427" s="12"/>
    </row>
    <row r="428" spans="1:19" ht="14.25" customHeight="1" x14ac:dyDescent="0.2">
      <c r="A428" s="1" t="s">
        <v>42</v>
      </c>
      <c r="B428" s="7">
        <v>46086.059942129628</v>
      </c>
      <c r="C428" s="7">
        <v>46086.085416666669</v>
      </c>
      <c r="D428" s="8">
        <v>46086</v>
      </c>
      <c r="E428" s="9">
        <v>8.5416666668606922E-2</v>
      </c>
      <c r="F428" s="10" t="s">
        <v>575</v>
      </c>
      <c r="G428" s="10" t="s">
        <v>26</v>
      </c>
      <c r="H428" s="10" t="s">
        <v>56</v>
      </c>
      <c r="I428" s="10" t="s">
        <v>23</v>
      </c>
      <c r="J428" s="11">
        <v>0.73</v>
      </c>
      <c r="K428" s="12"/>
      <c r="L428" s="12">
        <f>SUM(J428:J434)</f>
        <v>5.2</v>
      </c>
      <c r="M428" s="13">
        <f>L428*65</f>
        <v>338</v>
      </c>
      <c r="N428" s="14">
        <f>MAX(500,M428)</f>
        <v>500</v>
      </c>
      <c r="O428" s="12"/>
      <c r="P428" s="12"/>
      <c r="Q428" s="12"/>
      <c r="R428" s="12"/>
      <c r="S428" s="12"/>
    </row>
    <row r="429" spans="1:19" ht="14.25" customHeight="1" x14ac:dyDescent="0.2">
      <c r="A429" s="1" t="s">
        <v>24</v>
      </c>
      <c r="B429" s="7">
        <v>46086.079652777778</v>
      </c>
      <c r="C429" s="7">
        <v>46086.094965277778</v>
      </c>
      <c r="D429" s="8">
        <v>46086</v>
      </c>
      <c r="E429" s="9">
        <v>9.4965277778101154E-2</v>
      </c>
      <c r="F429" s="10" t="s">
        <v>576</v>
      </c>
      <c r="G429" s="10" t="s">
        <v>21</v>
      </c>
      <c r="H429" s="10" t="s">
        <v>22</v>
      </c>
      <c r="I429" s="10" t="s">
        <v>23</v>
      </c>
      <c r="J429" s="11">
        <v>0.83</v>
      </c>
      <c r="K429" s="12"/>
      <c r="L429" s="12"/>
      <c r="M429" s="12"/>
      <c r="N429" s="12"/>
      <c r="O429" s="12"/>
      <c r="P429" s="12"/>
      <c r="Q429" s="12"/>
      <c r="R429" s="12"/>
      <c r="S429" s="12"/>
    </row>
    <row r="430" spans="1:19" ht="14.25" customHeight="1" x14ac:dyDescent="0.2">
      <c r="A430" s="1" t="s">
        <v>95</v>
      </c>
      <c r="B430" s="7">
        <v>46086.099965277775</v>
      </c>
      <c r="C430" s="7">
        <v>46086.102430555555</v>
      </c>
      <c r="D430" s="8">
        <v>46086</v>
      </c>
      <c r="E430" s="9">
        <v>0.10243055555474712</v>
      </c>
      <c r="F430" s="10" t="s">
        <v>577</v>
      </c>
      <c r="G430" s="10" t="s">
        <v>21</v>
      </c>
      <c r="H430" s="10" t="s">
        <v>110</v>
      </c>
      <c r="I430" s="10" t="s">
        <v>23</v>
      </c>
      <c r="J430" s="11">
        <v>0.83</v>
      </c>
      <c r="K430" s="12"/>
      <c r="L430" s="12"/>
      <c r="M430" s="12"/>
      <c r="N430" s="12"/>
      <c r="O430" s="12"/>
      <c r="P430" s="12"/>
      <c r="Q430" s="12"/>
      <c r="R430" s="12"/>
      <c r="S430" s="12"/>
    </row>
    <row r="431" spans="1:19" ht="14.25" customHeight="1" x14ac:dyDescent="0.2">
      <c r="A431" s="1" t="s">
        <v>24</v>
      </c>
      <c r="B431" s="7">
        <v>46086.080416666664</v>
      </c>
      <c r="C431" s="7">
        <v>46086.103425925925</v>
      </c>
      <c r="D431" s="8">
        <v>46086</v>
      </c>
      <c r="E431" s="9">
        <v>0.10342592592496658</v>
      </c>
      <c r="F431" s="10" t="s">
        <v>578</v>
      </c>
      <c r="G431" s="10" t="s">
        <v>26</v>
      </c>
      <c r="H431" s="10" t="s">
        <v>128</v>
      </c>
      <c r="I431" s="10" t="s">
        <v>23</v>
      </c>
      <c r="J431" s="11">
        <v>0.97</v>
      </c>
      <c r="K431" s="12"/>
      <c r="L431" s="12"/>
      <c r="M431" s="12"/>
      <c r="N431" s="12"/>
      <c r="O431" s="12"/>
      <c r="P431" s="12"/>
      <c r="Q431" s="12"/>
      <c r="R431" s="12"/>
      <c r="S431" s="12"/>
    </row>
    <row r="432" spans="1:19" ht="14.25" customHeight="1" x14ac:dyDescent="0.2">
      <c r="A432" s="1" t="s">
        <v>33</v>
      </c>
      <c r="B432" s="7">
        <v>46086.096018518518</v>
      </c>
      <c r="C432" s="7">
        <v>46086.106319444443</v>
      </c>
      <c r="D432" s="8">
        <v>46086</v>
      </c>
      <c r="E432" s="9">
        <v>0.10631944444321562</v>
      </c>
      <c r="F432" s="10" t="s">
        <v>579</v>
      </c>
      <c r="G432" s="10" t="s">
        <v>21</v>
      </c>
      <c r="H432" s="10" t="s">
        <v>22</v>
      </c>
      <c r="I432" s="10" t="s">
        <v>23</v>
      </c>
      <c r="J432" s="11">
        <v>0.83</v>
      </c>
      <c r="K432" s="12"/>
      <c r="L432" s="12"/>
      <c r="M432" s="12"/>
      <c r="N432" s="12"/>
      <c r="O432" s="12"/>
      <c r="P432" s="12"/>
      <c r="Q432" s="12"/>
      <c r="R432" s="12"/>
      <c r="S432" s="12"/>
    </row>
    <row r="433" spans="1:19" ht="14.25" customHeight="1" x14ac:dyDescent="0.2">
      <c r="A433" s="1" t="s">
        <v>57</v>
      </c>
      <c r="B433" s="7">
        <v>46086.092418981483</v>
      </c>
      <c r="C433" s="7">
        <v>46086.116435185184</v>
      </c>
      <c r="D433" s="8">
        <v>46086</v>
      </c>
      <c r="E433" s="9">
        <v>0.11643518518394558</v>
      </c>
      <c r="F433" s="10" t="s">
        <v>580</v>
      </c>
      <c r="G433" s="10" t="s">
        <v>21</v>
      </c>
      <c r="H433" s="10" t="s">
        <v>59</v>
      </c>
      <c r="I433" s="10" t="s">
        <v>23</v>
      </c>
      <c r="J433" s="11">
        <v>0.83</v>
      </c>
      <c r="K433" s="12"/>
      <c r="L433" s="12"/>
      <c r="M433" s="12"/>
      <c r="N433" s="12"/>
      <c r="O433" s="12"/>
      <c r="P433" s="12"/>
      <c r="Q433" s="12"/>
      <c r="R433" s="12"/>
      <c r="S433" s="12"/>
    </row>
    <row r="434" spans="1:19" ht="14.25" customHeight="1" x14ac:dyDescent="0.2">
      <c r="A434" s="1" t="s">
        <v>95</v>
      </c>
      <c r="B434" s="7">
        <v>46086.101134259261</v>
      </c>
      <c r="C434" s="7">
        <v>46086.116759259261</v>
      </c>
      <c r="D434" s="8">
        <v>46086</v>
      </c>
      <c r="E434" s="9">
        <v>0.11675925926101627</v>
      </c>
      <c r="F434" s="10" t="s">
        <v>581</v>
      </c>
      <c r="G434" s="10" t="s">
        <v>44</v>
      </c>
      <c r="H434" s="10" t="s">
        <v>45</v>
      </c>
      <c r="I434" s="10" t="s">
        <v>23</v>
      </c>
      <c r="J434" s="11">
        <v>0.18</v>
      </c>
      <c r="K434" s="12"/>
      <c r="L434" s="12"/>
      <c r="M434" s="12"/>
      <c r="N434" s="12"/>
      <c r="O434" s="12"/>
      <c r="P434" s="12"/>
      <c r="Q434" s="12"/>
      <c r="R434" s="12"/>
      <c r="S434" s="12"/>
    </row>
    <row r="435" spans="1:19" ht="14.25" customHeight="1" x14ac:dyDescent="0.2">
      <c r="A435" s="22" t="s">
        <v>24</v>
      </c>
      <c r="B435" s="23">
        <v>46085.867581018516</v>
      </c>
      <c r="C435" s="23">
        <v>46085.9065162037</v>
      </c>
      <c r="D435" s="24">
        <v>46085</v>
      </c>
      <c r="E435" s="25">
        <v>0.90651620370044839</v>
      </c>
      <c r="F435" s="22" t="s">
        <v>582</v>
      </c>
      <c r="G435" s="22" t="s">
        <v>21</v>
      </c>
      <c r="H435" s="22" t="s">
        <v>41</v>
      </c>
      <c r="I435" s="22" t="s">
        <v>583</v>
      </c>
      <c r="J435" s="26">
        <v>1.77</v>
      </c>
      <c r="K435" s="26"/>
      <c r="L435" s="26">
        <f>SUM(J435:J436)</f>
        <v>3.4699999999999998</v>
      </c>
      <c r="M435" s="13">
        <f>L435*65</f>
        <v>225.54999999999998</v>
      </c>
      <c r="N435" s="14">
        <f>MAX(500,M435)</f>
        <v>500</v>
      </c>
      <c r="O435" s="26"/>
      <c r="P435" s="26"/>
      <c r="Q435" s="26"/>
      <c r="R435" s="26"/>
      <c r="S435" s="26"/>
    </row>
    <row r="436" spans="1:19" ht="14.25" customHeight="1" x14ac:dyDescent="0.2">
      <c r="A436" s="22" t="s">
        <v>33</v>
      </c>
      <c r="B436" s="23">
        <v>46085.886018518519</v>
      </c>
      <c r="C436" s="23">
        <v>46085.916458333333</v>
      </c>
      <c r="D436" s="24">
        <v>46085</v>
      </c>
      <c r="E436" s="25">
        <v>0.91645833333313931</v>
      </c>
      <c r="F436" s="22" t="s">
        <v>584</v>
      </c>
      <c r="G436" s="22" t="s">
        <v>21</v>
      </c>
      <c r="H436" s="22" t="s">
        <v>101</v>
      </c>
      <c r="I436" s="22" t="s">
        <v>583</v>
      </c>
      <c r="J436" s="26">
        <v>1.7</v>
      </c>
      <c r="K436" s="26"/>
      <c r="L436" s="26"/>
      <c r="M436" s="26"/>
      <c r="N436" s="26"/>
      <c r="O436" s="26"/>
      <c r="P436" s="26"/>
      <c r="Q436" s="26"/>
      <c r="R436" s="26"/>
      <c r="S436" s="26"/>
    </row>
    <row r="437" spans="1:19" ht="14.25" customHeight="1" x14ac:dyDescent="0.2">
      <c r="A437" s="22" t="s">
        <v>24</v>
      </c>
      <c r="B437" s="23">
        <v>46085.908703703702</v>
      </c>
      <c r="C437" s="23">
        <v>46085.943078703705</v>
      </c>
      <c r="D437" s="24">
        <v>46085</v>
      </c>
      <c r="E437" s="25">
        <v>0.94307870370539604</v>
      </c>
      <c r="F437" s="22" t="s">
        <v>585</v>
      </c>
      <c r="G437" s="22" t="s">
        <v>21</v>
      </c>
      <c r="H437" s="22" t="s">
        <v>41</v>
      </c>
      <c r="I437" s="22" t="s">
        <v>583</v>
      </c>
      <c r="J437" s="26">
        <v>1.77</v>
      </c>
      <c r="K437" s="26"/>
      <c r="L437" s="26">
        <f>SUM(J437)</f>
        <v>1.77</v>
      </c>
      <c r="M437" s="13">
        <f t="shared" ref="M437:M438" si="2">L437*65</f>
        <v>115.05</v>
      </c>
      <c r="N437" s="14">
        <f t="shared" ref="N437:N438" si="3">MAX(500,M437)</f>
        <v>500</v>
      </c>
      <c r="O437" s="26"/>
      <c r="P437" s="26"/>
      <c r="Q437" s="26"/>
      <c r="R437" s="26"/>
      <c r="S437" s="26"/>
    </row>
    <row r="438" spans="1:19" ht="14.25" customHeight="1" x14ac:dyDescent="0.2">
      <c r="A438" s="22" t="s">
        <v>19</v>
      </c>
      <c r="B438" s="23">
        <v>46085.924201388887</v>
      </c>
      <c r="C438" s="23">
        <v>46085.962777777779</v>
      </c>
      <c r="D438" s="24">
        <v>46085</v>
      </c>
      <c r="E438" s="25">
        <v>0.96277777777868323</v>
      </c>
      <c r="F438" s="22" t="s">
        <v>586</v>
      </c>
      <c r="G438" s="22" t="s">
        <v>21</v>
      </c>
      <c r="H438" s="22" t="s">
        <v>409</v>
      </c>
      <c r="I438" s="22" t="s">
        <v>583</v>
      </c>
      <c r="J438" s="26">
        <v>2.9</v>
      </c>
      <c r="K438" s="26"/>
      <c r="L438" s="26">
        <f>SUM(J438:J443)</f>
        <v>6.8400000000000007</v>
      </c>
      <c r="M438" s="13">
        <f t="shared" si="2"/>
        <v>444.6</v>
      </c>
      <c r="N438" s="14">
        <f t="shared" si="3"/>
        <v>500</v>
      </c>
      <c r="O438" s="26"/>
      <c r="P438" s="26"/>
      <c r="Q438" s="26"/>
      <c r="R438" s="26"/>
      <c r="S438" s="26"/>
    </row>
    <row r="439" spans="1:19" ht="14.25" customHeight="1" x14ac:dyDescent="0.2">
      <c r="A439" s="22" t="s">
        <v>24</v>
      </c>
      <c r="B439" s="23">
        <v>46085.878287037034</v>
      </c>
      <c r="C439" s="23">
        <v>46085.967418981483</v>
      </c>
      <c r="D439" s="24">
        <v>46085</v>
      </c>
      <c r="E439" s="25">
        <v>0.96741898148320615</v>
      </c>
      <c r="F439" s="22" t="s">
        <v>587</v>
      </c>
      <c r="G439" s="22" t="s">
        <v>44</v>
      </c>
      <c r="H439" s="22" t="s">
        <v>185</v>
      </c>
      <c r="I439" s="22" t="s">
        <v>583</v>
      </c>
      <c r="J439" s="26">
        <v>0.18</v>
      </c>
      <c r="K439" s="26"/>
      <c r="L439" s="26"/>
      <c r="M439" s="26"/>
      <c r="N439" s="26"/>
      <c r="O439" s="26"/>
      <c r="P439" s="26"/>
      <c r="Q439" s="26"/>
      <c r="R439" s="26"/>
      <c r="S439" s="26"/>
    </row>
    <row r="440" spans="1:19" ht="14.25" customHeight="1" x14ac:dyDescent="0.2">
      <c r="A440" s="22" t="s">
        <v>24</v>
      </c>
      <c r="B440" s="23">
        <v>46085.853356481479</v>
      </c>
      <c r="C440" s="23">
        <v>46085.969085648147</v>
      </c>
      <c r="D440" s="24">
        <v>46085</v>
      </c>
      <c r="E440" s="25">
        <v>0.96908564814657439</v>
      </c>
      <c r="F440" s="22" t="s">
        <v>588</v>
      </c>
      <c r="G440" s="22" t="s">
        <v>44</v>
      </c>
      <c r="H440" s="22" t="s">
        <v>185</v>
      </c>
      <c r="I440" s="22" t="s">
        <v>583</v>
      </c>
      <c r="J440" s="26">
        <v>0.18</v>
      </c>
      <c r="K440" s="26"/>
      <c r="L440" s="26"/>
      <c r="M440" s="26"/>
      <c r="N440" s="26"/>
      <c r="O440" s="26"/>
      <c r="P440" s="26"/>
      <c r="Q440" s="26"/>
      <c r="R440" s="26"/>
      <c r="S440" s="26"/>
    </row>
    <row r="441" spans="1:19" ht="14.25" customHeight="1" x14ac:dyDescent="0.2">
      <c r="A441" s="22" t="s">
        <v>28</v>
      </c>
      <c r="B441" s="23">
        <v>46085.868090277778</v>
      </c>
      <c r="C441" s="23">
        <v>46085.972002314818</v>
      </c>
      <c r="D441" s="24">
        <v>46085</v>
      </c>
      <c r="E441" s="25">
        <v>0.97200231481838273</v>
      </c>
      <c r="F441" s="22" t="s">
        <v>589</v>
      </c>
      <c r="G441" s="22" t="s">
        <v>44</v>
      </c>
      <c r="H441" s="22" t="s">
        <v>185</v>
      </c>
      <c r="I441" s="22" t="s">
        <v>583</v>
      </c>
      <c r="J441" s="26">
        <v>0.18</v>
      </c>
      <c r="K441" s="26"/>
      <c r="L441" s="26"/>
      <c r="M441" s="26"/>
      <c r="N441" s="26"/>
      <c r="O441" s="26"/>
      <c r="P441" s="26"/>
      <c r="Q441" s="26"/>
      <c r="R441" s="26"/>
      <c r="S441" s="26"/>
    </row>
    <row r="442" spans="1:19" ht="14.25" customHeight="1" x14ac:dyDescent="0.2">
      <c r="A442" s="22" t="s">
        <v>24</v>
      </c>
      <c r="B442" s="23">
        <v>46085.957418981481</v>
      </c>
      <c r="C442" s="23">
        <v>46085.983553240738</v>
      </c>
      <c r="D442" s="24">
        <v>46085</v>
      </c>
      <c r="E442" s="25">
        <v>0.98355324073781958</v>
      </c>
      <c r="F442" s="22" t="s">
        <v>590</v>
      </c>
      <c r="G442" s="22" t="s">
        <v>21</v>
      </c>
      <c r="H442" s="22" t="s">
        <v>101</v>
      </c>
      <c r="I442" s="22" t="s">
        <v>583</v>
      </c>
      <c r="J442" s="26">
        <v>1.7</v>
      </c>
      <c r="K442" s="26"/>
      <c r="L442" s="26"/>
      <c r="M442" s="26"/>
      <c r="N442" s="26"/>
      <c r="O442" s="26"/>
      <c r="P442" s="26"/>
      <c r="Q442" s="26"/>
      <c r="R442" s="26"/>
      <c r="S442" s="26"/>
    </row>
    <row r="443" spans="1:19" ht="14.25" customHeight="1" x14ac:dyDescent="0.2">
      <c r="A443" s="22" t="s">
        <v>24</v>
      </c>
      <c r="B443" s="23">
        <v>46085.972071759257</v>
      </c>
      <c r="C443" s="23">
        <v>46085.996145833335</v>
      </c>
      <c r="D443" s="24">
        <v>46085</v>
      </c>
      <c r="E443" s="25">
        <v>0.9961458333345945</v>
      </c>
      <c r="F443" s="22" t="s">
        <v>591</v>
      </c>
      <c r="G443" s="22" t="s">
        <v>21</v>
      </c>
      <c r="H443" s="22" t="s">
        <v>101</v>
      </c>
      <c r="I443" s="22" t="s">
        <v>583</v>
      </c>
      <c r="J443" s="26">
        <v>1.7</v>
      </c>
      <c r="K443" s="26"/>
      <c r="L443" s="26"/>
      <c r="M443" s="26"/>
      <c r="N443" s="26"/>
      <c r="O443" s="26"/>
      <c r="P443" s="26"/>
      <c r="Q443" s="26"/>
      <c r="R443" s="26"/>
      <c r="S443" s="26"/>
    </row>
    <row r="444" spans="1:19" ht="14.25" customHeight="1" x14ac:dyDescent="0.2">
      <c r="A444" s="22" t="s">
        <v>28</v>
      </c>
      <c r="B444" s="23">
        <v>46085.955914351849</v>
      </c>
      <c r="C444" s="23">
        <v>46086.000011574077</v>
      </c>
      <c r="D444" s="24">
        <v>46086</v>
      </c>
      <c r="E444" s="25">
        <v>1.1574076779652387E-5</v>
      </c>
      <c r="F444" s="22" t="s">
        <v>592</v>
      </c>
      <c r="G444" s="22" t="s">
        <v>44</v>
      </c>
      <c r="H444" s="22" t="s">
        <v>48</v>
      </c>
      <c r="I444" s="22" t="s">
        <v>583</v>
      </c>
      <c r="J444" s="26">
        <v>0.21</v>
      </c>
      <c r="K444" s="26"/>
      <c r="L444" s="26">
        <f>SUM(J444:J452)</f>
        <v>5.1999999999999993</v>
      </c>
      <c r="M444" s="13">
        <f>L444*65</f>
        <v>337.99999999999994</v>
      </c>
      <c r="N444" s="14">
        <f>MAX(500,M444)</f>
        <v>500</v>
      </c>
      <c r="O444" s="26"/>
      <c r="P444" s="26"/>
      <c r="Q444" s="26"/>
      <c r="R444" s="26"/>
      <c r="S444" s="26"/>
    </row>
    <row r="445" spans="1:19" ht="14.25" customHeight="1" x14ac:dyDescent="0.2">
      <c r="A445" s="22" t="s">
        <v>33</v>
      </c>
      <c r="B445" s="23">
        <v>46085.95925925926</v>
      </c>
      <c r="C445" s="23">
        <v>46086.002141203702</v>
      </c>
      <c r="D445" s="24">
        <v>46086</v>
      </c>
      <c r="E445" s="25">
        <v>2.1412037021946162E-3</v>
      </c>
      <c r="F445" s="22" t="s">
        <v>593</v>
      </c>
      <c r="G445" s="22" t="s">
        <v>44</v>
      </c>
      <c r="H445" s="22" t="s">
        <v>185</v>
      </c>
      <c r="I445" s="22" t="s">
        <v>583</v>
      </c>
      <c r="J445" s="26">
        <v>0.18</v>
      </c>
      <c r="K445" s="26"/>
      <c r="L445" s="26"/>
      <c r="M445" s="26"/>
      <c r="N445" s="26"/>
      <c r="O445" s="26"/>
      <c r="P445" s="26"/>
      <c r="Q445" s="26"/>
      <c r="R445" s="26"/>
      <c r="S445" s="26"/>
    </row>
    <row r="446" spans="1:19" ht="14.25" customHeight="1" x14ac:dyDescent="0.2">
      <c r="A446" s="22" t="s">
        <v>24</v>
      </c>
      <c r="B446" s="23">
        <v>46085.990416666667</v>
      </c>
      <c r="C446" s="23">
        <v>46086.00917824074</v>
      </c>
      <c r="D446" s="24">
        <v>46086</v>
      </c>
      <c r="E446" s="25">
        <v>9.1782407398568466E-3</v>
      </c>
      <c r="F446" s="22" t="s">
        <v>594</v>
      </c>
      <c r="G446" s="22" t="s">
        <v>21</v>
      </c>
      <c r="H446" s="22" t="s">
        <v>22</v>
      </c>
      <c r="I446" s="22" t="s">
        <v>583</v>
      </c>
      <c r="J446" s="26">
        <v>0.83</v>
      </c>
      <c r="K446" s="26"/>
      <c r="L446" s="26"/>
      <c r="M446" s="26"/>
      <c r="N446" s="26"/>
      <c r="O446" s="26"/>
      <c r="P446" s="26"/>
      <c r="Q446" s="26"/>
      <c r="R446" s="26"/>
      <c r="S446" s="26"/>
    </row>
    <row r="447" spans="1:19" ht="14.25" customHeight="1" x14ac:dyDescent="0.2">
      <c r="A447" s="22" t="s">
        <v>19</v>
      </c>
      <c r="B447" s="23">
        <v>46085.870717592596</v>
      </c>
      <c r="C447" s="23">
        <v>46086.013495370367</v>
      </c>
      <c r="D447" s="24">
        <v>46086</v>
      </c>
      <c r="E447" s="25">
        <v>1.3495370367309079E-2</v>
      </c>
      <c r="F447" s="22" t="s">
        <v>595</v>
      </c>
      <c r="G447" s="22" t="s">
        <v>44</v>
      </c>
      <c r="H447" s="22" t="s">
        <v>185</v>
      </c>
      <c r="I447" s="22" t="s">
        <v>583</v>
      </c>
      <c r="J447" s="26">
        <v>0.18</v>
      </c>
      <c r="K447" s="26"/>
      <c r="L447" s="26"/>
      <c r="M447" s="26"/>
      <c r="N447" s="26"/>
      <c r="O447" s="26"/>
      <c r="P447" s="26"/>
      <c r="Q447" s="26"/>
      <c r="R447" s="26"/>
      <c r="S447" s="26"/>
    </row>
    <row r="448" spans="1:19" ht="14.25" customHeight="1" x14ac:dyDescent="0.2">
      <c r="A448" s="22" t="s">
        <v>95</v>
      </c>
      <c r="B448" s="23">
        <v>46085.999166666668</v>
      </c>
      <c r="C448" s="23">
        <v>46086.023680555554</v>
      </c>
      <c r="D448" s="24">
        <v>46086</v>
      </c>
      <c r="E448" s="25">
        <v>2.3680555554165039E-2</v>
      </c>
      <c r="F448" s="22" t="s">
        <v>596</v>
      </c>
      <c r="G448" s="22" t="s">
        <v>21</v>
      </c>
      <c r="H448" s="22" t="s">
        <v>216</v>
      </c>
      <c r="I448" s="22" t="s">
        <v>583</v>
      </c>
      <c r="J448" s="26">
        <v>0.98</v>
      </c>
      <c r="K448" s="26"/>
      <c r="L448" s="26"/>
      <c r="M448" s="26"/>
      <c r="N448" s="26"/>
      <c r="O448" s="26"/>
      <c r="P448" s="26"/>
      <c r="Q448" s="26"/>
      <c r="R448" s="26"/>
      <c r="S448" s="26"/>
    </row>
    <row r="449" spans="1:19" ht="14.25" customHeight="1" x14ac:dyDescent="0.2">
      <c r="A449" s="22" t="s">
        <v>95</v>
      </c>
      <c r="B449" s="23">
        <v>46085.999166666668</v>
      </c>
      <c r="C449" s="23">
        <v>46086.023680555554</v>
      </c>
      <c r="D449" s="24">
        <v>46086</v>
      </c>
      <c r="E449" s="25">
        <v>2.3680555554165039E-2</v>
      </c>
      <c r="F449" s="22" t="s">
        <v>597</v>
      </c>
      <c r="G449" s="22" t="s">
        <v>21</v>
      </c>
      <c r="H449" s="22" t="s">
        <v>598</v>
      </c>
      <c r="I449" s="22" t="s">
        <v>583</v>
      </c>
      <c r="J449" s="26">
        <v>0.98</v>
      </c>
      <c r="K449" s="26"/>
      <c r="L449" s="26"/>
      <c r="M449" s="26"/>
      <c r="N449" s="26"/>
      <c r="O449" s="26"/>
      <c r="P449" s="26"/>
      <c r="Q449" s="26"/>
      <c r="R449" s="26"/>
      <c r="S449" s="26"/>
    </row>
    <row r="450" spans="1:19" ht="14.25" customHeight="1" x14ac:dyDescent="0.2">
      <c r="A450" s="22" t="s">
        <v>95</v>
      </c>
      <c r="B450" s="23">
        <v>46086.020821759259</v>
      </c>
      <c r="C450" s="23">
        <v>46086.029560185183</v>
      </c>
      <c r="D450" s="24">
        <v>46086</v>
      </c>
      <c r="E450" s="25">
        <v>2.9560185183072463E-2</v>
      </c>
      <c r="F450" s="22" t="s">
        <v>599</v>
      </c>
      <c r="G450" s="22" t="s">
        <v>21</v>
      </c>
      <c r="H450" s="22" t="s">
        <v>110</v>
      </c>
      <c r="I450" s="22" t="s">
        <v>583</v>
      </c>
      <c r="J450" s="26">
        <v>0.83</v>
      </c>
      <c r="K450" s="26"/>
      <c r="L450" s="26"/>
      <c r="M450" s="26"/>
      <c r="N450" s="26"/>
      <c r="O450" s="26"/>
      <c r="P450" s="26"/>
      <c r="Q450" s="26"/>
      <c r="R450" s="26"/>
      <c r="S450" s="26"/>
    </row>
    <row r="451" spans="1:19" ht="14.25" customHeight="1" x14ac:dyDescent="0.2">
      <c r="A451" s="22" t="s">
        <v>24</v>
      </c>
      <c r="B451" s="23">
        <v>46086.012499999997</v>
      </c>
      <c r="C451" s="23">
        <v>46086.037685185183</v>
      </c>
      <c r="D451" s="24">
        <v>46086</v>
      </c>
      <c r="E451" s="25">
        <v>3.7685185183363501E-2</v>
      </c>
      <c r="F451" s="22" t="s">
        <v>600</v>
      </c>
      <c r="G451" s="22" t="s">
        <v>21</v>
      </c>
      <c r="H451" s="22" t="s">
        <v>22</v>
      </c>
      <c r="I451" s="22" t="s">
        <v>583</v>
      </c>
      <c r="J451" s="26">
        <v>0.83</v>
      </c>
      <c r="K451" s="26"/>
      <c r="L451" s="26"/>
      <c r="M451" s="26"/>
      <c r="N451" s="26"/>
      <c r="O451" s="26"/>
      <c r="P451" s="26"/>
      <c r="Q451" s="26"/>
      <c r="R451" s="26"/>
      <c r="S451" s="26"/>
    </row>
    <row r="452" spans="1:19" ht="14.25" customHeight="1" x14ac:dyDescent="0.2">
      <c r="A452" s="22" t="s">
        <v>19</v>
      </c>
      <c r="B452" s="23">
        <v>46086.014340277776</v>
      </c>
      <c r="C452" s="23">
        <v>46086.040023148147</v>
      </c>
      <c r="D452" s="24">
        <v>46086</v>
      </c>
      <c r="E452" s="25">
        <v>4.0023148147156462E-2</v>
      </c>
      <c r="F452" s="22" t="s">
        <v>601</v>
      </c>
      <c r="G452" s="22" t="s">
        <v>44</v>
      </c>
      <c r="H452" s="22" t="s">
        <v>185</v>
      </c>
      <c r="I452" s="22" t="s">
        <v>583</v>
      </c>
      <c r="J452" s="26">
        <v>0.18</v>
      </c>
      <c r="K452" s="26"/>
      <c r="L452" s="26"/>
      <c r="M452" s="26"/>
      <c r="N452" s="26"/>
      <c r="O452" s="26"/>
      <c r="P452" s="26"/>
      <c r="Q452" s="26"/>
      <c r="R452" s="26"/>
      <c r="S452" s="26"/>
    </row>
    <row r="453" spans="1:19" ht="14.25" customHeight="1" x14ac:dyDescent="0.2">
      <c r="A453" s="22" t="s">
        <v>24</v>
      </c>
      <c r="B453" s="23">
        <v>46085.890972222223</v>
      </c>
      <c r="C453" s="23">
        <v>46086.041967592595</v>
      </c>
      <c r="D453" s="24">
        <v>46086</v>
      </c>
      <c r="E453" s="25">
        <v>4.1967592595028691E-2</v>
      </c>
      <c r="F453" s="22" t="s">
        <v>602</v>
      </c>
      <c r="G453" s="22" t="s">
        <v>44</v>
      </c>
      <c r="H453" s="22" t="s">
        <v>603</v>
      </c>
      <c r="I453" s="22" t="s">
        <v>583</v>
      </c>
      <c r="J453" s="26">
        <v>0.37</v>
      </c>
      <c r="K453" s="26"/>
      <c r="L453" s="26">
        <f>SUM(J453)</f>
        <v>0.37</v>
      </c>
      <c r="M453" s="13">
        <f t="shared" ref="M453:M454" si="4">L453*65</f>
        <v>24.05</v>
      </c>
      <c r="N453" s="14">
        <f t="shared" ref="N453:N454" si="5">MAX(500,M453)</f>
        <v>500</v>
      </c>
      <c r="O453" s="26"/>
      <c r="P453" s="26"/>
      <c r="Q453" s="26"/>
      <c r="R453" s="26"/>
      <c r="S453" s="26"/>
    </row>
    <row r="454" spans="1:19" ht="14.25" customHeight="1" x14ac:dyDescent="0.2">
      <c r="A454" s="22" t="s">
        <v>57</v>
      </c>
      <c r="B454" s="23">
        <v>46086.854988425926</v>
      </c>
      <c r="C454" s="23">
        <v>46086.881550925929</v>
      </c>
      <c r="D454" s="24">
        <v>46086</v>
      </c>
      <c r="E454" s="25">
        <v>0.88155092592933215</v>
      </c>
      <c r="F454" s="22" t="s">
        <v>604</v>
      </c>
      <c r="G454" s="22" t="s">
        <v>21</v>
      </c>
      <c r="H454" s="22" t="s">
        <v>59</v>
      </c>
      <c r="I454" s="22" t="s">
        <v>583</v>
      </c>
      <c r="J454" s="26">
        <v>0.83</v>
      </c>
      <c r="K454" s="26"/>
      <c r="L454" s="26">
        <f>SUM(J454:J458)</f>
        <v>5.2899999999999991</v>
      </c>
      <c r="M454" s="13">
        <f t="shared" si="4"/>
        <v>343.84999999999997</v>
      </c>
      <c r="N454" s="14">
        <f t="shared" si="5"/>
        <v>500</v>
      </c>
      <c r="O454" s="26"/>
      <c r="P454" s="26"/>
      <c r="Q454" s="26"/>
      <c r="R454" s="26"/>
      <c r="S454" s="26"/>
    </row>
    <row r="455" spans="1:19" ht="14.25" customHeight="1" x14ac:dyDescent="0.2">
      <c r="A455" s="22" t="s">
        <v>57</v>
      </c>
      <c r="B455" s="23">
        <v>46086.878182870372</v>
      </c>
      <c r="C455" s="23">
        <v>46086.883449074077</v>
      </c>
      <c r="D455" s="24">
        <v>46086</v>
      </c>
      <c r="E455" s="25">
        <v>0.88344907407736173</v>
      </c>
      <c r="F455" s="22" t="s">
        <v>605</v>
      </c>
      <c r="G455" s="22" t="s">
        <v>44</v>
      </c>
      <c r="H455" s="22" t="s">
        <v>606</v>
      </c>
      <c r="I455" s="22" t="s">
        <v>583</v>
      </c>
      <c r="J455" s="26">
        <v>0.18</v>
      </c>
      <c r="K455" s="26"/>
      <c r="L455" s="26"/>
      <c r="M455" s="26"/>
      <c r="N455" s="26"/>
      <c r="O455" s="26"/>
      <c r="P455" s="26"/>
      <c r="Q455" s="26"/>
      <c r="R455" s="26"/>
      <c r="S455" s="26"/>
    </row>
    <row r="456" spans="1:19" ht="14.25" customHeight="1" x14ac:dyDescent="0.2">
      <c r="A456" s="22" t="s">
        <v>19</v>
      </c>
      <c r="B456" s="23">
        <v>46086.853263888886</v>
      </c>
      <c r="C456" s="23">
        <v>46086.887418981481</v>
      </c>
      <c r="D456" s="24">
        <v>46086</v>
      </c>
      <c r="E456" s="25">
        <v>0.88741898148145992</v>
      </c>
      <c r="F456" s="22" t="s">
        <v>607</v>
      </c>
      <c r="G456" s="22" t="s">
        <v>44</v>
      </c>
      <c r="H456" s="22" t="s">
        <v>185</v>
      </c>
      <c r="I456" s="22" t="s">
        <v>583</v>
      </c>
      <c r="J456" s="26">
        <v>0.18</v>
      </c>
      <c r="K456" s="26"/>
      <c r="L456" s="26"/>
      <c r="M456" s="26"/>
      <c r="N456" s="26"/>
      <c r="O456" s="26"/>
      <c r="P456" s="26"/>
      <c r="Q456" s="26"/>
      <c r="R456" s="26"/>
      <c r="S456" s="26"/>
    </row>
    <row r="457" spans="1:19" ht="14.25" customHeight="1" x14ac:dyDescent="0.2">
      <c r="A457" s="22" t="s">
        <v>24</v>
      </c>
      <c r="B457" s="23">
        <v>46086.845752314817</v>
      </c>
      <c r="C457" s="23">
        <v>46086.912766203706</v>
      </c>
      <c r="D457" s="24">
        <v>46086</v>
      </c>
      <c r="E457" s="25">
        <v>0.91276620370626915</v>
      </c>
      <c r="F457" s="22" t="s">
        <v>608</v>
      </c>
      <c r="G457" s="22" t="s">
        <v>21</v>
      </c>
      <c r="H457" s="22" t="s">
        <v>399</v>
      </c>
      <c r="I457" s="22" t="s">
        <v>583</v>
      </c>
      <c r="J457" s="26">
        <v>3.92</v>
      </c>
      <c r="K457" s="26"/>
      <c r="L457" s="26"/>
      <c r="M457" s="26"/>
      <c r="N457" s="26"/>
      <c r="O457" s="26"/>
      <c r="P457" s="26"/>
      <c r="Q457" s="26"/>
      <c r="R457" s="26"/>
      <c r="S457" s="26"/>
    </row>
    <row r="458" spans="1:19" ht="14.25" customHeight="1" x14ac:dyDescent="0.2">
      <c r="A458" s="22" t="s">
        <v>28</v>
      </c>
      <c r="B458" s="23">
        <v>46086.894120370373</v>
      </c>
      <c r="C458" s="23">
        <v>46086.915011574078</v>
      </c>
      <c r="D458" s="24">
        <v>46086</v>
      </c>
      <c r="E458" s="25">
        <v>0.91501157407765277</v>
      </c>
      <c r="F458" s="22" t="s">
        <v>609</v>
      </c>
      <c r="G458" s="22" t="s">
        <v>44</v>
      </c>
      <c r="H458" s="22" t="s">
        <v>185</v>
      </c>
      <c r="I458" s="22" t="s">
        <v>583</v>
      </c>
      <c r="J458" s="26">
        <v>0.18</v>
      </c>
      <c r="K458" s="26"/>
      <c r="L458" s="26"/>
      <c r="M458" s="26"/>
      <c r="N458" s="26"/>
      <c r="O458" s="26"/>
      <c r="P458" s="26"/>
      <c r="Q458" s="26"/>
      <c r="R458" s="26"/>
      <c r="S458" s="26"/>
    </row>
    <row r="459" spans="1:19" ht="14.25" customHeight="1" x14ac:dyDescent="0.2">
      <c r="A459" s="22" t="s">
        <v>24</v>
      </c>
      <c r="B459" s="23">
        <v>46086.937106481484</v>
      </c>
      <c r="C459" s="23">
        <v>46086.964861111112</v>
      </c>
      <c r="D459" s="24">
        <v>46086</v>
      </c>
      <c r="E459" s="25">
        <v>0.9648611111115315</v>
      </c>
      <c r="F459" s="22" t="s">
        <v>610</v>
      </c>
      <c r="G459" s="22" t="s">
        <v>21</v>
      </c>
      <c r="H459" s="22" t="s">
        <v>41</v>
      </c>
      <c r="I459" s="22" t="s">
        <v>583</v>
      </c>
      <c r="J459" s="26">
        <v>1.77</v>
      </c>
      <c r="K459" s="26"/>
      <c r="L459" s="26">
        <f>SUM(J459)</f>
        <v>1.77</v>
      </c>
      <c r="M459" s="13">
        <f t="shared" ref="M459:M460" si="6">L459*65</f>
        <v>115.05</v>
      </c>
      <c r="N459" s="14">
        <f t="shared" ref="N459:N460" si="7">MAX(500,M459)</f>
        <v>500</v>
      </c>
      <c r="O459" s="26"/>
      <c r="P459" s="26"/>
      <c r="Q459" s="26"/>
      <c r="R459" s="26"/>
      <c r="S459" s="26"/>
    </row>
    <row r="460" spans="1:19" ht="14.25" customHeight="1" x14ac:dyDescent="0.2">
      <c r="A460" s="1" t="s">
        <v>33</v>
      </c>
      <c r="B460" s="7">
        <v>46086.115706018521</v>
      </c>
      <c r="C460" s="7">
        <v>46086.125914351855</v>
      </c>
      <c r="D460" s="8">
        <v>46086</v>
      </c>
      <c r="E460" s="9">
        <v>0.12591435185458977</v>
      </c>
      <c r="F460" s="10" t="s">
        <v>611</v>
      </c>
      <c r="G460" s="10" t="s">
        <v>21</v>
      </c>
      <c r="H460" s="10" t="s">
        <v>22</v>
      </c>
      <c r="I460" s="10" t="s">
        <v>23</v>
      </c>
      <c r="J460" s="11">
        <v>0.83</v>
      </c>
      <c r="K460" s="12">
        <f>SUM(J460:J475)</f>
        <v>17.239999999999998</v>
      </c>
      <c r="L460" s="12">
        <f>SUM(J460:J464)</f>
        <v>5.4499999999999993</v>
      </c>
      <c r="M460" s="13">
        <f t="shared" si="6"/>
        <v>354.24999999999994</v>
      </c>
      <c r="N460" s="14">
        <f t="shared" si="7"/>
        <v>500</v>
      </c>
      <c r="O460" s="12"/>
      <c r="P460" s="12"/>
      <c r="Q460" s="12"/>
      <c r="R460" s="12"/>
      <c r="S460" s="12"/>
    </row>
    <row r="461" spans="1:19" ht="14.25" customHeight="1" x14ac:dyDescent="0.2">
      <c r="A461" s="1" t="s">
        <v>33</v>
      </c>
      <c r="B461" s="7">
        <v>46086.115706018521</v>
      </c>
      <c r="C461" s="7">
        <v>46086.126273148147</v>
      </c>
      <c r="D461" s="8">
        <v>46086</v>
      </c>
      <c r="E461" s="9">
        <v>0.1262731481474475</v>
      </c>
      <c r="F461" s="10" t="s">
        <v>612</v>
      </c>
      <c r="G461" s="10" t="s">
        <v>21</v>
      </c>
      <c r="H461" s="10" t="s">
        <v>71</v>
      </c>
      <c r="I461" s="10" t="s">
        <v>23</v>
      </c>
      <c r="J461" s="11">
        <v>1.05</v>
      </c>
      <c r="K461" s="12"/>
      <c r="L461" s="12"/>
      <c r="M461" s="12"/>
      <c r="N461" s="12"/>
      <c r="O461" s="12"/>
      <c r="P461" s="12"/>
      <c r="Q461" s="12"/>
      <c r="R461" s="12"/>
      <c r="S461" s="12"/>
    </row>
    <row r="462" spans="1:19" ht="14.25" customHeight="1" x14ac:dyDescent="0.2">
      <c r="A462" s="1" t="s">
        <v>24</v>
      </c>
      <c r="B462" s="7">
        <v>46086.111724537041</v>
      </c>
      <c r="C462" s="7">
        <v>46086.131215277775</v>
      </c>
      <c r="D462" s="8">
        <v>46086</v>
      </c>
      <c r="E462" s="9">
        <v>0.13121527777548181</v>
      </c>
      <c r="F462" s="10" t="s">
        <v>613</v>
      </c>
      <c r="G462" s="10" t="s">
        <v>26</v>
      </c>
      <c r="H462" s="10" t="s">
        <v>128</v>
      </c>
      <c r="I462" s="10" t="s">
        <v>23</v>
      </c>
      <c r="J462" s="11">
        <v>0.97</v>
      </c>
      <c r="K462" s="12"/>
      <c r="L462" s="12"/>
      <c r="M462" s="12"/>
      <c r="N462" s="12"/>
      <c r="O462" s="12"/>
      <c r="P462" s="12"/>
      <c r="Q462" s="12"/>
      <c r="R462" s="12"/>
      <c r="S462" s="12"/>
    </row>
    <row r="463" spans="1:19" ht="14.25" customHeight="1" x14ac:dyDescent="0.2">
      <c r="A463" s="1" t="s">
        <v>19</v>
      </c>
      <c r="B463" s="7">
        <v>46086.145405092589</v>
      </c>
      <c r="C463" s="7">
        <v>46086.162129629629</v>
      </c>
      <c r="D463" s="8">
        <v>46086</v>
      </c>
      <c r="E463" s="9">
        <v>0.16212962962890742</v>
      </c>
      <c r="F463" s="10" t="s">
        <v>614</v>
      </c>
      <c r="G463" s="10" t="s">
        <v>21</v>
      </c>
      <c r="H463" s="10" t="s">
        <v>22</v>
      </c>
      <c r="I463" s="10" t="s">
        <v>23</v>
      </c>
      <c r="J463" s="11">
        <v>0.83</v>
      </c>
      <c r="K463" s="12"/>
      <c r="L463" s="12"/>
      <c r="M463" s="12"/>
      <c r="N463" s="12"/>
      <c r="O463" s="12"/>
      <c r="P463" s="12"/>
      <c r="Q463" s="12"/>
      <c r="R463" s="12"/>
      <c r="S463" s="12"/>
    </row>
    <row r="464" spans="1:19" ht="14.25" customHeight="1" x14ac:dyDescent="0.2">
      <c r="A464" s="1" t="s">
        <v>19</v>
      </c>
      <c r="B464" s="7">
        <v>46086.145416666666</v>
      </c>
      <c r="C464" s="7">
        <v>46086.162476851852</v>
      </c>
      <c r="D464" s="8">
        <v>46086</v>
      </c>
      <c r="E464" s="9">
        <v>0.16247685185226146</v>
      </c>
      <c r="F464" s="10" t="s">
        <v>615</v>
      </c>
      <c r="G464" s="10" t="s">
        <v>21</v>
      </c>
      <c r="H464" s="10" t="s">
        <v>39</v>
      </c>
      <c r="I464" s="10" t="s">
        <v>23</v>
      </c>
      <c r="J464" s="11">
        <v>1.77</v>
      </c>
      <c r="K464" s="12"/>
      <c r="L464" s="12"/>
      <c r="M464" s="12"/>
      <c r="N464" s="12"/>
      <c r="O464" s="12"/>
      <c r="P464" s="12"/>
      <c r="Q464" s="12"/>
      <c r="R464" s="12"/>
      <c r="S464" s="12"/>
    </row>
    <row r="465" spans="1:19" ht="14.25" customHeight="1" x14ac:dyDescent="0.2">
      <c r="A465" s="1" t="s">
        <v>24</v>
      </c>
      <c r="B465" s="7">
        <v>46086.144999999997</v>
      </c>
      <c r="C465" s="7">
        <v>46086.168692129628</v>
      </c>
      <c r="D465" s="8">
        <v>46086</v>
      </c>
      <c r="E465" s="9">
        <v>0.16869212962774327</v>
      </c>
      <c r="F465" s="10" t="s">
        <v>616</v>
      </c>
      <c r="G465" s="10" t="s">
        <v>26</v>
      </c>
      <c r="H465" s="10" t="s">
        <v>27</v>
      </c>
      <c r="I465" s="10" t="s">
        <v>23</v>
      </c>
      <c r="J465" s="11">
        <v>0.68</v>
      </c>
      <c r="K465" s="12"/>
      <c r="L465" s="12">
        <f>SUM(J465:J471)</f>
        <v>5.79</v>
      </c>
      <c r="M465" s="13">
        <f>L465*65</f>
        <v>376.35</v>
      </c>
      <c r="N465" s="14">
        <f>MAX(500,M465)</f>
        <v>500</v>
      </c>
      <c r="O465" s="12"/>
      <c r="P465" s="12"/>
      <c r="Q465" s="12"/>
      <c r="R465" s="12"/>
      <c r="S465" s="12"/>
    </row>
    <row r="466" spans="1:19" ht="14.25" customHeight="1" x14ac:dyDescent="0.2">
      <c r="A466" s="1" t="s">
        <v>24</v>
      </c>
      <c r="B466" s="7">
        <v>46086.151712962965</v>
      </c>
      <c r="C466" s="7">
        <v>46086.171168981484</v>
      </c>
      <c r="D466" s="8">
        <v>46086</v>
      </c>
      <c r="E466" s="9">
        <v>0.17116898148378823</v>
      </c>
      <c r="F466" s="10" t="s">
        <v>617</v>
      </c>
      <c r="G466" s="10" t="s">
        <v>21</v>
      </c>
      <c r="H466" s="10" t="s">
        <v>22</v>
      </c>
      <c r="I466" s="10" t="s">
        <v>23</v>
      </c>
      <c r="J466" s="11">
        <v>0.83</v>
      </c>
      <c r="K466" s="12"/>
      <c r="L466" s="12"/>
      <c r="M466" s="12"/>
      <c r="N466" s="12"/>
      <c r="O466" s="12"/>
      <c r="P466" s="12"/>
      <c r="Q466" s="12"/>
      <c r="R466" s="12"/>
      <c r="S466" s="12"/>
    </row>
    <row r="467" spans="1:19" ht="14.25" customHeight="1" x14ac:dyDescent="0.2">
      <c r="A467" s="1" t="s">
        <v>24</v>
      </c>
      <c r="B467" s="7">
        <v>46086.151712962965</v>
      </c>
      <c r="C467" s="7">
        <v>46086.171365740738</v>
      </c>
      <c r="D467" s="8">
        <v>46086</v>
      </c>
      <c r="E467" s="9">
        <v>0.17136574073811062</v>
      </c>
      <c r="F467" s="10" t="s">
        <v>618</v>
      </c>
      <c r="G467" s="10" t="s">
        <v>21</v>
      </c>
      <c r="H467" s="10" t="s">
        <v>52</v>
      </c>
      <c r="I467" s="10" t="s">
        <v>23</v>
      </c>
      <c r="J467" s="11">
        <v>0.98</v>
      </c>
      <c r="K467" s="12"/>
      <c r="L467" s="12"/>
      <c r="M467" s="12"/>
      <c r="N467" s="12"/>
      <c r="O467" s="12"/>
      <c r="P467" s="12"/>
      <c r="Q467" s="12"/>
      <c r="R467" s="12"/>
      <c r="S467" s="12"/>
    </row>
    <row r="468" spans="1:19" ht="14.25" customHeight="1" x14ac:dyDescent="0.2">
      <c r="A468" s="1" t="s">
        <v>24</v>
      </c>
      <c r="B468" s="7">
        <v>46086.153900462959</v>
      </c>
      <c r="C468" s="7">
        <v>46086.176388888889</v>
      </c>
      <c r="D468" s="8">
        <v>46086</v>
      </c>
      <c r="E468" s="9">
        <v>0.17638888888905058</v>
      </c>
      <c r="F468" s="10" t="s">
        <v>619</v>
      </c>
      <c r="G468" s="10" t="s">
        <v>21</v>
      </c>
      <c r="H468" s="10" t="s">
        <v>620</v>
      </c>
      <c r="I468" s="10" t="s">
        <v>23</v>
      </c>
      <c r="J468" s="11">
        <v>1.06</v>
      </c>
      <c r="K468" s="12"/>
      <c r="L468" s="12"/>
      <c r="M468" s="12"/>
      <c r="N468" s="12"/>
      <c r="O468" s="12"/>
      <c r="P468" s="12"/>
      <c r="Q468" s="12"/>
      <c r="R468" s="12"/>
      <c r="S468" s="12"/>
    </row>
    <row r="469" spans="1:19" ht="14.25" customHeight="1" x14ac:dyDescent="0.2">
      <c r="A469" s="1" t="s">
        <v>24</v>
      </c>
      <c r="B469" s="7">
        <v>46086.174710648149</v>
      </c>
      <c r="C469" s="7">
        <v>46086.189016203702</v>
      </c>
      <c r="D469" s="8">
        <v>46086</v>
      </c>
      <c r="E469" s="9">
        <v>0.18901620370161254</v>
      </c>
      <c r="F469" s="10" t="s">
        <v>621</v>
      </c>
      <c r="G469" s="10" t="s">
        <v>21</v>
      </c>
      <c r="H469" s="10" t="s">
        <v>22</v>
      </c>
      <c r="I469" s="10" t="s">
        <v>23</v>
      </c>
      <c r="J469" s="11">
        <v>0.83</v>
      </c>
      <c r="K469" s="12"/>
      <c r="L469" s="12"/>
      <c r="M469" s="12"/>
      <c r="N469" s="12"/>
      <c r="O469" s="12"/>
      <c r="P469" s="12"/>
      <c r="Q469" s="12"/>
      <c r="R469" s="12"/>
      <c r="S469" s="12"/>
    </row>
    <row r="470" spans="1:19" ht="14.25" customHeight="1" x14ac:dyDescent="0.2">
      <c r="A470" s="1" t="s">
        <v>33</v>
      </c>
      <c r="B470" s="7">
        <v>46086.180162037039</v>
      </c>
      <c r="C470" s="7">
        <v>46086.201458333337</v>
      </c>
      <c r="D470" s="8">
        <v>46086</v>
      </c>
      <c r="E470" s="9">
        <v>0.20145833333663177</v>
      </c>
      <c r="F470" s="10" t="s">
        <v>622</v>
      </c>
      <c r="G470" s="10" t="s">
        <v>26</v>
      </c>
      <c r="H470" s="10" t="s">
        <v>205</v>
      </c>
      <c r="I470" s="10" t="s">
        <v>23</v>
      </c>
      <c r="J470" s="11">
        <v>0.57999999999999996</v>
      </c>
      <c r="K470" s="12"/>
      <c r="L470" s="12"/>
      <c r="M470" s="12"/>
      <c r="N470" s="12"/>
      <c r="O470" s="12"/>
      <c r="P470" s="12"/>
      <c r="Q470" s="12"/>
      <c r="R470" s="12"/>
      <c r="S470" s="12"/>
    </row>
    <row r="471" spans="1:19" ht="14.25" customHeight="1" x14ac:dyDescent="0.2">
      <c r="A471" s="1" t="s">
        <v>33</v>
      </c>
      <c r="B471" s="7">
        <v>46086.194537037038</v>
      </c>
      <c r="C471" s="7">
        <v>46086.201666666668</v>
      </c>
      <c r="D471" s="8">
        <v>46086</v>
      </c>
      <c r="E471" s="9">
        <v>0.20166666666773381</v>
      </c>
      <c r="F471" s="10" t="s">
        <v>623</v>
      </c>
      <c r="G471" s="10" t="s">
        <v>21</v>
      </c>
      <c r="H471" s="10" t="s">
        <v>22</v>
      </c>
      <c r="I471" s="10" t="s">
        <v>23</v>
      </c>
      <c r="J471" s="11">
        <v>0.83</v>
      </c>
      <c r="K471" s="12"/>
      <c r="L471" s="12"/>
      <c r="M471" s="12"/>
      <c r="N471" s="12"/>
      <c r="O471" s="12"/>
      <c r="P471" s="12"/>
      <c r="Q471" s="12"/>
      <c r="R471" s="12"/>
      <c r="S471" s="12"/>
    </row>
    <row r="472" spans="1:19" ht="14.25" customHeight="1" x14ac:dyDescent="0.2">
      <c r="A472" s="1" t="s">
        <v>95</v>
      </c>
      <c r="B472" s="7">
        <v>46086.207395833335</v>
      </c>
      <c r="C472" s="7">
        <v>46086.2106712963</v>
      </c>
      <c r="D472" s="8">
        <v>46086</v>
      </c>
      <c r="E472" s="9">
        <v>0.21067129629955161</v>
      </c>
      <c r="F472" s="10" t="s">
        <v>624</v>
      </c>
      <c r="G472" s="10" t="s">
        <v>21</v>
      </c>
      <c r="H472" s="10" t="s">
        <v>97</v>
      </c>
      <c r="I472" s="10" t="s">
        <v>23</v>
      </c>
      <c r="J472" s="11">
        <v>1.77</v>
      </c>
      <c r="K472" s="12"/>
      <c r="L472" s="12">
        <f>SUM(J472:J475)</f>
        <v>6</v>
      </c>
      <c r="M472" s="13">
        <f>L472*65</f>
        <v>390</v>
      </c>
      <c r="N472" s="14">
        <f>MAX(500,M472)</f>
        <v>500</v>
      </c>
      <c r="O472" s="12"/>
      <c r="P472" s="12"/>
      <c r="Q472" s="12"/>
      <c r="R472" s="12"/>
      <c r="S472" s="12"/>
    </row>
    <row r="473" spans="1:19" ht="14.25" customHeight="1" x14ac:dyDescent="0.2">
      <c r="A473" s="1" t="s">
        <v>33</v>
      </c>
      <c r="B473" s="7">
        <v>46086.208738425928</v>
      </c>
      <c r="C473" s="7">
        <v>46086.217627314814</v>
      </c>
      <c r="D473" s="8">
        <v>46086</v>
      </c>
      <c r="E473" s="9">
        <v>0.21762731481430819</v>
      </c>
      <c r="F473" s="10" t="s">
        <v>625</v>
      </c>
      <c r="G473" s="10" t="s">
        <v>21</v>
      </c>
      <c r="H473" s="10" t="s">
        <v>22</v>
      </c>
      <c r="I473" s="10" t="s">
        <v>23</v>
      </c>
      <c r="J473" s="11">
        <v>0.83</v>
      </c>
      <c r="K473" s="12"/>
      <c r="L473" s="12"/>
      <c r="M473" s="12"/>
      <c r="N473" s="12"/>
      <c r="O473" s="12"/>
      <c r="P473" s="12"/>
      <c r="Q473" s="12"/>
      <c r="R473" s="12"/>
      <c r="S473" s="12"/>
    </row>
    <row r="474" spans="1:19" ht="14.25" customHeight="1" x14ac:dyDescent="0.2">
      <c r="A474" s="1" t="s">
        <v>42</v>
      </c>
      <c r="B474" s="7">
        <v>46086.232395833336</v>
      </c>
      <c r="C474" s="7">
        <v>46086.243715277778</v>
      </c>
      <c r="D474" s="8">
        <v>46086</v>
      </c>
      <c r="E474" s="9">
        <v>0.24371527777839219</v>
      </c>
      <c r="F474" s="10" t="s">
        <v>626</v>
      </c>
      <c r="G474" s="10" t="s">
        <v>21</v>
      </c>
      <c r="H474" s="10" t="s">
        <v>108</v>
      </c>
      <c r="I474" s="10" t="s">
        <v>23</v>
      </c>
      <c r="J474" s="11">
        <v>1.7</v>
      </c>
      <c r="K474" s="12"/>
      <c r="L474" s="12"/>
      <c r="M474" s="12"/>
      <c r="N474" s="12"/>
      <c r="O474" s="12"/>
      <c r="P474" s="12"/>
      <c r="Q474" s="12"/>
      <c r="R474" s="12"/>
      <c r="S474" s="12"/>
    </row>
    <row r="475" spans="1:19" ht="14.25" customHeight="1" x14ac:dyDescent="0.2">
      <c r="A475" s="1" t="s">
        <v>28</v>
      </c>
      <c r="B475" s="7">
        <v>46086.227407407408</v>
      </c>
      <c r="C475" s="7">
        <v>46086.244606481479</v>
      </c>
      <c r="D475" s="8">
        <v>46086</v>
      </c>
      <c r="E475" s="9">
        <v>0.24460648147942265</v>
      </c>
      <c r="F475" s="10" t="s">
        <v>627</v>
      </c>
      <c r="G475" s="10" t="s">
        <v>21</v>
      </c>
      <c r="H475" s="10" t="s">
        <v>101</v>
      </c>
      <c r="I475" s="10" t="s">
        <v>23</v>
      </c>
      <c r="J475" s="11">
        <v>1.7</v>
      </c>
      <c r="K475" s="12"/>
      <c r="L475" s="12"/>
      <c r="M475" s="12"/>
      <c r="N475" s="12"/>
      <c r="O475" s="12"/>
      <c r="P475" s="12"/>
      <c r="Q475" s="12"/>
      <c r="R475" s="12"/>
      <c r="S475" s="12"/>
    </row>
    <row r="476" spans="1:19" ht="14.25" customHeight="1" x14ac:dyDescent="0.2">
      <c r="A476" s="1" t="s">
        <v>24</v>
      </c>
      <c r="B476" s="7">
        <v>46086.855682870373</v>
      </c>
      <c r="C476" s="7">
        <v>46086.888460648152</v>
      </c>
      <c r="D476" s="8">
        <v>46086</v>
      </c>
      <c r="E476" s="9">
        <v>0.88846064815152204</v>
      </c>
      <c r="F476" s="10" t="s">
        <v>628</v>
      </c>
      <c r="G476" s="10" t="s">
        <v>21</v>
      </c>
      <c r="H476" s="10" t="s">
        <v>54</v>
      </c>
      <c r="I476" s="10" t="s">
        <v>23</v>
      </c>
      <c r="J476" s="11">
        <v>0.83</v>
      </c>
      <c r="K476" s="12">
        <f>SUM(J476:J495,J496,J497:J503,J504:J506,J507:J510,J511:J516,J517:J528,J529:J563)</f>
        <v>106.49999999999997</v>
      </c>
      <c r="L476" s="12">
        <f>SUM(J476:J495)</f>
        <v>24.039999999999992</v>
      </c>
      <c r="M476" s="13">
        <f>L476*65</f>
        <v>1562.5999999999995</v>
      </c>
      <c r="N476" s="14">
        <f>MAX(500,M476)</f>
        <v>1562.5999999999995</v>
      </c>
      <c r="O476" s="12"/>
      <c r="P476" s="12"/>
      <c r="Q476" s="12"/>
      <c r="R476" s="12"/>
      <c r="S476" s="12"/>
    </row>
    <row r="477" spans="1:19" ht="14.25" customHeight="1" x14ac:dyDescent="0.2">
      <c r="A477" s="1" t="s">
        <v>24</v>
      </c>
      <c r="B477" s="7">
        <v>46086.855682870373</v>
      </c>
      <c r="C477" s="7">
        <v>46086.889907407407</v>
      </c>
      <c r="D477" s="8">
        <v>46086</v>
      </c>
      <c r="E477" s="9">
        <v>0.88990740740700858</v>
      </c>
      <c r="F477" s="10" t="s">
        <v>629</v>
      </c>
      <c r="G477" s="10" t="s">
        <v>21</v>
      </c>
      <c r="H477" s="10" t="s">
        <v>61</v>
      </c>
      <c r="I477" s="10" t="s">
        <v>23</v>
      </c>
      <c r="J477" s="11">
        <v>2.5</v>
      </c>
      <c r="K477" s="12"/>
      <c r="L477" s="12"/>
      <c r="M477" s="12"/>
      <c r="N477" s="12"/>
      <c r="O477" s="12"/>
      <c r="P477" s="12"/>
      <c r="Q477" s="12"/>
      <c r="R477" s="12"/>
      <c r="S477" s="12"/>
    </row>
    <row r="478" spans="1:19" ht="14.25" customHeight="1" x14ac:dyDescent="0.2">
      <c r="A478" s="1" t="s">
        <v>19</v>
      </c>
      <c r="B478" s="7">
        <v>46086.877615740741</v>
      </c>
      <c r="C478" s="7">
        <v>46086.890856481485</v>
      </c>
      <c r="D478" s="8">
        <v>46086</v>
      </c>
      <c r="E478" s="9">
        <v>0.89085648148466134</v>
      </c>
      <c r="F478" s="10" t="s">
        <v>630</v>
      </c>
      <c r="G478" s="10" t="s">
        <v>21</v>
      </c>
      <c r="H478" s="10" t="s">
        <v>41</v>
      </c>
      <c r="I478" s="10" t="s">
        <v>23</v>
      </c>
      <c r="J478" s="11">
        <v>1.77</v>
      </c>
      <c r="K478" s="12"/>
      <c r="L478" s="12"/>
      <c r="M478" s="12"/>
      <c r="N478" s="12"/>
      <c r="O478" s="12"/>
      <c r="P478" s="12"/>
      <c r="Q478" s="12"/>
      <c r="R478" s="12"/>
      <c r="S478" s="12"/>
    </row>
    <row r="479" spans="1:19" ht="14.25" customHeight="1" x14ac:dyDescent="0.2">
      <c r="A479" s="1" t="s">
        <v>24</v>
      </c>
      <c r="B479" s="7">
        <v>46086.874884259261</v>
      </c>
      <c r="C479" s="7">
        <v>46086.891446759262</v>
      </c>
      <c r="D479" s="8">
        <v>46086</v>
      </c>
      <c r="E479" s="9">
        <v>0.89144675926218042</v>
      </c>
      <c r="F479" s="10" t="s">
        <v>631</v>
      </c>
      <c r="G479" s="10" t="s">
        <v>21</v>
      </c>
      <c r="H479" s="10" t="s">
        <v>101</v>
      </c>
      <c r="I479" s="10" t="s">
        <v>23</v>
      </c>
      <c r="J479" s="11">
        <v>1.7</v>
      </c>
      <c r="K479" s="12"/>
      <c r="L479" s="12"/>
      <c r="M479" s="12"/>
      <c r="N479" s="12"/>
      <c r="O479" s="12"/>
      <c r="P479" s="12"/>
      <c r="Q479" s="12"/>
      <c r="R479" s="12"/>
      <c r="S479" s="12"/>
    </row>
    <row r="480" spans="1:19" ht="14.25" customHeight="1" x14ac:dyDescent="0.2">
      <c r="A480" s="1" t="s">
        <v>24</v>
      </c>
      <c r="B480" s="7">
        <v>46086.869097222225</v>
      </c>
      <c r="C480" s="7">
        <v>46086.891805555555</v>
      </c>
      <c r="D480" s="8">
        <v>46086</v>
      </c>
      <c r="E480" s="9">
        <v>0.89180555555503815</v>
      </c>
      <c r="F480" s="10" t="s">
        <v>632</v>
      </c>
      <c r="G480" s="10" t="s">
        <v>21</v>
      </c>
      <c r="H480" s="10" t="s">
        <v>101</v>
      </c>
      <c r="I480" s="10" t="s">
        <v>23</v>
      </c>
      <c r="J480" s="11">
        <v>1.7</v>
      </c>
      <c r="K480" s="12"/>
      <c r="L480" s="12"/>
      <c r="M480" s="12"/>
      <c r="N480" s="12"/>
      <c r="O480" s="12"/>
      <c r="P480" s="12"/>
      <c r="Q480" s="12"/>
      <c r="R480" s="12"/>
      <c r="S480" s="12"/>
    </row>
    <row r="481" spans="1:19" ht="14.25" customHeight="1" x14ac:dyDescent="0.2">
      <c r="A481" s="1" t="s">
        <v>24</v>
      </c>
      <c r="B481" s="7">
        <v>46086.878819444442</v>
      </c>
      <c r="C481" s="7">
        <v>46086.894907407404</v>
      </c>
      <c r="D481" s="8">
        <v>46086</v>
      </c>
      <c r="E481" s="9">
        <v>0.89490740740438923</v>
      </c>
      <c r="F481" s="10" t="s">
        <v>633</v>
      </c>
      <c r="G481" s="10" t="s">
        <v>21</v>
      </c>
      <c r="H481" s="10" t="s">
        <v>101</v>
      </c>
      <c r="I481" s="10" t="s">
        <v>23</v>
      </c>
      <c r="J481" s="11">
        <v>1.7</v>
      </c>
      <c r="K481" s="12"/>
      <c r="L481" s="12"/>
      <c r="M481" s="12"/>
      <c r="N481" s="12"/>
      <c r="O481" s="12"/>
      <c r="P481" s="12"/>
      <c r="Q481" s="12"/>
      <c r="R481" s="12"/>
      <c r="S481" s="12"/>
    </row>
    <row r="482" spans="1:19" ht="14.25" customHeight="1" x14ac:dyDescent="0.2">
      <c r="A482" s="1" t="s">
        <v>148</v>
      </c>
      <c r="B482" s="7">
        <v>46086.862187500003</v>
      </c>
      <c r="C482" s="7">
        <v>46086.895243055558</v>
      </c>
      <c r="D482" s="8">
        <v>46086</v>
      </c>
      <c r="E482" s="9">
        <v>0.89524305555823958</v>
      </c>
      <c r="F482" s="10" t="s">
        <v>634</v>
      </c>
      <c r="G482" s="10" t="s">
        <v>21</v>
      </c>
      <c r="H482" s="10" t="s">
        <v>635</v>
      </c>
      <c r="I482" s="10" t="s">
        <v>23</v>
      </c>
      <c r="J482" s="11">
        <v>1.77</v>
      </c>
      <c r="K482" s="12"/>
      <c r="L482" s="12"/>
      <c r="M482" s="12"/>
      <c r="N482" s="12"/>
      <c r="O482" s="12"/>
      <c r="P482" s="12"/>
      <c r="Q482" s="12"/>
      <c r="R482" s="12"/>
      <c r="S482" s="12"/>
    </row>
    <row r="483" spans="1:19" ht="14.25" customHeight="1" x14ac:dyDescent="0.2">
      <c r="A483" s="1" t="s">
        <v>19</v>
      </c>
      <c r="B483" s="7">
        <v>46086.886550925927</v>
      </c>
      <c r="C483" s="7">
        <v>46086.89916666667</v>
      </c>
      <c r="D483" s="8">
        <v>46086</v>
      </c>
      <c r="E483" s="9">
        <v>0.89916666666977108</v>
      </c>
      <c r="F483" s="10" t="s">
        <v>636</v>
      </c>
      <c r="G483" s="10" t="s">
        <v>21</v>
      </c>
      <c r="H483" s="10" t="s">
        <v>101</v>
      </c>
      <c r="I483" s="10" t="s">
        <v>23</v>
      </c>
      <c r="J483" s="11">
        <v>1.7</v>
      </c>
      <c r="K483" s="12"/>
      <c r="L483" s="12"/>
      <c r="M483" s="12"/>
      <c r="N483" s="12"/>
      <c r="O483" s="12"/>
      <c r="P483" s="12"/>
      <c r="Q483" s="12"/>
      <c r="R483" s="12"/>
      <c r="S483" s="12"/>
    </row>
    <row r="484" spans="1:19" ht="14.25" customHeight="1" x14ac:dyDescent="0.2">
      <c r="A484" s="1" t="s">
        <v>24</v>
      </c>
      <c r="B484" s="7">
        <v>46086.886053240742</v>
      </c>
      <c r="C484" s="7">
        <v>46086.901585648149</v>
      </c>
      <c r="D484" s="8">
        <v>46086</v>
      </c>
      <c r="E484" s="9">
        <v>0.90158564814919373</v>
      </c>
      <c r="F484" s="10" t="s">
        <v>637</v>
      </c>
      <c r="G484" s="10" t="s">
        <v>21</v>
      </c>
      <c r="H484" s="10" t="s">
        <v>101</v>
      </c>
      <c r="I484" s="10" t="s">
        <v>23</v>
      </c>
      <c r="J484" s="11">
        <v>1.7</v>
      </c>
      <c r="K484" s="12"/>
      <c r="L484" s="12"/>
      <c r="M484" s="12"/>
      <c r="N484" s="12"/>
      <c r="O484" s="12"/>
      <c r="P484" s="12"/>
      <c r="Q484" s="12"/>
      <c r="R484" s="12"/>
      <c r="S484" s="12"/>
    </row>
    <row r="485" spans="1:19" ht="14.25" customHeight="1" x14ac:dyDescent="0.2">
      <c r="A485" s="1" t="s">
        <v>19</v>
      </c>
      <c r="B485" s="7">
        <v>46086.887997685182</v>
      </c>
      <c r="C485" s="7">
        <v>46086.901863425926</v>
      </c>
      <c r="D485" s="8">
        <v>46086</v>
      </c>
      <c r="E485" s="9">
        <v>0.90186342592642177</v>
      </c>
      <c r="F485" s="10" t="s">
        <v>638</v>
      </c>
      <c r="G485" s="10" t="s">
        <v>21</v>
      </c>
      <c r="H485" s="10" t="s">
        <v>22</v>
      </c>
      <c r="I485" s="10" t="s">
        <v>23</v>
      </c>
      <c r="J485" s="11">
        <v>0.83</v>
      </c>
      <c r="K485" s="12"/>
      <c r="L485" s="12"/>
      <c r="M485" s="12"/>
      <c r="N485" s="12"/>
      <c r="O485" s="12"/>
      <c r="P485" s="12"/>
      <c r="Q485" s="12"/>
      <c r="R485" s="12"/>
      <c r="S485" s="12"/>
    </row>
    <row r="486" spans="1:19" ht="14.25" customHeight="1" x14ac:dyDescent="0.2">
      <c r="A486" s="1" t="s">
        <v>19</v>
      </c>
      <c r="B486" s="7">
        <v>46086.87804398148</v>
      </c>
      <c r="C486" s="7">
        <v>46086.902280092596</v>
      </c>
      <c r="D486" s="8">
        <v>46086</v>
      </c>
      <c r="E486" s="9">
        <v>0.90228009259590181</v>
      </c>
      <c r="F486" s="10" t="s">
        <v>639</v>
      </c>
      <c r="G486" s="10" t="s">
        <v>26</v>
      </c>
      <c r="H486" s="10" t="s">
        <v>162</v>
      </c>
      <c r="I486" s="10" t="s">
        <v>23</v>
      </c>
      <c r="J486" s="11">
        <v>0.49</v>
      </c>
      <c r="K486" s="12"/>
      <c r="L486" s="12"/>
      <c r="M486" s="12"/>
      <c r="N486" s="12"/>
      <c r="O486" s="12"/>
      <c r="P486" s="12"/>
      <c r="Q486" s="12"/>
      <c r="R486" s="12"/>
      <c r="S486" s="12"/>
    </row>
    <row r="487" spans="1:19" ht="14.25" customHeight="1" x14ac:dyDescent="0.2">
      <c r="A487" s="1" t="s">
        <v>19</v>
      </c>
      <c r="B487" s="7">
        <v>46086.88380787037</v>
      </c>
      <c r="C487" s="7">
        <v>46086.90247685185</v>
      </c>
      <c r="D487" s="8">
        <v>46086</v>
      </c>
      <c r="E487" s="9">
        <v>0.90247685185022419</v>
      </c>
      <c r="F487" s="10" t="s">
        <v>640</v>
      </c>
      <c r="G487" s="10" t="s">
        <v>21</v>
      </c>
      <c r="H487" s="10" t="s">
        <v>22</v>
      </c>
      <c r="I487" s="10" t="s">
        <v>23</v>
      </c>
      <c r="J487" s="11">
        <v>0.83</v>
      </c>
      <c r="K487" s="12"/>
      <c r="L487" s="12"/>
      <c r="M487" s="12"/>
      <c r="N487" s="12"/>
      <c r="O487" s="12"/>
      <c r="P487" s="12"/>
      <c r="Q487" s="12"/>
      <c r="R487" s="12"/>
      <c r="S487" s="12"/>
    </row>
    <row r="488" spans="1:19" ht="14.25" customHeight="1" x14ac:dyDescent="0.2">
      <c r="A488" s="1" t="s">
        <v>19</v>
      </c>
      <c r="B488" s="7">
        <v>46086.88380787037</v>
      </c>
      <c r="C488" s="7">
        <v>46086.902696759258</v>
      </c>
      <c r="D488" s="8">
        <v>46086</v>
      </c>
      <c r="E488" s="9">
        <v>0.90269675925810589</v>
      </c>
      <c r="F488" s="10" t="s">
        <v>641</v>
      </c>
      <c r="G488" s="10" t="s">
        <v>21</v>
      </c>
      <c r="H488" s="10" t="s">
        <v>142</v>
      </c>
      <c r="I488" s="10" t="s">
        <v>23</v>
      </c>
      <c r="J488" s="11">
        <v>0.83</v>
      </c>
      <c r="K488" s="12"/>
      <c r="L488" s="12"/>
      <c r="M488" s="12"/>
      <c r="N488" s="12"/>
      <c r="O488" s="12"/>
      <c r="P488" s="12"/>
      <c r="Q488" s="12"/>
      <c r="R488" s="12"/>
      <c r="S488" s="12"/>
    </row>
    <row r="489" spans="1:19" ht="14.25" customHeight="1" x14ac:dyDescent="0.2">
      <c r="A489" s="1" t="s">
        <v>19</v>
      </c>
      <c r="B489" s="7">
        <v>46086.883819444447</v>
      </c>
      <c r="C489" s="7">
        <v>46086.902881944443</v>
      </c>
      <c r="D489" s="8">
        <v>46086</v>
      </c>
      <c r="E489" s="9">
        <v>0.90288194444292458</v>
      </c>
      <c r="F489" s="10" t="s">
        <v>642</v>
      </c>
      <c r="G489" s="10" t="s">
        <v>21</v>
      </c>
      <c r="H489" s="10" t="s">
        <v>52</v>
      </c>
      <c r="I489" s="10" t="s">
        <v>23</v>
      </c>
      <c r="J489" s="11">
        <v>0.98</v>
      </c>
      <c r="K489" s="12"/>
      <c r="L489" s="12"/>
      <c r="M489" s="12"/>
      <c r="N489" s="12"/>
      <c r="O489" s="12"/>
      <c r="P489" s="12"/>
      <c r="Q489" s="12"/>
      <c r="R489" s="12"/>
      <c r="S489" s="12"/>
    </row>
    <row r="490" spans="1:19" ht="14.25" customHeight="1" x14ac:dyDescent="0.2">
      <c r="A490" s="1" t="s">
        <v>148</v>
      </c>
      <c r="B490" s="7">
        <v>46086.887303240743</v>
      </c>
      <c r="C490" s="7">
        <v>46086.903032407405</v>
      </c>
      <c r="D490" s="8">
        <v>46086</v>
      </c>
      <c r="E490" s="9">
        <v>0.90303240740468027</v>
      </c>
      <c r="F490" s="10" t="s">
        <v>643</v>
      </c>
      <c r="G490" s="10" t="s">
        <v>21</v>
      </c>
      <c r="H490" s="10" t="s">
        <v>515</v>
      </c>
      <c r="I490" s="10" t="s">
        <v>23</v>
      </c>
      <c r="J490" s="11">
        <v>0.98</v>
      </c>
      <c r="K490" s="12"/>
      <c r="L490" s="12"/>
      <c r="M490" s="12"/>
      <c r="N490" s="12"/>
      <c r="O490" s="12"/>
      <c r="P490" s="12"/>
      <c r="Q490" s="12"/>
      <c r="R490" s="12"/>
      <c r="S490" s="12"/>
    </row>
    <row r="491" spans="1:19" ht="14.25" customHeight="1" x14ac:dyDescent="0.2">
      <c r="A491" s="1" t="s">
        <v>19</v>
      </c>
      <c r="B491" s="7">
        <v>46086.867430555554</v>
      </c>
      <c r="C491" s="7">
        <v>46086.903645833336</v>
      </c>
      <c r="D491" s="8">
        <v>46086</v>
      </c>
      <c r="E491" s="9">
        <v>0.90364583333575865</v>
      </c>
      <c r="F491" s="10" t="s">
        <v>644</v>
      </c>
      <c r="G491" s="10" t="s">
        <v>26</v>
      </c>
      <c r="H491" s="10" t="s">
        <v>202</v>
      </c>
      <c r="I491" s="10" t="s">
        <v>23</v>
      </c>
      <c r="J491" s="11">
        <v>0.57999999999999996</v>
      </c>
      <c r="K491" s="12"/>
      <c r="L491" s="12"/>
      <c r="M491" s="12"/>
      <c r="N491" s="12"/>
      <c r="O491" s="12"/>
      <c r="P491" s="12"/>
      <c r="Q491" s="12"/>
      <c r="R491" s="12"/>
      <c r="S491" s="12"/>
    </row>
    <row r="492" spans="1:19" ht="14.25" customHeight="1" x14ac:dyDescent="0.2">
      <c r="A492" s="1" t="s">
        <v>42</v>
      </c>
      <c r="B492" s="7">
        <v>46086.873344907406</v>
      </c>
      <c r="C492" s="7">
        <v>46086.904004629629</v>
      </c>
      <c r="D492" s="8">
        <v>46086</v>
      </c>
      <c r="E492" s="9">
        <v>0.90400462962861639</v>
      </c>
      <c r="F492" s="10" t="s">
        <v>645</v>
      </c>
      <c r="G492" s="10" t="s">
        <v>26</v>
      </c>
      <c r="H492" s="10" t="s">
        <v>125</v>
      </c>
      <c r="I492" s="10" t="s">
        <v>23</v>
      </c>
      <c r="J492" s="11">
        <v>0.63</v>
      </c>
      <c r="K492" s="12"/>
      <c r="L492" s="12"/>
      <c r="M492" s="12"/>
      <c r="N492" s="12"/>
      <c r="O492" s="12"/>
      <c r="P492" s="12"/>
      <c r="Q492" s="12"/>
      <c r="R492" s="12"/>
      <c r="S492" s="12"/>
    </row>
    <row r="493" spans="1:19" ht="14.25" customHeight="1" x14ac:dyDescent="0.2">
      <c r="A493" s="1" t="s">
        <v>42</v>
      </c>
      <c r="B493" s="7">
        <v>46086.86136574074</v>
      </c>
      <c r="C493" s="7">
        <v>46086.904907407406</v>
      </c>
      <c r="D493" s="8">
        <v>46086</v>
      </c>
      <c r="E493" s="9">
        <v>0.9049074074064265</v>
      </c>
      <c r="F493" s="10" t="s">
        <v>646</v>
      </c>
      <c r="G493" s="10" t="s">
        <v>26</v>
      </c>
      <c r="H493" s="10" t="s">
        <v>56</v>
      </c>
      <c r="I493" s="10" t="s">
        <v>23</v>
      </c>
      <c r="J493" s="11">
        <v>0.73</v>
      </c>
      <c r="K493" s="12"/>
      <c r="L493" s="12"/>
      <c r="M493" s="12"/>
      <c r="N493" s="12"/>
      <c r="O493" s="12"/>
      <c r="P493" s="12"/>
      <c r="Q493" s="12"/>
      <c r="R493" s="12"/>
      <c r="S493" s="12"/>
    </row>
    <row r="494" spans="1:19" ht="14.25" customHeight="1" x14ac:dyDescent="0.2">
      <c r="A494" s="1" t="s">
        <v>57</v>
      </c>
      <c r="B494" s="7">
        <v>46086.877500000002</v>
      </c>
      <c r="C494" s="7">
        <v>46086.90766203704</v>
      </c>
      <c r="D494" s="8">
        <v>46086</v>
      </c>
      <c r="E494" s="9">
        <v>0.9076620370396995</v>
      </c>
      <c r="F494" s="10" t="s">
        <v>647</v>
      </c>
      <c r="G494" s="10" t="s">
        <v>21</v>
      </c>
      <c r="H494" s="10" t="s">
        <v>648</v>
      </c>
      <c r="I494" s="10" t="s">
        <v>23</v>
      </c>
      <c r="J494" s="11">
        <v>1.35</v>
      </c>
      <c r="K494" s="12"/>
      <c r="L494" s="12"/>
      <c r="M494" s="12"/>
      <c r="N494" s="12"/>
      <c r="O494" s="12"/>
      <c r="P494" s="12"/>
      <c r="Q494" s="12"/>
      <c r="R494" s="12"/>
      <c r="S494" s="12"/>
    </row>
    <row r="495" spans="1:19" ht="14.25" customHeight="1" x14ac:dyDescent="0.2">
      <c r="A495" s="1" t="s">
        <v>24</v>
      </c>
      <c r="B495" s="7">
        <v>46086.890925925924</v>
      </c>
      <c r="C495" s="7">
        <v>46086.910266203704</v>
      </c>
      <c r="D495" s="8">
        <v>46086</v>
      </c>
      <c r="E495" s="9">
        <v>0.91026620370394085</v>
      </c>
      <c r="F495" s="10" t="s">
        <v>649</v>
      </c>
      <c r="G495" s="10" t="s">
        <v>26</v>
      </c>
      <c r="H495" s="10" t="s">
        <v>650</v>
      </c>
      <c r="I495" s="10" t="s">
        <v>23</v>
      </c>
      <c r="J495" s="11">
        <v>0.44</v>
      </c>
      <c r="K495" s="12"/>
      <c r="L495" s="12"/>
      <c r="M495" s="12"/>
      <c r="N495" s="12"/>
      <c r="O495" s="12"/>
      <c r="P495" s="12"/>
      <c r="Q495" s="12"/>
      <c r="R495" s="12"/>
      <c r="S495" s="12"/>
    </row>
    <row r="496" spans="1:19" ht="14.25" customHeight="1" x14ac:dyDescent="0.2">
      <c r="A496" s="1" t="s">
        <v>42</v>
      </c>
      <c r="B496" s="7">
        <v>46086.894166666665</v>
      </c>
      <c r="C496" s="7">
        <v>46086.917326388888</v>
      </c>
      <c r="D496" s="8">
        <v>46086</v>
      </c>
      <c r="E496" s="9">
        <v>0.91732638888788642</v>
      </c>
      <c r="F496" s="10" t="s">
        <v>651</v>
      </c>
      <c r="G496" s="10" t="s">
        <v>21</v>
      </c>
      <c r="H496" s="10" t="s">
        <v>97</v>
      </c>
      <c r="I496" s="10" t="s">
        <v>23</v>
      </c>
      <c r="J496" s="11">
        <v>1.77</v>
      </c>
      <c r="K496" s="12"/>
      <c r="L496" s="12">
        <f>SUM(J496:J517)</f>
        <v>26.159999999999997</v>
      </c>
      <c r="M496" s="13">
        <f>L496*65</f>
        <v>1700.3999999999999</v>
      </c>
      <c r="N496" s="14">
        <f>MAX(500,M496)</f>
        <v>1700.3999999999999</v>
      </c>
      <c r="O496" s="12"/>
      <c r="P496" s="12"/>
      <c r="Q496" s="12"/>
      <c r="R496" s="12"/>
      <c r="S496" s="12"/>
    </row>
    <row r="497" spans="1:19" ht="14.25" customHeight="1" x14ac:dyDescent="0.2">
      <c r="A497" s="1" t="s">
        <v>42</v>
      </c>
      <c r="B497" s="7">
        <v>46086.88453703704</v>
      </c>
      <c r="C497" s="7">
        <v>46086.921412037038</v>
      </c>
      <c r="D497" s="8">
        <v>46086</v>
      </c>
      <c r="E497" s="9">
        <v>0.92141203703795327</v>
      </c>
      <c r="F497" s="10" t="s">
        <v>652</v>
      </c>
      <c r="G497" s="10" t="s">
        <v>26</v>
      </c>
      <c r="H497" s="10" t="s">
        <v>653</v>
      </c>
      <c r="I497" s="10" t="s">
        <v>23</v>
      </c>
      <c r="J497" s="11">
        <v>0.79</v>
      </c>
      <c r="K497" s="12"/>
      <c r="L497" s="12"/>
      <c r="M497" s="12"/>
      <c r="N497" s="12"/>
      <c r="O497" s="12"/>
      <c r="P497" s="12"/>
      <c r="Q497" s="12"/>
      <c r="R497" s="12"/>
      <c r="S497" s="12"/>
    </row>
    <row r="498" spans="1:19" ht="14.25" customHeight="1" x14ac:dyDescent="0.2">
      <c r="A498" s="1" t="s">
        <v>57</v>
      </c>
      <c r="B498" s="7">
        <v>46086.899085648147</v>
      </c>
      <c r="C498" s="7">
        <v>46086.927245370367</v>
      </c>
      <c r="D498" s="8">
        <v>46086</v>
      </c>
      <c r="E498" s="9">
        <v>0.92724537036701804</v>
      </c>
      <c r="F498" s="10" t="s">
        <v>654</v>
      </c>
      <c r="G498" s="10" t="s">
        <v>21</v>
      </c>
      <c r="H498" s="10" t="s">
        <v>303</v>
      </c>
      <c r="I498" s="10" t="s">
        <v>23</v>
      </c>
      <c r="J498" s="11">
        <v>1.77</v>
      </c>
      <c r="K498" s="12"/>
      <c r="L498" s="12"/>
      <c r="M498" s="12"/>
      <c r="N498" s="12"/>
      <c r="O498" s="12"/>
      <c r="P498" s="12"/>
      <c r="Q498" s="12"/>
      <c r="R498" s="12"/>
      <c r="S498" s="12"/>
    </row>
    <row r="499" spans="1:19" ht="14.25" customHeight="1" x14ac:dyDescent="0.2">
      <c r="A499" s="1" t="s">
        <v>57</v>
      </c>
      <c r="B499" s="7">
        <v>46086.904108796298</v>
      </c>
      <c r="C499" s="7">
        <v>46086.930081018516</v>
      </c>
      <c r="D499" s="8">
        <v>46086</v>
      </c>
      <c r="E499" s="9">
        <v>0.93008101851592073</v>
      </c>
      <c r="F499" s="10" t="s">
        <v>655</v>
      </c>
      <c r="G499" s="10" t="s">
        <v>21</v>
      </c>
      <c r="H499" s="10" t="s">
        <v>656</v>
      </c>
      <c r="I499" s="10" t="s">
        <v>23</v>
      </c>
      <c r="J499" s="11">
        <v>1.7</v>
      </c>
      <c r="K499" s="12"/>
      <c r="L499" s="12"/>
      <c r="M499" s="12"/>
      <c r="N499" s="12"/>
      <c r="O499" s="12"/>
      <c r="P499" s="12"/>
      <c r="Q499" s="12"/>
      <c r="R499" s="12"/>
      <c r="S499" s="12"/>
    </row>
    <row r="500" spans="1:19" ht="14.25" customHeight="1" x14ac:dyDescent="0.2">
      <c r="A500" s="1" t="s">
        <v>24</v>
      </c>
      <c r="B500" s="7">
        <v>46086.915590277778</v>
      </c>
      <c r="C500" s="7">
        <v>46086.931030092594</v>
      </c>
      <c r="D500" s="8">
        <v>46086</v>
      </c>
      <c r="E500" s="9">
        <v>0.9310300925935735</v>
      </c>
      <c r="F500" s="10" t="s">
        <v>657</v>
      </c>
      <c r="G500" s="10" t="s">
        <v>21</v>
      </c>
      <c r="H500" s="10" t="s">
        <v>101</v>
      </c>
      <c r="I500" s="10" t="s">
        <v>23</v>
      </c>
      <c r="J500" s="11">
        <v>1.7</v>
      </c>
      <c r="K500" s="12"/>
      <c r="L500" s="12"/>
      <c r="M500" s="12"/>
      <c r="N500" s="12"/>
      <c r="O500" s="12"/>
      <c r="P500" s="12"/>
      <c r="Q500" s="12"/>
      <c r="R500" s="12"/>
      <c r="S500" s="12"/>
    </row>
    <row r="501" spans="1:19" ht="14.25" customHeight="1" x14ac:dyDescent="0.2">
      <c r="A501" s="1" t="s">
        <v>24</v>
      </c>
      <c r="B501" s="7">
        <v>46086.912673611114</v>
      </c>
      <c r="C501" s="7">
        <v>46086.93167824074</v>
      </c>
      <c r="D501" s="8">
        <v>46086</v>
      </c>
      <c r="E501" s="9">
        <v>0.93167824074043892</v>
      </c>
      <c r="F501" s="10" t="s">
        <v>658</v>
      </c>
      <c r="G501" s="10" t="s">
        <v>26</v>
      </c>
      <c r="H501" s="10" t="s">
        <v>202</v>
      </c>
      <c r="I501" s="10" t="s">
        <v>23</v>
      </c>
      <c r="J501" s="11">
        <v>0.57999999999999996</v>
      </c>
      <c r="K501" s="12"/>
      <c r="L501" s="12"/>
      <c r="M501" s="12"/>
      <c r="N501" s="12"/>
      <c r="O501" s="12"/>
      <c r="P501" s="12"/>
      <c r="Q501" s="12"/>
      <c r="R501" s="12"/>
      <c r="S501" s="12"/>
    </row>
    <row r="502" spans="1:19" ht="14.25" customHeight="1" x14ac:dyDescent="0.2">
      <c r="A502" s="1" t="s">
        <v>57</v>
      </c>
      <c r="B502" s="7">
        <v>46086.912048611113</v>
      </c>
      <c r="C502" s="7">
        <v>46086.931805555556</v>
      </c>
      <c r="D502" s="8">
        <v>46086</v>
      </c>
      <c r="E502" s="9">
        <v>0.93180555555591127</v>
      </c>
      <c r="F502" s="10" t="s">
        <v>659</v>
      </c>
      <c r="G502" s="10" t="s">
        <v>21</v>
      </c>
      <c r="H502" s="10" t="s">
        <v>59</v>
      </c>
      <c r="I502" s="10" t="s">
        <v>23</v>
      </c>
      <c r="J502" s="11">
        <v>0.83</v>
      </c>
      <c r="K502" s="12"/>
      <c r="L502" s="12"/>
      <c r="M502" s="12"/>
      <c r="N502" s="12"/>
      <c r="O502" s="12"/>
      <c r="P502" s="12"/>
      <c r="Q502" s="12"/>
      <c r="R502" s="12"/>
      <c r="S502" s="12"/>
    </row>
    <row r="503" spans="1:19" ht="14.25" customHeight="1" x14ac:dyDescent="0.2">
      <c r="A503" s="1" t="s">
        <v>33</v>
      </c>
      <c r="B503" s="7">
        <v>46086.920312499999</v>
      </c>
      <c r="C503" s="7">
        <v>46086.932222222225</v>
      </c>
      <c r="D503" s="8">
        <v>46086</v>
      </c>
      <c r="E503" s="9">
        <v>0.93222222222539131</v>
      </c>
      <c r="F503" s="10" t="s">
        <v>660</v>
      </c>
      <c r="G503" s="10" t="s">
        <v>21</v>
      </c>
      <c r="H503" s="10" t="s">
        <v>41</v>
      </c>
      <c r="I503" s="10" t="s">
        <v>23</v>
      </c>
      <c r="J503" s="11">
        <v>1.77</v>
      </c>
      <c r="K503" s="12"/>
      <c r="L503" s="12"/>
      <c r="M503" s="12"/>
      <c r="N503" s="12"/>
      <c r="O503" s="12"/>
      <c r="P503" s="12"/>
      <c r="Q503" s="12"/>
      <c r="R503" s="12"/>
      <c r="S503" s="12"/>
    </row>
    <row r="504" spans="1:19" ht="14.25" customHeight="1" x14ac:dyDescent="0.2">
      <c r="A504" s="1" t="s">
        <v>24</v>
      </c>
      <c r="B504" s="7">
        <v>46086.897256944445</v>
      </c>
      <c r="C504" s="7">
        <v>46086.934236111112</v>
      </c>
      <c r="D504" s="8">
        <v>46086</v>
      </c>
      <c r="E504" s="9">
        <v>0.93423611111211358</v>
      </c>
      <c r="F504" s="10" t="s">
        <v>661</v>
      </c>
      <c r="G504" s="10" t="s">
        <v>21</v>
      </c>
      <c r="H504" s="10" t="s">
        <v>662</v>
      </c>
      <c r="I504" s="10" t="s">
        <v>23</v>
      </c>
      <c r="J504" s="11">
        <v>1.76</v>
      </c>
      <c r="K504" s="12"/>
      <c r="L504" s="12"/>
      <c r="M504" s="12"/>
      <c r="N504" s="12"/>
      <c r="O504" s="12"/>
      <c r="P504" s="12"/>
      <c r="Q504" s="12"/>
      <c r="R504" s="12"/>
      <c r="S504" s="12"/>
    </row>
    <row r="505" spans="1:19" ht="14.25" customHeight="1" x14ac:dyDescent="0.2">
      <c r="A505" s="1" t="s">
        <v>42</v>
      </c>
      <c r="B505" s="7">
        <v>46086.893113425926</v>
      </c>
      <c r="C505" s="7">
        <v>46086.934432870374</v>
      </c>
      <c r="D505" s="8">
        <v>46086</v>
      </c>
      <c r="E505" s="9">
        <v>0.93443287037371192</v>
      </c>
      <c r="F505" s="10" t="s">
        <v>663</v>
      </c>
      <c r="G505" s="10" t="s">
        <v>26</v>
      </c>
      <c r="H505" s="10" t="s">
        <v>664</v>
      </c>
      <c r="I505" s="10" t="s">
        <v>23</v>
      </c>
      <c r="J505" s="11">
        <v>0.57999999999999996</v>
      </c>
      <c r="K505" s="12"/>
      <c r="L505" s="12"/>
      <c r="M505" s="12"/>
      <c r="N505" s="12"/>
      <c r="O505" s="12"/>
      <c r="P505" s="12"/>
      <c r="Q505" s="12"/>
      <c r="R505" s="12"/>
      <c r="S505" s="12"/>
    </row>
    <row r="506" spans="1:19" ht="14.25" customHeight="1" x14ac:dyDescent="0.2">
      <c r="A506" s="1" t="s">
        <v>42</v>
      </c>
      <c r="B506" s="7">
        <v>46086.895057870373</v>
      </c>
      <c r="C506" s="7">
        <v>46086.935162037036</v>
      </c>
      <c r="D506" s="8">
        <v>46086</v>
      </c>
      <c r="E506" s="9">
        <v>0.93516203703620704</v>
      </c>
      <c r="F506" s="10" t="s">
        <v>665</v>
      </c>
      <c r="G506" s="10" t="s">
        <v>26</v>
      </c>
      <c r="H506" s="10" t="s">
        <v>56</v>
      </c>
      <c r="I506" s="10" t="s">
        <v>23</v>
      </c>
      <c r="J506" s="11">
        <v>0.73</v>
      </c>
      <c r="K506" s="12"/>
      <c r="L506" s="12"/>
      <c r="M506" s="12"/>
      <c r="N506" s="12"/>
      <c r="O506" s="12"/>
      <c r="P506" s="12"/>
      <c r="Q506" s="12"/>
      <c r="R506" s="12"/>
      <c r="S506" s="12"/>
    </row>
    <row r="507" spans="1:19" ht="14.25" customHeight="1" x14ac:dyDescent="0.2">
      <c r="A507" s="1" t="s">
        <v>24</v>
      </c>
      <c r="B507" s="7">
        <v>46086.92224537037</v>
      </c>
      <c r="C507" s="7">
        <v>46086.938842592594</v>
      </c>
      <c r="D507" s="8">
        <v>46086</v>
      </c>
      <c r="E507" s="9">
        <v>0.9388425925935735</v>
      </c>
      <c r="F507" s="10" t="s">
        <v>666</v>
      </c>
      <c r="G507" s="10" t="s">
        <v>21</v>
      </c>
      <c r="H507" s="10" t="s">
        <v>22</v>
      </c>
      <c r="I507" s="10" t="s">
        <v>23</v>
      </c>
      <c r="J507" s="11">
        <v>0.83</v>
      </c>
      <c r="K507" s="12"/>
      <c r="L507" s="12"/>
      <c r="M507" s="12"/>
      <c r="N507" s="12"/>
      <c r="O507" s="12"/>
      <c r="P507" s="12"/>
      <c r="Q507" s="12"/>
      <c r="R507" s="12"/>
      <c r="S507" s="12"/>
    </row>
    <row r="508" spans="1:19" ht="14.25" customHeight="1" x14ac:dyDescent="0.2">
      <c r="A508" s="1" t="s">
        <v>19</v>
      </c>
      <c r="B508" s="7">
        <v>46086.924050925925</v>
      </c>
      <c r="C508" s="7">
        <v>46086.939583333333</v>
      </c>
      <c r="D508" s="8">
        <v>46086</v>
      </c>
      <c r="E508" s="9">
        <v>0.93958333333284827</v>
      </c>
      <c r="F508" s="10" t="s">
        <v>667</v>
      </c>
      <c r="G508" s="10" t="s">
        <v>21</v>
      </c>
      <c r="H508" s="10" t="s">
        <v>41</v>
      </c>
      <c r="I508" s="10" t="s">
        <v>23</v>
      </c>
      <c r="J508" s="11">
        <v>1.77</v>
      </c>
      <c r="K508" s="12"/>
      <c r="L508" s="12"/>
      <c r="M508" s="12"/>
      <c r="N508" s="12"/>
      <c r="O508" s="12"/>
      <c r="P508" s="12"/>
      <c r="Q508" s="12"/>
      <c r="R508" s="12"/>
      <c r="S508" s="12"/>
    </row>
    <row r="509" spans="1:19" ht="14.25" customHeight="1" x14ac:dyDescent="0.2">
      <c r="A509" s="1" t="s">
        <v>19</v>
      </c>
      <c r="B509" s="7">
        <v>46086.929456018515</v>
      </c>
      <c r="C509" s="7">
        <v>46086.942372685182</v>
      </c>
      <c r="D509" s="8">
        <v>46086</v>
      </c>
      <c r="E509" s="9">
        <v>0.94237268518190831</v>
      </c>
      <c r="F509" s="10" t="s">
        <v>668</v>
      </c>
      <c r="G509" s="10" t="s">
        <v>21</v>
      </c>
      <c r="H509" s="10" t="s">
        <v>22</v>
      </c>
      <c r="I509" s="10" t="s">
        <v>23</v>
      </c>
      <c r="J509" s="11">
        <v>0.83</v>
      </c>
      <c r="K509" s="12"/>
      <c r="L509" s="12"/>
      <c r="M509" s="12"/>
      <c r="N509" s="12"/>
      <c r="O509" s="12"/>
      <c r="P509" s="12"/>
      <c r="Q509" s="12"/>
      <c r="R509" s="12"/>
      <c r="S509" s="12"/>
    </row>
    <row r="510" spans="1:19" ht="14.25" customHeight="1" x14ac:dyDescent="0.2">
      <c r="A510" s="1" t="s">
        <v>24</v>
      </c>
      <c r="B510" s="7">
        <v>46086.92224537037</v>
      </c>
      <c r="C510" s="7">
        <v>46086.944363425922</v>
      </c>
      <c r="D510" s="8">
        <v>46086</v>
      </c>
      <c r="E510" s="9">
        <v>0.94436342592234723</v>
      </c>
      <c r="F510" s="10" t="s">
        <v>669</v>
      </c>
      <c r="G510" s="10" t="s">
        <v>21</v>
      </c>
      <c r="H510" s="10" t="s">
        <v>39</v>
      </c>
      <c r="I510" s="10" t="s">
        <v>23</v>
      </c>
      <c r="J510" s="11">
        <v>1.77</v>
      </c>
      <c r="K510" s="12"/>
      <c r="L510" s="12"/>
      <c r="M510" s="12"/>
      <c r="N510" s="12"/>
      <c r="O510" s="12"/>
      <c r="P510" s="12"/>
      <c r="Q510" s="12"/>
      <c r="R510" s="12"/>
      <c r="S510" s="12"/>
    </row>
    <row r="511" spans="1:19" ht="14.25" customHeight="1" x14ac:dyDescent="0.2">
      <c r="A511" s="1" t="s">
        <v>46</v>
      </c>
      <c r="B511" s="7">
        <v>46086.931006944447</v>
      </c>
      <c r="C511" s="7">
        <v>46086.945405092592</v>
      </c>
      <c r="D511" s="8">
        <v>46086</v>
      </c>
      <c r="E511" s="9">
        <v>0.94540509259240935</v>
      </c>
      <c r="F511" s="10" t="s">
        <v>670</v>
      </c>
      <c r="G511" s="10" t="s">
        <v>21</v>
      </c>
      <c r="H511" s="10" t="s">
        <v>71</v>
      </c>
      <c r="I511" s="10" t="s">
        <v>23</v>
      </c>
      <c r="J511" s="11">
        <v>1.05</v>
      </c>
      <c r="K511" s="12"/>
      <c r="L511" s="12"/>
      <c r="M511" s="12"/>
      <c r="N511" s="12"/>
      <c r="O511" s="12"/>
      <c r="P511" s="12"/>
      <c r="Q511" s="12"/>
      <c r="R511" s="12"/>
      <c r="S511" s="12"/>
    </row>
    <row r="512" spans="1:19" ht="14.25" customHeight="1" x14ac:dyDescent="0.2">
      <c r="A512" s="1" t="s">
        <v>24</v>
      </c>
      <c r="B512" s="7">
        <v>46086.92759259259</v>
      </c>
      <c r="C512" s="7">
        <v>46086.946273148147</v>
      </c>
      <c r="D512" s="8">
        <v>46086</v>
      </c>
      <c r="E512" s="9">
        <v>0.94627314814715646</v>
      </c>
      <c r="F512" s="10" t="s">
        <v>671</v>
      </c>
      <c r="G512" s="10" t="s">
        <v>26</v>
      </c>
      <c r="H512" s="10" t="s">
        <v>128</v>
      </c>
      <c r="I512" s="10" t="s">
        <v>23</v>
      </c>
      <c r="J512" s="11">
        <v>0.97</v>
      </c>
      <c r="K512" s="12"/>
      <c r="L512" s="12"/>
      <c r="M512" s="12"/>
      <c r="N512" s="12"/>
      <c r="O512" s="12"/>
      <c r="P512" s="12"/>
      <c r="Q512" s="12"/>
      <c r="R512" s="12"/>
      <c r="S512" s="12"/>
    </row>
    <row r="513" spans="1:19" ht="14.25" customHeight="1" x14ac:dyDescent="0.2">
      <c r="A513" s="1" t="s">
        <v>24</v>
      </c>
      <c r="B513" s="7">
        <v>46086.930289351854</v>
      </c>
      <c r="C513" s="7">
        <v>46086.949293981481</v>
      </c>
      <c r="D513" s="8">
        <v>46086</v>
      </c>
      <c r="E513" s="9">
        <v>0.94929398148087785</v>
      </c>
      <c r="F513" s="10" t="s">
        <v>672</v>
      </c>
      <c r="G513" s="10" t="s">
        <v>21</v>
      </c>
      <c r="H513" s="10" t="s">
        <v>22</v>
      </c>
      <c r="I513" s="10" t="s">
        <v>23</v>
      </c>
      <c r="J513" s="11">
        <v>0.83</v>
      </c>
      <c r="K513" s="12"/>
      <c r="L513" s="12"/>
      <c r="M513" s="12"/>
      <c r="N513" s="12"/>
      <c r="O513" s="12"/>
      <c r="P513" s="12"/>
      <c r="Q513" s="12"/>
      <c r="R513" s="12"/>
      <c r="S513" s="12"/>
    </row>
    <row r="514" spans="1:19" ht="14.25" customHeight="1" x14ac:dyDescent="0.2">
      <c r="A514" s="1" t="s">
        <v>24</v>
      </c>
      <c r="B514" s="7">
        <v>46086.931932870371</v>
      </c>
      <c r="C514" s="7">
        <v>46086.949467592596</v>
      </c>
      <c r="D514" s="8">
        <v>46086</v>
      </c>
      <c r="E514" s="9">
        <v>0.94946759259619284</v>
      </c>
      <c r="F514" s="10" t="s">
        <v>673</v>
      </c>
      <c r="G514" s="10" t="s">
        <v>21</v>
      </c>
      <c r="H514" s="10" t="s">
        <v>52</v>
      </c>
      <c r="I514" s="10" t="s">
        <v>23</v>
      </c>
      <c r="J514" s="11">
        <v>0.98</v>
      </c>
      <c r="K514" s="12"/>
      <c r="L514" s="12"/>
      <c r="M514" s="12"/>
      <c r="N514" s="12"/>
      <c r="O514" s="12"/>
      <c r="P514" s="12"/>
      <c r="Q514" s="12"/>
      <c r="R514" s="12"/>
      <c r="S514" s="12"/>
    </row>
    <row r="515" spans="1:19" ht="14.25" customHeight="1" x14ac:dyDescent="0.2">
      <c r="A515" s="1" t="s">
        <v>33</v>
      </c>
      <c r="B515" s="7">
        <v>46086.92596064815</v>
      </c>
      <c r="C515" s="7">
        <v>46086.949872685182</v>
      </c>
      <c r="D515" s="8">
        <v>46086</v>
      </c>
      <c r="E515" s="9">
        <v>0.94987268518161727</v>
      </c>
      <c r="F515" s="10" t="s">
        <v>674</v>
      </c>
      <c r="G515" s="10" t="s">
        <v>26</v>
      </c>
      <c r="H515" s="10" t="s">
        <v>86</v>
      </c>
      <c r="I515" s="10" t="s">
        <v>23</v>
      </c>
      <c r="J515" s="11">
        <v>0.88</v>
      </c>
      <c r="K515" s="12"/>
      <c r="L515" s="12"/>
      <c r="M515" s="12"/>
      <c r="N515" s="12"/>
      <c r="O515" s="12"/>
      <c r="P515" s="12"/>
      <c r="Q515" s="12"/>
      <c r="R515" s="12"/>
      <c r="S515" s="12"/>
    </row>
    <row r="516" spans="1:19" ht="14.25" customHeight="1" x14ac:dyDescent="0.2">
      <c r="A516" s="1" t="s">
        <v>33</v>
      </c>
      <c r="B516" s="7">
        <v>46086.877430555556</v>
      </c>
      <c r="C516" s="7">
        <v>46086.950810185182</v>
      </c>
      <c r="D516" s="8">
        <v>46086</v>
      </c>
      <c r="E516" s="9">
        <v>0.95081018518249039</v>
      </c>
      <c r="F516" s="10" t="s">
        <v>675</v>
      </c>
      <c r="G516" s="10" t="s">
        <v>26</v>
      </c>
      <c r="H516" s="10" t="s">
        <v>80</v>
      </c>
      <c r="I516" s="10" t="s">
        <v>23</v>
      </c>
      <c r="J516" s="11">
        <v>0.56999999999999995</v>
      </c>
      <c r="K516" s="12"/>
      <c r="L516" s="12"/>
      <c r="M516" s="12"/>
      <c r="N516" s="12"/>
      <c r="O516" s="12"/>
      <c r="P516" s="12"/>
      <c r="Q516" s="12"/>
      <c r="R516" s="12"/>
      <c r="S516" s="12"/>
    </row>
    <row r="517" spans="1:19" ht="14.25" customHeight="1" x14ac:dyDescent="0.2">
      <c r="A517" s="1" t="s">
        <v>24</v>
      </c>
      <c r="B517" s="7">
        <v>46086.940891203703</v>
      </c>
      <c r="C517" s="7">
        <v>46086.956319444442</v>
      </c>
      <c r="D517" s="8">
        <v>46086</v>
      </c>
      <c r="E517" s="9">
        <v>0.95631944444176042</v>
      </c>
      <c r="F517" s="10" t="s">
        <v>676</v>
      </c>
      <c r="G517" s="10" t="s">
        <v>21</v>
      </c>
      <c r="H517" s="10" t="s">
        <v>101</v>
      </c>
      <c r="I517" s="10" t="s">
        <v>23</v>
      </c>
      <c r="J517" s="11">
        <v>1.7</v>
      </c>
      <c r="K517" s="12"/>
      <c r="L517" s="12"/>
      <c r="M517" s="12"/>
      <c r="N517" s="12"/>
      <c r="O517" s="12"/>
      <c r="P517" s="12"/>
      <c r="Q517" s="12"/>
      <c r="R517" s="12"/>
      <c r="S517" s="12"/>
    </row>
    <row r="518" spans="1:19" ht="14.25" customHeight="1" x14ac:dyDescent="0.2">
      <c r="A518" s="22" t="s">
        <v>19</v>
      </c>
      <c r="B518" s="23">
        <v>46086.877638888887</v>
      </c>
      <c r="C518" s="23">
        <v>46086.917743055557</v>
      </c>
      <c r="D518" s="24">
        <v>46086</v>
      </c>
      <c r="E518" s="25">
        <v>0.91774305555736646</v>
      </c>
      <c r="F518" s="22" t="s">
        <v>677</v>
      </c>
      <c r="G518" s="22" t="s">
        <v>44</v>
      </c>
      <c r="H518" s="22" t="s">
        <v>185</v>
      </c>
      <c r="I518" s="22" t="s">
        <v>583</v>
      </c>
      <c r="J518" s="26">
        <v>0.18</v>
      </c>
      <c r="K518" s="26"/>
      <c r="L518" s="26">
        <f>SUM(J518:J524)</f>
        <v>6.6099999999999994</v>
      </c>
      <c r="M518" s="13">
        <f>L518*65</f>
        <v>429.65</v>
      </c>
      <c r="N518" s="14">
        <f>MAX(500,M518)</f>
        <v>500</v>
      </c>
      <c r="O518" s="26"/>
      <c r="P518" s="26"/>
      <c r="Q518" s="26"/>
      <c r="R518" s="26"/>
      <c r="S518" s="26"/>
    </row>
    <row r="519" spans="1:19" ht="14.25" customHeight="1" x14ac:dyDescent="0.2">
      <c r="A519" s="22" t="s">
        <v>24</v>
      </c>
      <c r="B519" s="23">
        <v>46086.875451388885</v>
      </c>
      <c r="C519" s="23">
        <v>46086.919178240743</v>
      </c>
      <c r="D519" s="24">
        <v>46086</v>
      </c>
      <c r="E519" s="25">
        <v>0.91917824074334931</v>
      </c>
      <c r="F519" s="22" t="s">
        <v>678</v>
      </c>
      <c r="G519" s="22" t="s">
        <v>44</v>
      </c>
      <c r="H519" s="22" t="s">
        <v>185</v>
      </c>
      <c r="I519" s="22" t="s">
        <v>583</v>
      </c>
      <c r="J519" s="26">
        <v>0.18</v>
      </c>
      <c r="K519" s="26"/>
      <c r="L519" s="26"/>
      <c r="M519" s="26"/>
      <c r="N519" s="26"/>
      <c r="O519" s="26"/>
      <c r="P519" s="26"/>
      <c r="Q519" s="26"/>
      <c r="R519" s="26"/>
      <c r="S519" s="26"/>
    </row>
    <row r="520" spans="1:19" ht="14.25" customHeight="1" x14ac:dyDescent="0.2">
      <c r="A520" s="22" t="s">
        <v>46</v>
      </c>
      <c r="B520" s="23">
        <v>46086.865416666667</v>
      </c>
      <c r="C520" s="23">
        <v>46086.93304398148</v>
      </c>
      <c r="D520" s="24">
        <v>46086</v>
      </c>
      <c r="E520" s="25">
        <v>0.93304398148029577</v>
      </c>
      <c r="F520" s="22" t="s">
        <v>679</v>
      </c>
      <c r="G520" s="22" t="s">
        <v>21</v>
      </c>
      <c r="H520" s="22" t="s">
        <v>101</v>
      </c>
      <c r="I520" s="22" t="s">
        <v>583</v>
      </c>
      <c r="J520" s="26">
        <v>1.7</v>
      </c>
      <c r="K520" s="26"/>
      <c r="L520" s="26"/>
      <c r="M520" s="26"/>
      <c r="N520" s="26"/>
      <c r="O520" s="26"/>
      <c r="P520" s="26"/>
      <c r="Q520" s="26"/>
      <c r="R520" s="26"/>
      <c r="S520" s="26"/>
    </row>
    <row r="521" spans="1:19" ht="14.25" customHeight="1" x14ac:dyDescent="0.2">
      <c r="A521" s="22" t="s">
        <v>46</v>
      </c>
      <c r="B521" s="23">
        <v>46086.868148148147</v>
      </c>
      <c r="C521" s="23">
        <v>46086.93304398148</v>
      </c>
      <c r="D521" s="24">
        <v>46086</v>
      </c>
      <c r="E521" s="25">
        <v>0.93304398148029577</v>
      </c>
      <c r="F521" s="22" t="s">
        <v>680</v>
      </c>
      <c r="G521" s="22" t="s">
        <v>21</v>
      </c>
      <c r="H521" s="22" t="s">
        <v>39</v>
      </c>
      <c r="I521" s="22" t="s">
        <v>583</v>
      </c>
      <c r="J521" s="26">
        <v>1.77</v>
      </c>
      <c r="K521" s="26"/>
      <c r="L521" s="26"/>
      <c r="M521" s="26"/>
      <c r="N521" s="26"/>
      <c r="O521" s="26"/>
      <c r="P521" s="26"/>
      <c r="Q521" s="26"/>
      <c r="R521" s="26"/>
      <c r="S521" s="26"/>
    </row>
    <row r="522" spans="1:19" ht="14.25" customHeight="1" x14ac:dyDescent="0.2">
      <c r="A522" s="22" t="s">
        <v>24</v>
      </c>
      <c r="B522" s="23">
        <v>46086.878483796296</v>
      </c>
      <c r="C522" s="23">
        <v>46086.936539351853</v>
      </c>
      <c r="D522" s="24">
        <v>46086</v>
      </c>
      <c r="E522" s="25">
        <v>0.93653935185284354</v>
      </c>
      <c r="F522" s="22" t="s">
        <v>681</v>
      </c>
      <c r="G522" s="22" t="s">
        <v>44</v>
      </c>
      <c r="H522" s="22" t="s">
        <v>185</v>
      </c>
      <c r="I522" s="22" t="s">
        <v>583</v>
      </c>
      <c r="J522" s="26">
        <v>0.18</v>
      </c>
      <c r="K522" s="26"/>
      <c r="L522" s="26"/>
      <c r="M522" s="26"/>
      <c r="N522" s="26"/>
      <c r="O522" s="26"/>
      <c r="P522" s="26"/>
      <c r="Q522" s="26"/>
      <c r="R522" s="26"/>
      <c r="S522" s="26"/>
    </row>
    <row r="523" spans="1:19" ht="14.25" customHeight="1" x14ac:dyDescent="0.2">
      <c r="A523" s="22" t="s">
        <v>19</v>
      </c>
      <c r="B523" s="23">
        <v>46086.920682870368</v>
      </c>
      <c r="C523" s="23">
        <v>46086.944675925923</v>
      </c>
      <c r="D523" s="24">
        <v>46086</v>
      </c>
      <c r="E523" s="25">
        <v>0.94467592592263827</v>
      </c>
      <c r="F523" s="22" t="s">
        <v>682</v>
      </c>
      <c r="G523" s="22" t="s">
        <v>21</v>
      </c>
      <c r="H523" s="22" t="s">
        <v>22</v>
      </c>
      <c r="I523" s="22" t="s">
        <v>583</v>
      </c>
      <c r="J523" s="26">
        <v>0.83</v>
      </c>
      <c r="K523" s="26"/>
      <c r="L523" s="26"/>
      <c r="M523" s="26"/>
      <c r="N523" s="26"/>
      <c r="O523" s="26"/>
      <c r="P523" s="26"/>
      <c r="Q523" s="26"/>
      <c r="R523" s="26"/>
      <c r="S523" s="26"/>
    </row>
    <row r="524" spans="1:19" ht="14.25" customHeight="1" x14ac:dyDescent="0.2">
      <c r="A524" s="22" t="s">
        <v>19</v>
      </c>
      <c r="B524" s="23">
        <v>46086.920682870368</v>
      </c>
      <c r="C524" s="23">
        <v>46086.954375000001</v>
      </c>
      <c r="D524" s="24">
        <v>46086</v>
      </c>
      <c r="E524" s="25">
        <v>0.95437500000116415</v>
      </c>
      <c r="F524" s="22" t="s">
        <v>683</v>
      </c>
      <c r="G524" s="22" t="s">
        <v>21</v>
      </c>
      <c r="H524" s="22" t="s">
        <v>39</v>
      </c>
      <c r="I524" s="22" t="s">
        <v>583</v>
      </c>
      <c r="J524" s="26">
        <v>1.77</v>
      </c>
      <c r="K524" s="26"/>
      <c r="L524" s="26"/>
      <c r="M524" s="26"/>
      <c r="N524" s="26"/>
      <c r="O524" s="26"/>
      <c r="P524" s="26"/>
      <c r="Q524" s="26"/>
      <c r="R524" s="26"/>
      <c r="S524" s="26"/>
    </row>
    <row r="525" spans="1:19" ht="14.25" customHeight="1" x14ac:dyDescent="0.2">
      <c r="A525" s="1" t="s">
        <v>24</v>
      </c>
      <c r="B525" s="7">
        <v>46086.945729166669</v>
      </c>
      <c r="C525" s="7">
        <v>46086.960069444445</v>
      </c>
      <c r="D525" s="8">
        <v>46086</v>
      </c>
      <c r="E525" s="9">
        <v>0.96006944444525288</v>
      </c>
      <c r="F525" s="10" t="s">
        <v>684</v>
      </c>
      <c r="G525" s="10" t="s">
        <v>21</v>
      </c>
      <c r="H525" s="10" t="s">
        <v>41</v>
      </c>
      <c r="I525" s="10" t="s">
        <v>23</v>
      </c>
      <c r="J525" s="11">
        <v>1.77</v>
      </c>
      <c r="K525" s="12"/>
      <c r="L525" s="12">
        <f>SUM(J525:J542)</f>
        <v>24.159999999999993</v>
      </c>
      <c r="M525" s="13">
        <f>L525*65</f>
        <v>1570.3999999999996</v>
      </c>
      <c r="N525" s="14">
        <f>MAX(500,M525)</f>
        <v>1570.3999999999996</v>
      </c>
      <c r="O525" s="12"/>
      <c r="P525" s="12"/>
      <c r="Q525" s="12"/>
      <c r="R525" s="12"/>
      <c r="S525" s="12"/>
    </row>
    <row r="526" spans="1:19" ht="14.25" customHeight="1" x14ac:dyDescent="0.2">
      <c r="A526" s="1" t="s">
        <v>24</v>
      </c>
      <c r="B526" s="7">
        <v>46086.950740740744</v>
      </c>
      <c r="C526" s="7">
        <v>46086.960682870369</v>
      </c>
      <c r="D526" s="8">
        <v>46086</v>
      </c>
      <c r="E526" s="9">
        <v>0.96068287036905531</v>
      </c>
      <c r="F526" s="10" t="s">
        <v>685</v>
      </c>
      <c r="G526" s="10" t="s">
        <v>21</v>
      </c>
      <c r="H526" s="10" t="s">
        <v>41</v>
      </c>
      <c r="I526" s="10" t="s">
        <v>23</v>
      </c>
      <c r="J526" s="11">
        <v>1.77</v>
      </c>
      <c r="K526" s="12"/>
      <c r="L526" s="12"/>
      <c r="M526" s="12"/>
      <c r="N526" s="12"/>
      <c r="O526" s="12"/>
      <c r="P526" s="12"/>
      <c r="Q526" s="12"/>
      <c r="R526" s="12"/>
      <c r="S526" s="12"/>
    </row>
    <row r="527" spans="1:19" ht="14.25" customHeight="1" x14ac:dyDescent="0.2">
      <c r="A527" s="1" t="s">
        <v>57</v>
      </c>
      <c r="B527" s="7">
        <v>46086.920347222222</v>
      </c>
      <c r="C527" s="7">
        <v>46086.961377314816</v>
      </c>
      <c r="D527" s="8">
        <v>46086</v>
      </c>
      <c r="E527" s="9">
        <v>0.96137731481576338</v>
      </c>
      <c r="F527" s="10" t="s">
        <v>686</v>
      </c>
      <c r="G527" s="10" t="s">
        <v>21</v>
      </c>
      <c r="H527" s="10" t="s">
        <v>687</v>
      </c>
      <c r="I527" s="10" t="s">
        <v>23</v>
      </c>
      <c r="J527" s="11">
        <v>1.7</v>
      </c>
      <c r="K527" s="12"/>
      <c r="L527" s="12"/>
      <c r="M527" s="12"/>
      <c r="N527" s="12"/>
      <c r="O527" s="12"/>
      <c r="P527" s="12"/>
      <c r="Q527" s="12"/>
      <c r="R527" s="12"/>
      <c r="S527" s="12"/>
    </row>
    <row r="528" spans="1:19" ht="14.25" customHeight="1" x14ac:dyDescent="0.2">
      <c r="A528" s="1" t="s">
        <v>24</v>
      </c>
      <c r="B528" s="7">
        <v>46086.945486111108</v>
      </c>
      <c r="C528" s="7">
        <v>46086.962071759262</v>
      </c>
      <c r="D528" s="8">
        <v>46086</v>
      </c>
      <c r="E528" s="9">
        <v>0.96207175926247146</v>
      </c>
      <c r="F528" s="10" t="s">
        <v>688</v>
      </c>
      <c r="G528" s="10" t="s">
        <v>26</v>
      </c>
      <c r="H528" s="10" t="s">
        <v>205</v>
      </c>
      <c r="I528" s="10" t="s">
        <v>23</v>
      </c>
      <c r="J528" s="11">
        <v>0.57999999999999996</v>
      </c>
      <c r="K528" s="12"/>
      <c r="L528" s="12"/>
      <c r="M528" s="12"/>
      <c r="N528" s="12"/>
      <c r="O528" s="12"/>
      <c r="P528" s="12"/>
      <c r="Q528" s="12"/>
      <c r="R528" s="12"/>
      <c r="S528" s="12"/>
    </row>
    <row r="529" spans="1:19" ht="14.25" customHeight="1" x14ac:dyDescent="0.2">
      <c r="A529" s="1" t="s">
        <v>57</v>
      </c>
      <c r="B529" s="7">
        <v>46086.946145833332</v>
      </c>
      <c r="C529" s="7">
        <v>46086.96702546296</v>
      </c>
      <c r="D529" s="8">
        <v>46086</v>
      </c>
      <c r="E529" s="9">
        <v>0.96702546296000946</v>
      </c>
      <c r="F529" s="10" t="s">
        <v>689</v>
      </c>
      <c r="G529" s="10" t="s">
        <v>21</v>
      </c>
      <c r="H529" s="10" t="s">
        <v>59</v>
      </c>
      <c r="I529" s="10" t="s">
        <v>23</v>
      </c>
      <c r="J529" s="11">
        <v>0.83</v>
      </c>
      <c r="K529" s="12"/>
      <c r="L529" s="12"/>
      <c r="M529" s="12"/>
      <c r="N529" s="12"/>
      <c r="O529" s="12"/>
      <c r="P529" s="12"/>
      <c r="Q529" s="12"/>
      <c r="R529" s="12"/>
      <c r="S529" s="12"/>
    </row>
    <row r="530" spans="1:19" ht="14.25" customHeight="1" x14ac:dyDescent="0.2">
      <c r="A530" s="1" t="s">
        <v>28</v>
      </c>
      <c r="B530" s="7">
        <v>46086.953472222223</v>
      </c>
      <c r="C530" s="7">
        <v>46086.967187499999</v>
      </c>
      <c r="D530" s="8">
        <v>46086</v>
      </c>
      <c r="E530" s="9">
        <v>0.96718749999854481</v>
      </c>
      <c r="F530" s="10" t="s">
        <v>690</v>
      </c>
      <c r="G530" s="10" t="s">
        <v>21</v>
      </c>
      <c r="H530" s="10" t="s">
        <v>22</v>
      </c>
      <c r="I530" s="10" t="s">
        <v>23</v>
      </c>
      <c r="J530" s="11">
        <v>0.83</v>
      </c>
      <c r="K530" s="12"/>
      <c r="L530" s="12"/>
      <c r="M530" s="12"/>
      <c r="N530" s="12"/>
      <c r="O530" s="12"/>
      <c r="P530" s="12"/>
      <c r="Q530" s="12"/>
      <c r="R530" s="12"/>
      <c r="S530" s="12"/>
    </row>
    <row r="531" spans="1:19" ht="14.25" customHeight="1" x14ac:dyDescent="0.2">
      <c r="A531" s="1" t="s">
        <v>24</v>
      </c>
      <c r="B531" s="7">
        <v>46086.956562500003</v>
      </c>
      <c r="C531" s="7">
        <v>46086.967824074076</v>
      </c>
      <c r="D531" s="8">
        <v>46086</v>
      </c>
      <c r="E531" s="9">
        <v>0.96782407407590654</v>
      </c>
      <c r="F531" s="10" t="s">
        <v>691</v>
      </c>
      <c r="G531" s="10" t="s">
        <v>21</v>
      </c>
      <c r="H531" s="10" t="s">
        <v>41</v>
      </c>
      <c r="I531" s="10" t="s">
        <v>23</v>
      </c>
      <c r="J531" s="11">
        <v>1.77</v>
      </c>
      <c r="K531" s="12"/>
      <c r="L531" s="12"/>
      <c r="M531" s="12"/>
      <c r="N531" s="12"/>
      <c r="O531" s="12"/>
      <c r="P531" s="12"/>
      <c r="Q531" s="12"/>
      <c r="R531" s="12"/>
      <c r="S531" s="12"/>
    </row>
    <row r="532" spans="1:19" ht="14.25" customHeight="1" x14ac:dyDescent="0.2">
      <c r="A532" s="1" t="s">
        <v>33</v>
      </c>
      <c r="B532" s="7">
        <v>46086.942037037035</v>
      </c>
      <c r="C532" s="7">
        <v>46086.969594907408</v>
      </c>
      <c r="D532" s="8">
        <v>46086</v>
      </c>
      <c r="E532" s="9">
        <v>0.96959490740846377</v>
      </c>
      <c r="F532" s="10" t="s">
        <v>692</v>
      </c>
      <c r="G532" s="10" t="s">
        <v>21</v>
      </c>
      <c r="H532" s="10" t="s">
        <v>440</v>
      </c>
      <c r="I532" s="10" t="s">
        <v>23</v>
      </c>
      <c r="J532" s="11">
        <v>2.34</v>
      </c>
      <c r="K532" s="12"/>
      <c r="L532" s="12"/>
      <c r="M532" s="12"/>
      <c r="N532" s="12"/>
      <c r="O532" s="12"/>
      <c r="P532" s="12"/>
      <c r="Q532" s="12"/>
      <c r="R532" s="12"/>
      <c r="S532" s="12"/>
    </row>
    <row r="533" spans="1:19" ht="14.25" customHeight="1" x14ac:dyDescent="0.2">
      <c r="A533" s="1" t="s">
        <v>33</v>
      </c>
      <c r="B533" s="7">
        <v>46086.962777777779</v>
      </c>
      <c r="C533" s="7">
        <v>46086.975069444445</v>
      </c>
      <c r="D533" s="8">
        <v>46086</v>
      </c>
      <c r="E533" s="9">
        <v>0.97506944444467081</v>
      </c>
      <c r="F533" s="10" t="s">
        <v>693</v>
      </c>
      <c r="G533" s="10" t="s">
        <v>21</v>
      </c>
      <c r="H533" s="10" t="s">
        <v>22</v>
      </c>
      <c r="I533" s="10" t="s">
        <v>23</v>
      </c>
      <c r="J533" s="11">
        <v>0.83</v>
      </c>
      <c r="K533" s="12"/>
      <c r="L533" s="12"/>
      <c r="M533" s="12"/>
      <c r="N533" s="12"/>
      <c r="O533" s="12"/>
      <c r="P533" s="12"/>
      <c r="Q533" s="12"/>
      <c r="R533" s="12"/>
      <c r="S533" s="12"/>
    </row>
    <row r="534" spans="1:19" ht="14.25" customHeight="1" x14ac:dyDescent="0.2">
      <c r="A534" s="1" t="s">
        <v>57</v>
      </c>
      <c r="B534" s="7">
        <v>46086.953101851854</v>
      </c>
      <c r="C534" s="7">
        <v>46086.975474537037</v>
      </c>
      <c r="D534" s="8">
        <v>46086</v>
      </c>
      <c r="E534" s="9">
        <v>0.97547453703737119</v>
      </c>
      <c r="F534" s="10" t="s">
        <v>694</v>
      </c>
      <c r="G534" s="10" t="s">
        <v>21</v>
      </c>
      <c r="H534" s="10" t="s">
        <v>687</v>
      </c>
      <c r="I534" s="10" t="s">
        <v>23</v>
      </c>
      <c r="J534" s="11">
        <v>1.7</v>
      </c>
      <c r="K534" s="12"/>
      <c r="L534" s="12"/>
      <c r="M534" s="12"/>
      <c r="N534" s="12"/>
      <c r="O534" s="12"/>
      <c r="P534" s="12"/>
      <c r="Q534" s="12"/>
      <c r="R534" s="12"/>
      <c r="S534" s="12"/>
    </row>
    <row r="535" spans="1:19" ht="14.25" customHeight="1" x14ac:dyDescent="0.2">
      <c r="A535" s="1" t="s">
        <v>95</v>
      </c>
      <c r="B535" s="7">
        <v>46086.977118055554</v>
      </c>
      <c r="C535" s="7">
        <v>46086.982349537036</v>
      </c>
      <c r="D535" s="8">
        <v>46086</v>
      </c>
      <c r="E535" s="9">
        <v>0.98234953703649808</v>
      </c>
      <c r="F535" s="10" t="s">
        <v>695</v>
      </c>
      <c r="G535" s="10" t="s">
        <v>21</v>
      </c>
      <c r="H535" s="10" t="s">
        <v>52</v>
      </c>
      <c r="I535" s="10" t="s">
        <v>23</v>
      </c>
      <c r="J535" s="11">
        <v>0.98</v>
      </c>
      <c r="K535" s="12"/>
      <c r="L535" s="12"/>
      <c r="M535" s="12"/>
      <c r="N535" s="12"/>
      <c r="O535" s="12"/>
      <c r="P535" s="12"/>
      <c r="Q535" s="12"/>
      <c r="R535" s="12"/>
      <c r="S535" s="12"/>
    </row>
    <row r="536" spans="1:19" ht="14.25" customHeight="1" x14ac:dyDescent="0.2">
      <c r="A536" s="1" t="s">
        <v>95</v>
      </c>
      <c r="B536" s="7">
        <v>46086.975405092591</v>
      </c>
      <c r="C536" s="7">
        <v>46086.982627314814</v>
      </c>
      <c r="D536" s="8">
        <v>46086</v>
      </c>
      <c r="E536" s="9">
        <v>0.98262731481372612</v>
      </c>
      <c r="F536" s="10" t="s">
        <v>696</v>
      </c>
      <c r="G536" s="10" t="s">
        <v>21</v>
      </c>
      <c r="H536" s="10" t="s">
        <v>110</v>
      </c>
      <c r="I536" s="10" t="s">
        <v>23</v>
      </c>
      <c r="J536" s="11">
        <v>0.83</v>
      </c>
      <c r="K536" s="12"/>
      <c r="L536" s="12"/>
      <c r="M536" s="12"/>
      <c r="N536" s="12"/>
      <c r="O536" s="12"/>
      <c r="P536" s="12"/>
      <c r="Q536" s="12"/>
      <c r="R536" s="12"/>
      <c r="S536" s="12"/>
    </row>
    <row r="537" spans="1:19" ht="14.25" customHeight="1" x14ac:dyDescent="0.2">
      <c r="A537" s="1" t="s">
        <v>95</v>
      </c>
      <c r="B537" s="7">
        <v>46086.96434027778</v>
      </c>
      <c r="C537" s="7">
        <v>46086.983819444446</v>
      </c>
      <c r="D537" s="8">
        <v>46086</v>
      </c>
      <c r="E537" s="9">
        <v>0.98381944444554392</v>
      </c>
      <c r="F537" s="10" t="s">
        <v>697</v>
      </c>
      <c r="G537" s="10" t="s">
        <v>21</v>
      </c>
      <c r="H537" s="10" t="s">
        <v>97</v>
      </c>
      <c r="I537" s="10" t="s">
        <v>23</v>
      </c>
      <c r="J537" s="11">
        <v>1.77</v>
      </c>
      <c r="K537" s="12"/>
      <c r="L537" s="12"/>
      <c r="M537" s="12"/>
      <c r="N537" s="12"/>
      <c r="O537" s="12"/>
      <c r="P537" s="12"/>
      <c r="Q537" s="12"/>
      <c r="R537" s="12"/>
      <c r="S537" s="12"/>
    </row>
    <row r="538" spans="1:19" ht="14.25" customHeight="1" x14ac:dyDescent="0.2">
      <c r="A538" s="1" t="s">
        <v>24</v>
      </c>
      <c r="B538" s="7">
        <v>46086.963946759257</v>
      </c>
      <c r="C538" s="7">
        <v>46086.985833333332</v>
      </c>
      <c r="D538" s="8">
        <v>46086</v>
      </c>
      <c r="E538" s="9">
        <v>0.98583333333226619</v>
      </c>
      <c r="F538" s="10" t="s">
        <v>698</v>
      </c>
      <c r="G538" s="10" t="s">
        <v>21</v>
      </c>
      <c r="H538" s="10" t="s">
        <v>248</v>
      </c>
      <c r="I538" s="10" t="s">
        <v>23</v>
      </c>
      <c r="J538" s="11">
        <v>2.15</v>
      </c>
      <c r="K538" s="12"/>
      <c r="L538" s="12"/>
      <c r="M538" s="12"/>
      <c r="N538" s="12"/>
      <c r="O538" s="12"/>
      <c r="P538" s="12"/>
      <c r="Q538" s="12"/>
      <c r="R538" s="12"/>
      <c r="S538" s="12"/>
    </row>
    <row r="539" spans="1:19" ht="14.25" customHeight="1" x14ac:dyDescent="0.2">
      <c r="A539" s="1" t="s">
        <v>19</v>
      </c>
      <c r="B539" s="7">
        <v>46086.975601851853</v>
      </c>
      <c r="C539" s="7">
        <v>46086.985995370371</v>
      </c>
      <c r="D539" s="8">
        <v>46086</v>
      </c>
      <c r="E539" s="9">
        <v>0.98599537037080154</v>
      </c>
      <c r="F539" s="10" t="s">
        <v>699</v>
      </c>
      <c r="G539" s="10" t="s">
        <v>21</v>
      </c>
      <c r="H539" s="10" t="s">
        <v>22</v>
      </c>
      <c r="I539" s="10" t="s">
        <v>23</v>
      </c>
      <c r="J539" s="11">
        <v>0.83</v>
      </c>
      <c r="K539" s="12"/>
      <c r="L539" s="12"/>
      <c r="M539" s="12"/>
      <c r="N539" s="12"/>
      <c r="O539" s="12"/>
      <c r="P539" s="12"/>
      <c r="Q539" s="12"/>
      <c r="R539" s="12"/>
      <c r="S539" s="12"/>
    </row>
    <row r="540" spans="1:19" ht="14.25" customHeight="1" x14ac:dyDescent="0.2">
      <c r="A540" s="1" t="s">
        <v>24</v>
      </c>
      <c r="B540" s="7">
        <v>46086.978125000001</v>
      </c>
      <c r="C540" s="7">
        <v>46086.991446759261</v>
      </c>
      <c r="D540" s="8">
        <v>46086</v>
      </c>
      <c r="E540" s="9">
        <v>0.99144675926072523</v>
      </c>
      <c r="F540" s="10" t="s">
        <v>700</v>
      </c>
      <c r="G540" s="10" t="s">
        <v>21</v>
      </c>
      <c r="H540" s="10" t="s">
        <v>22</v>
      </c>
      <c r="I540" s="10" t="s">
        <v>23</v>
      </c>
      <c r="J540" s="11">
        <v>0.83</v>
      </c>
      <c r="K540" s="12"/>
      <c r="L540" s="12"/>
      <c r="M540" s="12"/>
      <c r="N540" s="12"/>
      <c r="O540" s="12"/>
      <c r="P540" s="12"/>
      <c r="Q540" s="12"/>
      <c r="R540" s="12"/>
      <c r="S540" s="12"/>
    </row>
    <row r="541" spans="1:19" ht="14.25" customHeight="1" x14ac:dyDescent="0.2">
      <c r="A541" s="1" t="s">
        <v>24</v>
      </c>
      <c r="B541" s="7">
        <v>46086.976365740738</v>
      </c>
      <c r="C541" s="7">
        <v>46086.996377314812</v>
      </c>
      <c r="D541" s="8">
        <v>46086</v>
      </c>
      <c r="E541" s="9">
        <v>0.99637731481197989</v>
      </c>
      <c r="F541" s="10" t="s">
        <v>701</v>
      </c>
      <c r="G541" s="10" t="s">
        <v>26</v>
      </c>
      <c r="H541" s="10" t="s">
        <v>284</v>
      </c>
      <c r="I541" s="10" t="s">
        <v>23</v>
      </c>
      <c r="J541" s="11">
        <v>0.88</v>
      </c>
      <c r="K541" s="12"/>
      <c r="L541" s="12"/>
      <c r="M541" s="12"/>
      <c r="N541" s="12"/>
      <c r="O541" s="12"/>
      <c r="P541" s="12"/>
      <c r="Q541" s="12"/>
      <c r="R541" s="12"/>
      <c r="S541" s="12"/>
    </row>
    <row r="542" spans="1:19" ht="14.25" customHeight="1" x14ac:dyDescent="0.2">
      <c r="A542" s="1" t="s">
        <v>24</v>
      </c>
      <c r="B542" s="7">
        <v>46086.987129629626</v>
      </c>
      <c r="C542" s="7">
        <v>46086.999768518515</v>
      </c>
      <c r="D542" s="8">
        <v>46086</v>
      </c>
      <c r="E542" s="9">
        <v>0.99976851851533866</v>
      </c>
      <c r="F542" s="10" t="s">
        <v>702</v>
      </c>
      <c r="G542" s="10" t="s">
        <v>21</v>
      </c>
      <c r="H542" s="10" t="s">
        <v>41</v>
      </c>
      <c r="I542" s="10" t="s">
        <v>23</v>
      </c>
      <c r="J542" s="11">
        <v>1.77</v>
      </c>
      <c r="K542" s="12"/>
      <c r="L542" s="12"/>
      <c r="M542" s="12"/>
      <c r="N542" s="12"/>
      <c r="O542" s="12"/>
      <c r="P542" s="12"/>
      <c r="Q542" s="12"/>
      <c r="R542" s="12"/>
      <c r="S542" s="12"/>
    </row>
    <row r="543" spans="1:19" ht="14.25" customHeight="1" x14ac:dyDescent="0.2">
      <c r="A543" s="1" t="s">
        <v>95</v>
      </c>
      <c r="B543" s="7">
        <v>46086.966099537036</v>
      </c>
      <c r="C543" s="7">
        <v>46087.000787037039</v>
      </c>
      <c r="D543" s="8">
        <v>46087</v>
      </c>
      <c r="E543" s="9">
        <v>7.8703703911742195E-4</v>
      </c>
      <c r="F543" s="10" t="s">
        <v>703</v>
      </c>
      <c r="G543" s="10" t="s">
        <v>21</v>
      </c>
      <c r="H543" s="10" t="s">
        <v>97</v>
      </c>
      <c r="I543" s="10" t="s">
        <v>23</v>
      </c>
      <c r="J543" s="11">
        <v>1.77</v>
      </c>
      <c r="K543" s="12"/>
      <c r="L543" s="12">
        <f>SUM(J543:J551)</f>
        <v>9.83</v>
      </c>
      <c r="M543" s="13">
        <f>L543*65</f>
        <v>638.95000000000005</v>
      </c>
      <c r="N543" s="14">
        <f>MAX(500,M543)</f>
        <v>638.95000000000005</v>
      </c>
      <c r="O543" s="12"/>
      <c r="P543" s="12"/>
      <c r="Q543" s="12"/>
      <c r="R543" s="12"/>
      <c r="S543" s="12"/>
    </row>
    <row r="544" spans="1:19" ht="14.25" customHeight="1" x14ac:dyDescent="0.2">
      <c r="A544" s="1" t="s">
        <v>95</v>
      </c>
      <c r="B544" s="7">
        <v>46086.96435185185</v>
      </c>
      <c r="C544" s="7">
        <v>46087.005428240744</v>
      </c>
      <c r="D544" s="8">
        <v>46087</v>
      </c>
      <c r="E544" s="9">
        <v>5.4282407436403446E-3</v>
      </c>
      <c r="F544" s="10" t="s">
        <v>704</v>
      </c>
      <c r="G544" s="10" t="s">
        <v>44</v>
      </c>
      <c r="H544" s="10" t="s">
        <v>45</v>
      </c>
      <c r="I544" s="10" t="s">
        <v>23</v>
      </c>
      <c r="J544" s="11">
        <v>0.18</v>
      </c>
      <c r="K544" s="12"/>
      <c r="L544" s="12"/>
      <c r="M544" s="12"/>
      <c r="N544" s="12"/>
      <c r="O544" s="12"/>
      <c r="P544" s="12"/>
      <c r="Q544" s="12"/>
      <c r="R544" s="12"/>
      <c r="S544" s="12"/>
    </row>
    <row r="545" spans="1:19" ht="14.25" customHeight="1" x14ac:dyDescent="0.2">
      <c r="A545" s="1" t="s">
        <v>95</v>
      </c>
      <c r="B545" s="7">
        <v>46086.973668981482</v>
      </c>
      <c r="C545" s="7">
        <v>46087.009444444448</v>
      </c>
      <c r="D545" s="8">
        <v>46087</v>
      </c>
      <c r="E545" s="9">
        <v>9.4444444475811906E-3</v>
      </c>
      <c r="F545" s="10" t="s">
        <v>705</v>
      </c>
      <c r="G545" s="10" t="s">
        <v>26</v>
      </c>
      <c r="H545" s="10" t="s">
        <v>128</v>
      </c>
      <c r="I545" s="10" t="s">
        <v>23</v>
      </c>
      <c r="J545" s="11">
        <v>0.97</v>
      </c>
      <c r="K545" s="12"/>
      <c r="L545" s="12"/>
      <c r="M545" s="12"/>
      <c r="N545" s="12"/>
      <c r="O545" s="12"/>
      <c r="P545" s="12"/>
      <c r="Q545" s="12"/>
      <c r="R545" s="12"/>
      <c r="S545" s="12"/>
    </row>
    <row r="546" spans="1:19" ht="14.25" customHeight="1" x14ac:dyDescent="0.2">
      <c r="A546" s="1" t="s">
        <v>19</v>
      </c>
      <c r="B546" s="7">
        <v>46087.000925925924</v>
      </c>
      <c r="C546" s="7">
        <v>46087.010752314818</v>
      </c>
      <c r="D546" s="8">
        <v>46087</v>
      </c>
      <c r="E546" s="9">
        <v>1.0752314818091691E-2</v>
      </c>
      <c r="F546" s="10" t="s">
        <v>706</v>
      </c>
      <c r="G546" s="10" t="s">
        <v>21</v>
      </c>
      <c r="H546" s="10" t="s">
        <v>101</v>
      </c>
      <c r="I546" s="10" t="s">
        <v>23</v>
      </c>
      <c r="J546" s="11">
        <v>1.7</v>
      </c>
      <c r="K546" s="12"/>
      <c r="L546" s="12"/>
      <c r="M546" s="12"/>
      <c r="N546" s="12"/>
      <c r="O546" s="12"/>
      <c r="P546" s="12"/>
      <c r="Q546" s="12"/>
      <c r="R546" s="12"/>
      <c r="S546" s="12"/>
    </row>
    <row r="547" spans="1:19" ht="14.25" customHeight="1" x14ac:dyDescent="0.2">
      <c r="A547" s="1" t="s">
        <v>95</v>
      </c>
      <c r="B547" s="7">
        <v>46086.986307870371</v>
      </c>
      <c r="C547" s="7">
        <v>46087.022164351853</v>
      </c>
      <c r="D547" s="8">
        <v>46087</v>
      </c>
      <c r="E547" s="9">
        <v>2.21643518525525E-2</v>
      </c>
      <c r="F547" s="10" t="s">
        <v>707</v>
      </c>
      <c r="G547" s="10" t="s">
        <v>21</v>
      </c>
      <c r="H547" s="10" t="s">
        <v>708</v>
      </c>
      <c r="I547" s="10" t="s">
        <v>23</v>
      </c>
      <c r="J547" s="11">
        <v>1.1299999999999999</v>
      </c>
      <c r="K547" s="12"/>
      <c r="L547" s="12"/>
      <c r="M547" s="12"/>
      <c r="N547" s="12"/>
      <c r="O547" s="12"/>
      <c r="P547" s="12"/>
      <c r="Q547" s="12"/>
      <c r="R547" s="12"/>
      <c r="S547" s="12"/>
    </row>
    <row r="548" spans="1:19" ht="14.25" customHeight="1" x14ac:dyDescent="0.2">
      <c r="A548" s="1" t="s">
        <v>57</v>
      </c>
      <c r="B548" s="7">
        <v>46086.992662037039</v>
      </c>
      <c r="C548" s="7">
        <v>46087.022488425922</v>
      </c>
      <c r="D548" s="8">
        <v>46087</v>
      </c>
      <c r="E548" s="9">
        <v>2.2488425922347233E-2</v>
      </c>
      <c r="F548" s="10" t="s">
        <v>709</v>
      </c>
      <c r="G548" s="10" t="s">
        <v>21</v>
      </c>
      <c r="H548" s="10" t="s">
        <v>710</v>
      </c>
      <c r="I548" s="10" t="s">
        <v>23</v>
      </c>
      <c r="J548" s="11">
        <v>0.98</v>
      </c>
      <c r="K548" s="12"/>
      <c r="L548" s="12"/>
      <c r="M548" s="12"/>
      <c r="N548" s="12"/>
      <c r="O548" s="12"/>
      <c r="P548" s="12"/>
      <c r="Q548" s="12"/>
      <c r="R548" s="12"/>
      <c r="S548" s="12"/>
    </row>
    <row r="549" spans="1:19" ht="14.25" customHeight="1" x14ac:dyDescent="0.2">
      <c r="A549" s="1" t="s">
        <v>57</v>
      </c>
      <c r="B549" s="7">
        <v>46086.99459490741</v>
      </c>
      <c r="C549" s="7">
        <v>46087.023206018515</v>
      </c>
      <c r="D549" s="8">
        <v>46087</v>
      </c>
      <c r="E549" s="9">
        <v>2.3206018515338656E-2</v>
      </c>
      <c r="F549" s="10" t="s">
        <v>711</v>
      </c>
      <c r="G549" s="10" t="s">
        <v>21</v>
      </c>
      <c r="H549" s="10" t="s">
        <v>712</v>
      </c>
      <c r="I549" s="10" t="s">
        <v>23</v>
      </c>
      <c r="J549" s="11">
        <v>1.77</v>
      </c>
      <c r="K549" s="12"/>
      <c r="L549" s="12"/>
      <c r="M549" s="12"/>
      <c r="N549" s="12"/>
      <c r="O549" s="12"/>
      <c r="P549" s="12"/>
      <c r="Q549" s="12"/>
      <c r="R549" s="12"/>
      <c r="S549" s="12"/>
    </row>
    <row r="550" spans="1:19" ht="14.25" customHeight="1" x14ac:dyDescent="0.2">
      <c r="A550" s="1" t="s">
        <v>19</v>
      </c>
      <c r="B550" s="7">
        <v>46086.993587962963</v>
      </c>
      <c r="C550" s="7">
        <v>46087.02412037037</v>
      </c>
      <c r="D550" s="8">
        <v>46087</v>
      </c>
      <c r="E550" s="9">
        <v>2.4120370369928423E-2</v>
      </c>
      <c r="F550" s="10" t="s">
        <v>713</v>
      </c>
      <c r="G550" s="10" t="s">
        <v>26</v>
      </c>
      <c r="H550" s="10" t="s">
        <v>202</v>
      </c>
      <c r="I550" s="10" t="s">
        <v>23</v>
      </c>
      <c r="J550" s="11">
        <v>0.57999999999999996</v>
      </c>
      <c r="K550" s="12"/>
      <c r="L550" s="12"/>
      <c r="M550" s="12"/>
      <c r="N550" s="12"/>
      <c r="O550" s="12"/>
      <c r="P550" s="12"/>
      <c r="Q550" s="12"/>
      <c r="R550" s="12"/>
      <c r="S550" s="12"/>
    </row>
    <row r="551" spans="1:19" ht="14.25" customHeight="1" x14ac:dyDescent="0.2">
      <c r="A551" s="1" t="s">
        <v>42</v>
      </c>
      <c r="B551" s="7">
        <v>46087.01122685185</v>
      </c>
      <c r="C551" s="7">
        <v>46087.035173611112</v>
      </c>
      <c r="D551" s="8">
        <v>46087</v>
      </c>
      <c r="E551" s="9">
        <v>3.51736111115315E-2</v>
      </c>
      <c r="F551" s="10" t="s">
        <v>714</v>
      </c>
      <c r="G551" s="10" t="s">
        <v>26</v>
      </c>
      <c r="H551" s="10" t="s">
        <v>76</v>
      </c>
      <c r="I551" s="10" t="s">
        <v>23</v>
      </c>
      <c r="J551" s="11">
        <v>0.75</v>
      </c>
      <c r="K551" s="12"/>
      <c r="L551" s="12"/>
      <c r="M551" s="12"/>
      <c r="N551" s="12"/>
      <c r="O551" s="12"/>
      <c r="P551" s="12"/>
      <c r="Q551" s="12"/>
      <c r="R551" s="12"/>
      <c r="S551" s="12"/>
    </row>
    <row r="552" spans="1:19" ht="14.25" customHeight="1" x14ac:dyDescent="0.2">
      <c r="A552" s="1" t="s">
        <v>24</v>
      </c>
      <c r="B552" s="7">
        <v>46087.026180555556</v>
      </c>
      <c r="C552" s="7">
        <v>46087.044212962966</v>
      </c>
      <c r="D552" s="8">
        <v>46087</v>
      </c>
      <c r="E552" s="9">
        <v>4.4212962966412306E-2</v>
      </c>
      <c r="F552" s="10" t="s">
        <v>715</v>
      </c>
      <c r="G552" s="10" t="s">
        <v>21</v>
      </c>
      <c r="H552" s="10" t="s">
        <v>22</v>
      </c>
      <c r="I552" s="10" t="s">
        <v>23</v>
      </c>
      <c r="J552" s="11">
        <v>0.83</v>
      </c>
      <c r="K552" s="12"/>
      <c r="L552" s="12">
        <f>SUM(J552:J562)</f>
        <v>14.639999999999999</v>
      </c>
      <c r="M552" s="13">
        <f>L552*65</f>
        <v>951.59999999999991</v>
      </c>
      <c r="N552" s="14">
        <f>MAX(500,M552)</f>
        <v>951.59999999999991</v>
      </c>
      <c r="O552" s="12"/>
      <c r="P552" s="12"/>
      <c r="Q552" s="12"/>
      <c r="R552" s="12"/>
      <c r="S552" s="12"/>
    </row>
    <row r="553" spans="1:19" ht="14.25" customHeight="1" x14ac:dyDescent="0.2">
      <c r="A553" s="1" t="s">
        <v>95</v>
      </c>
      <c r="B553" s="7">
        <v>46087.029479166667</v>
      </c>
      <c r="C553" s="7">
        <v>46087.045046296298</v>
      </c>
      <c r="D553" s="8">
        <v>46087</v>
      </c>
      <c r="E553" s="9">
        <v>4.5046296298096422E-2</v>
      </c>
      <c r="F553" s="10" t="s">
        <v>716</v>
      </c>
      <c r="G553" s="10" t="s">
        <v>21</v>
      </c>
      <c r="H553" s="10" t="s">
        <v>97</v>
      </c>
      <c r="I553" s="10" t="s">
        <v>23</v>
      </c>
      <c r="J553" s="11">
        <v>1.77</v>
      </c>
      <c r="K553" s="12"/>
      <c r="L553" s="12"/>
      <c r="M553" s="12"/>
      <c r="N553" s="12"/>
      <c r="O553" s="12"/>
      <c r="P553" s="12"/>
      <c r="Q553" s="12"/>
      <c r="R553" s="12"/>
      <c r="S553" s="12"/>
    </row>
    <row r="554" spans="1:19" ht="14.25" customHeight="1" x14ac:dyDescent="0.2">
      <c r="A554" s="1" t="s">
        <v>24</v>
      </c>
      <c r="B554" s="7">
        <v>46087.026388888888</v>
      </c>
      <c r="C554" s="7">
        <v>46087.045532407406</v>
      </c>
      <c r="D554" s="8">
        <v>46087</v>
      </c>
      <c r="E554" s="9">
        <v>4.5532407406426501E-2</v>
      </c>
      <c r="F554" s="10" t="s">
        <v>717</v>
      </c>
      <c r="G554" s="10" t="s">
        <v>26</v>
      </c>
      <c r="H554" s="10" t="s">
        <v>251</v>
      </c>
      <c r="I554" s="10" t="s">
        <v>23</v>
      </c>
      <c r="J554" s="11">
        <v>0.62</v>
      </c>
      <c r="K554" s="12"/>
      <c r="L554" s="12"/>
      <c r="M554" s="12"/>
      <c r="N554" s="12"/>
      <c r="O554" s="12"/>
      <c r="P554" s="12"/>
      <c r="Q554" s="12"/>
      <c r="R554" s="12"/>
      <c r="S554" s="12"/>
    </row>
    <row r="555" spans="1:19" ht="14.25" customHeight="1" x14ac:dyDescent="0.2">
      <c r="A555" s="1" t="s">
        <v>24</v>
      </c>
      <c r="B555" s="7">
        <v>46087.031111111108</v>
      </c>
      <c r="C555" s="7">
        <v>46087.047106481485</v>
      </c>
      <c r="D555" s="8">
        <v>46087</v>
      </c>
      <c r="E555" s="9">
        <v>4.7106481484661344E-2</v>
      </c>
      <c r="F555" s="10" t="s">
        <v>718</v>
      </c>
      <c r="G555" s="10" t="s">
        <v>21</v>
      </c>
      <c r="H555" s="10" t="s">
        <v>101</v>
      </c>
      <c r="I555" s="10" t="s">
        <v>23</v>
      </c>
      <c r="J555" s="11">
        <v>1.7</v>
      </c>
      <c r="K555" s="12"/>
      <c r="L555" s="12"/>
      <c r="M555" s="12"/>
      <c r="N555" s="12"/>
      <c r="O555" s="12"/>
      <c r="P555" s="12"/>
      <c r="Q555" s="12"/>
      <c r="R555" s="12"/>
      <c r="S555" s="12"/>
    </row>
    <row r="556" spans="1:19" ht="14.25" customHeight="1" x14ac:dyDescent="0.2">
      <c r="A556" s="1" t="s">
        <v>95</v>
      </c>
      <c r="B556" s="7">
        <v>46087.035381944443</v>
      </c>
      <c r="C556" s="7">
        <v>46087.049930555557</v>
      </c>
      <c r="D556" s="8">
        <v>46087</v>
      </c>
      <c r="E556" s="9">
        <v>4.9930555556784384E-2</v>
      </c>
      <c r="F556" s="10" t="s">
        <v>719</v>
      </c>
      <c r="G556" s="10" t="s">
        <v>21</v>
      </c>
      <c r="H556" s="10" t="s">
        <v>97</v>
      </c>
      <c r="I556" s="10" t="s">
        <v>23</v>
      </c>
      <c r="J556" s="11">
        <v>1.77</v>
      </c>
      <c r="K556" s="12"/>
      <c r="L556" s="12"/>
      <c r="M556" s="12"/>
      <c r="N556" s="12"/>
      <c r="O556" s="12"/>
      <c r="P556" s="12"/>
      <c r="Q556" s="12"/>
      <c r="R556" s="12"/>
      <c r="S556" s="12"/>
    </row>
    <row r="557" spans="1:19" ht="14.25" customHeight="1" x14ac:dyDescent="0.2">
      <c r="A557" s="1" t="s">
        <v>28</v>
      </c>
      <c r="B557" s="7">
        <v>46087.045706018522</v>
      </c>
      <c r="C557" s="7">
        <v>46087.058055555557</v>
      </c>
      <c r="D557" s="8">
        <v>46087</v>
      </c>
      <c r="E557" s="9">
        <v>5.8055555557075422E-2</v>
      </c>
      <c r="F557" s="10" t="s">
        <v>720</v>
      </c>
      <c r="G557" s="10" t="s">
        <v>21</v>
      </c>
      <c r="H557" s="10" t="s">
        <v>41</v>
      </c>
      <c r="I557" s="10" t="s">
        <v>23</v>
      </c>
      <c r="J557" s="11">
        <v>1.77</v>
      </c>
      <c r="K557" s="12"/>
      <c r="L557" s="12"/>
      <c r="M557" s="12"/>
      <c r="N557" s="12"/>
      <c r="O557" s="12"/>
      <c r="P557" s="12"/>
      <c r="Q557" s="12"/>
      <c r="R557" s="12"/>
      <c r="S557" s="12"/>
    </row>
    <row r="558" spans="1:19" ht="14.25" customHeight="1" x14ac:dyDescent="0.2">
      <c r="A558" s="1" t="s">
        <v>24</v>
      </c>
      <c r="B558" s="7">
        <v>46087.049537037034</v>
      </c>
      <c r="C558" s="7">
        <v>46087.071747685186</v>
      </c>
      <c r="D558" s="8">
        <v>46087</v>
      </c>
      <c r="E558" s="9">
        <v>7.1747685185982846E-2</v>
      </c>
      <c r="F558" s="10" t="s">
        <v>721</v>
      </c>
      <c r="G558" s="10" t="s">
        <v>21</v>
      </c>
      <c r="H558" s="10" t="s">
        <v>52</v>
      </c>
      <c r="I558" s="10" t="s">
        <v>23</v>
      </c>
      <c r="J558" s="11">
        <v>0.98</v>
      </c>
      <c r="K558" s="12"/>
      <c r="L558" s="12"/>
      <c r="M558" s="12"/>
      <c r="N558" s="12"/>
      <c r="O558" s="12"/>
      <c r="P558" s="12"/>
      <c r="Q558" s="12"/>
      <c r="R558" s="12"/>
      <c r="S558" s="12"/>
    </row>
    <row r="559" spans="1:19" ht="14.25" customHeight="1" x14ac:dyDescent="0.2">
      <c r="A559" s="1" t="s">
        <v>28</v>
      </c>
      <c r="B559" s="7">
        <v>46087.059351851851</v>
      </c>
      <c r="C559" s="7">
        <v>46087.072939814818</v>
      </c>
      <c r="D559" s="8">
        <v>46087</v>
      </c>
      <c r="E559" s="9">
        <v>7.2939814817800652E-2</v>
      </c>
      <c r="F559" s="10" t="s">
        <v>722</v>
      </c>
      <c r="G559" s="10" t="s">
        <v>21</v>
      </c>
      <c r="H559" s="10" t="s">
        <v>41</v>
      </c>
      <c r="I559" s="10" t="s">
        <v>23</v>
      </c>
      <c r="J559" s="11">
        <v>1.77</v>
      </c>
      <c r="K559" s="12"/>
      <c r="L559" s="12"/>
      <c r="M559" s="12"/>
      <c r="N559" s="12"/>
      <c r="O559" s="12"/>
      <c r="P559" s="12"/>
      <c r="Q559" s="12"/>
      <c r="R559" s="12"/>
      <c r="S559" s="12"/>
    </row>
    <row r="560" spans="1:19" ht="14.25" customHeight="1" x14ac:dyDescent="0.2">
      <c r="A560" s="1" t="s">
        <v>24</v>
      </c>
      <c r="B560" s="7">
        <v>46087.040208333332</v>
      </c>
      <c r="C560" s="7">
        <v>46087.074328703704</v>
      </c>
      <c r="D560" s="8">
        <v>46087</v>
      </c>
      <c r="E560" s="9">
        <v>7.4328703703940846E-2</v>
      </c>
      <c r="F560" s="10" t="s">
        <v>723</v>
      </c>
      <c r="G560" s="10" t="s">
        <v>21</v>
      </c>
      <c r="H560" s="10" t="s">
        <v>41</v>
      </c>
      <c r="I560" s="10" t="s">
        <v>23</v>
      </c>
      <c r="J560" s="11">
        <v>1.77</v>
      </c>
      <c r="K560" s="12"/>
      <c r="L560" s="12"/>
      <c r="M560" s="12"/>
      <c r="N560" s="12"/>
      <c r="O560" s="12"/>
      <c r="P560" s="12"/>
      <c r="Q560" s="12"/>
      <c r="R560" s="12"/>
      <c r="S560" s="12"/>
    </row>
    <row r="561" spans="1:19" ht="14.25" customHeight="1" x14ac:dyDescent="0.2">
      <c r="A561" s="1" t="s">
        <v>24</v>
      </c>
      <c r="B561" s="7">
        <v>46087.063877314817</v>
      </c>
      <c r="C561" s="7">
        <v>46087.08189814815</v>
      </c>
      <c r="D561" s="8">
        <v>46087</v>
      </c>
      <c r="E561" s="9">
        <v>8.1898148149775807E-2</v>
      </c>
      <c r="F561" s="10" t="s">
        <v>724</v>
      </c>
      <c r="G561" s="10" t="s">
        <v>21</v>
      </c>
      <c r="H561" s="10" t="s">
        <v>22</v>
      </c>
      <c r="I561" s="10" t="s">
        <v>23</v>
      </c>
      <c r="J561" s="11">
        <v>0.83</v>
      </c>
      <c r="K561" s="12"/>
      <c r="L561" s="12"/>
      <c r="M561" s="12"/>
      <c r="N561" s="12"/>
      <c r="O561" s="12"/>
      <c r="P561" s="12"/>
      <c r="Q561" s="12"/>
      <c r="R561" s="12"/>
      <c r="S561" s="12"/>
    </row>
    <row r="562" spans="1:19" ht="14.25" customHeight="1" x14ac:dyDescent="0.2">
      <c r="A562" s="1" t="s">
        <v>24</v>
      </c>
      <c r="B562" s="7">
        <v>46087.049537037034</v>
      </c>
      <c r="C562" s="7">
        <v>46087.082187499997</v>
      </c>
      <c r="D562" s="8">
        <v>46087</v>
      </c>
      <c r="E562" s="9">
        <v>8.218749999650754E-2</v>
      </c>
      <c r="F562" s="10" t="s">
        <v>725</v>
      </c>
      <c r="G562" s="10" t="s">
        <v>21</v>
      </c>
      <c r="H562" s="10" t="s">
        <v>22</v>
      </c>
      <c r="I562" s="10" t="s">
        <v>23</v>
      </c>
      <c r="J562" s="11">
        <v>0.83</v>
      </c>
      <c r="K562" s="12"/>
      <c r="L562" s="12"/>
      <c r="M562" s="12"/>
      <c r="N562" s="12"/>
      <c r="O562" s="12"/>
      <c r="P562" s="12"/>
      <c r="Q562" s="12"/>
      <c r="R562" s="12"/>
      <c r="S562" s="12"/>
    </row>
    <row r="563" spans="1:19" ht="14.25" customHeight="1" x14ac:dyDescent="0.2">
      <c r="A563" s="1" t="s">
        <v>24</v>
      </c>
      <c r="B563" s="7">
        <v>46087.055324074077</v>
      </c>
      <c r="C563" s="7">
        <v>46087.083472222221</v>
      </c>
      <c r="D563" s="8">
        <v>46087</v>
      </c>
      <c r="E563" s="9">
        <v>8.3472222220734693E-2</v>
      </c>
      <c r="F563" s="10" t="s">
        <v>726</v>
      </c>
      <c r="G563" s="10" t="s">
        <v>21</v>
      </c>
      <c r="H563" s="10" t="s">
        <v>620</v>
      </c>
      <c r="I563" s="10" t="s">
        <v>23</v>
      </c>
      <c r="J563" s="11">
        <v>1.06</v>
      </c>
      <c r="K563" s="12"/>
      <c r="L563" s="12">
        <f>SUM(J563)</f>
        <v>1.06</v>
      </c>
      <c r="M563" s="13">
        <f t="shared" ref="M563:M564" si="8">L563*65</f>
        <v>68.900000000000006</v>
      </c>
      <c r="N563" s="14">
        <f t="shared" ref="N563:N564" si="9">MAX(500,M563)</f>
        <v>500</v>
      </c>
      <c r="O563" s="12"/>
      <c r="P563" s="12"/>
      <c r="Q563" s="12"/>
      <c r="R563" s="12"/>
      <c r="S563" s="12"/>
    </row>
    <row r="564" spans="1:19" ht="14.25" customHeight="1" x14ac:dyDescent="0.2">
      <c r="A564" s="1" t="s">
        <v>95</v>
      </c>
      <c r="B564" s="7">
        <v>46087.116689814815</v>
      </c>
      <c r="C564" s="7">
        <v>46087.129004629627</v>
      </c>
      <c r="D564" s="8">
        <v>46087</v>
      </c>
      <c r="E564" s="9">
        <v>0.12900462962716119</v>
      </c>
      <c r="F564" s="10" t="s">
        <v>727</v>
      </c>
      <c r="G564" s="10" t="s">
        <v>21</v>
      </c>
      <c r="H564" s="10" t="s">
        <v>52</v>
      </c>
      <c r="I564" s="10" t="s">
        <v>23</v>
      </c>
      <c r="J564" s="11">
        <v>0.98</v>
      </c>
      <c r="K564" s="12">
        <f>SUM(J564:J590)</f>
        <v>35.909999999999989</v>
      </c>
      <c r="L564" s="12">
        <f>SUM(J564:J573)</f>
        <v>12.819999999999999</v>
      </c>
      <c r="M564" s="13">
        <f t="shared" si="8"/>
        <v>833.3</v>
      </c>
      <c r="N564" s="14">
        <f t="shared" si="9"/>
        <v>833.3</v>
      </c>
      <c r="O564" s="12"/>
      <c r="P564" s="12"/>
      <c r="Q564" s="12"/>
      <c r="R564" s="12"/>
      <c r="S564" s="12"/>
    </row>
    <row r="565" spans="1:19" ht="14.25" customHeight="1" x14ac:dyDescent="0.2">
      <c r="A565" s="1" t="s">
        <v>42</v>
      </c>
      <c r="B565" s="7">
        <v>46087.099641203706</v>
      </c>
      <c r="C565" s="7">
        <v>46087.13585648148</v>
      </c>
      <c r="D565" s="8">
        <v>46087</v>
      </c>
      <c r="E565" s="9">
        <v>0.13585648148000473</v>
      </c>
      <c r="F565" s="10" t="s">
        <v>728</v>
      </c>
      <c r="G565" s="10" t="s">
        <v>26</v>
      </c>
      <c r="H565" s="10" t="s">
        <v>56</v>
      </c>
      <c r="I565" s="10" t="s">
        <v>23</v>
      </c>
      <c r="J565" s="11">
        <v>0.73</v>
      </c>
      <c r="K565" s="12"/>
      <c r="L565" s="12"/>
      <c r="M565" s="12"/>
      <c r="N565" s="12"/>
      <c r="O565" s="12"/>
      <c r="P565" s="12"/>
      <c r="Q565" s="12"/>
      <c r="R565" s="12"/>
      <c r="S565" s="12"/>
    </row>
    <row r="566" spans="1:19" ht="14.25" customHeight="1" x14ac:dyDescent="0.2">
      <c r="A566" s="1" t="s">
        <v>95</v>
      </c>
      <c r="B566" s="7">
        <v>46087.115694444445</v>
      </c>
      <c r="C566" s="7">
        <v>46087.140347222223</v>
      </c>
      <c r="D566" s="8">
        <v>46087</v>
      </c>
      <c r="E566" s="9">
        <v>0.14034722222277196</v>
      </c>
      <c r="F566" s="10" t="s">
        <v>729</v>
      </c>
      <c r="G566" s="10" t="s">
        <v>21</v>
      </c>
      <c r="H566" s="10" t="s">
        <v>110</v>
      </c>
      <c r="I566" s="10" t="s">
        <v>23</v>
      </c>
      <c r="J566" s="11">
        <v>0.83</v>
      </c>
      <c r="K566" s="12"/>
      <c r="L566" s="12"/>
      <c r="M566" s="12"/>
      <c r="N566" s="12"/>
      <c r="O566" s="12"/>
      <c r="P566" s="12"/>
      <c r="Q566" s="12"/>
      <c r="R566" s="12"/>
      <c r="S566" s="12"/>
    </row>
    <row r="567" spans="1:19" ht="14.25" customHeight="1" x14ac:dyDescent="0.2">
      <c r="A567" s="1" t="s">
        <v>95</v>
      </c>
      <c r="B567" s="7">
        <v>46087.115694444445</v>
      </c>
      <c r="C567" s="7">
        <v>46087.140659722223</v>
      </c>
      <c r="D567" s="8">
        <v>46087</v>
      </c>
      <c r="E567" s="9">
        <v>0.140659722223063</v>
      </c>
      <c r="F567" s="10" t="s">
        <v>730</v>
      </c>
      <c r="G567" s="10" t="s">
        <v>21</v>
      </c>
      <c r="H567" s="10" t="s">
        <v>52</v>
      </c>
      <c r="I567" s="10" t="s">
        <v>23</v>
      </c>
      <c r="J567" s="11">
        <v>0.98</v>
      </c>
      <c r="K567" s="12"/>
      <c r="L567" s="12"/>
      <c r="M567" s="12"/>
      <c r="N567" s="12"/>
      <c r="O567" s="12"/>
      <c r="P567" s="12"/>
      <c r="Q567" s="12"/>
      <c r="R567" s="12"/>
      <c r="S567" s="12"/>
    </row>
    <row r="568" spans="1:19" ht="14.25" customHeight="1" x14ac:dyDescent="0.2">
      <c r="A568" s="1" t="s">
        <v>95</v>
      </c>
      <c r="B568" s="7">
        <v>46087.118541666663</v>
      </c>
      <c r="C568" s="7">
        <v>46087.141122685185</v>
      </c>
      <c r="D568" s="8">
        <v>46087</v>
      </c>
      <c r="E568" s="9">
        <v>0.14112268518510973</v>
      </c>
      <c r="F568" s="10" t="s">
        <v>731</v>
      </c>
      <c r="G568" s="10" t="s">
        <v>21</v>
      </c>
      <c r="H568" s="10" t="s">
        <v>105</v>
      </c>
      <c r="I568" s="10" t="s">
        <v>23</v>
      </c>
      <c r="J568" s="11">
        <v>2.5</v>
      </c>
      <c r="K568" s="12"/>
      <c r="L568" s="12"/>
      <c r="M568" s="12"/>
      <c r="N568" s="12"/>
      <c r="O568" s="12"/>
      <c r="P568" s="12"/>
      <c r="Q568" s="12"/>
      <c r="R568" s="12"/>
      <c r="S568" s="12"/>
    </row>
    <row r="569" spans="1:19" ht="14.25" customHeight="1" x14ac:dyDescent="0.2">
      <c r="A569" s="1" t="s">
        <v>19</v>
      </c>
      <c r="B569" s="7">
        <v>46087.125844907408</v>
      </c>
      <c r="C569" s="7">
        <v>46087.141608796293</v>
      </c>
      <c r="D569" s="8">
        <v>46087</v>
      </c>
      <c r="E569" s="9">
        <v>0.14160879629343981</v>
      </c>
      <c r="F569" s="10" t="s">
        <v>732</v>
      </c>
      <c r="G569" s="10" t="s">
        <v>21</v>
      </c>
      <c r="H569" s="10" t="s">
        <v>39</v>
      </c>
      <c r="I569" s="10" t="s">
        <v>23</v>
      </c>
      <c r="J569" s="11">
        <v>1.77</v>
      </c>
      <c r="K569" s="12"/>
      <c r="L569" s="12"/>
      <c r="M569" s="12"/>
      <c r="N569" s="12"/>
      <c r="O569" s="12"/>
      <c r="P569" s="12"/>
      <c r="Q569" s="12"/>
      <c r="R569" s="12"/>
      <c r="S569" s="12"/>
    </row>
    <row r="570" spans="1:19" ht="14.25" customHeight="1" x14ac:dyDescent="0.2">
      <c r="A570" s="1" t="s">
        <v>95</v>
      </c>
      <c r="B570" s="7">
        <v>46087.124398148146</v>
      </c>
      <c r="C570" s="7">
        <v>46087.142071759263</v>
      </c>
      <c r="D570" s="8">
        <v>46087</v>
      </c>
      <c r="E570" s="9">
        <v>0.1420717592627625</v>
      </c>
      <c r="F570" s="10" t="s">
        <v>733</v>
      </c>
      <c r="G570" s="10" t="s">
        <v>21</v>
      </c>
      <c r="H570" s="10" t="s">
        <v>734</v>
      </c>
      <c r="I570" s="10" t="s">
        <v>23</v>
      </c>
      <c r="J570" s="11">
        <v>0.98</v>
      </c>
      <c r="K570" s="12"/>
      <c r="L570" s="12"/>
      <c r="M570" s="12"/>
      <c r="N570" s="12"/>
      <c r="O570" s="12"/>
      <c r="P570" s="12"/>
      <c r="Q570" s="12"/>
      <c r="R570" s="12"/>
      <c r="S570" s="12"/>
    </row>
    <row r="571" spans="1:19" ht="14.25" customHeight="1" x14ac:dyDescent="0.2">
      <c r="A571" s="1" t="s">
        <v>24</v>
      </c>
      <c r="B571" s="7">
        <v>46087.138124999998</v>
      </c>
      <c r="C571" s="7">
        <v>46087.153900462959</v>
      </c>
      <c r="D571" s="8">
        <v>46087</v>
      </c>
      <c r="E571" s="9">
        <v>0.15390046295942739</v>
      </c>
      <c r="F571" s="10" t="s">
        <v>735</v>
      </c>
      <c r="G571" s="10" t="s">
        <v>26</v>
      </c>
      <c r="H571" s="10" t="s">
        <v>202</v>
      </c>
      <c r="I571" s="10" t="s">
        <v>23</v>
      </c>
      <c r="J571" s="11">
        <v>0.57999999999999996</v>
      </c>
      <c r="K571" s="12"/>
      <c r="L571" s="12"/>
      <c r="M571" s="12"/>
      <c r="N571" s="12"/>
      <c r="O571" s="12"/>
      <c r="P571" s="12"/>
      <c r="Q571" s="12"/>
      <c r="R571" s="12"/>
      <c r="S571" s="12"/>
    </row>
    <row r="572" spans="1:19" ht="14.25" customHeight="1" x14ac:dyDescent="0.2">
      <c r="A572" s="1" t="s">
        <v>95</v>
      </c>
      <c r="B572" s="7">
        <v>46087.141041666669</v>
      </c>
      <c r="C572" s="7">
        <v>46087.159351851849</v>
      </c>
      <c r="D572" s="8">
        <v>46087</v>
      </c>
      <c r="E572" s="9">
        <v>0.15935185184935108</v>
      </c>
      <c r="F572" s="10" t="s">
        <v>736</v>
      </c>
      <c r="G572" s="10" t="s">
        <v>21</v>
      </c>
      <c r="H572" s="10" t="s">
        <v>108</v>
      </c>
      <c r="I572" s="10" t="s">
        <v>23</v>
      </c>
      <c r="J572" s="11">
        <v>1.7</v>
      </c>
      <c r="K572" s="12"/>
      <c r="L572" s="12"/>
      <c r="M572" s="12"/>
      <c r="N572" s="12"/>
      <c r="O572" s="12"/>
      <c r="P572" s="12"/>
      <c r="Q572" s="12"/>
      <c r="R572" s="12"/>
      <c r="S572" s="12"/>
    </row>
    <row r="573" spans="1:19" ht="14.25" customHeight="1" x14ac:dyDescent="0.2">
      <c r="A573" s="1" t="s">
        <v>19</v>
      </c>
      <c r="B573" s="7">
        <v>46087.14565972222</v>
      </c>
      <c r="C573" s="7">
        <v>46087.166631944441</v>
      </c>
      <c r="D573" s="8">
        <v>46087</v>
      </c>
      <c r="E573" s="9">
        <v>0.16663194444117835</v>
      </c>
      <c r="F573" s="10" t="s">
        <v>737</v>
      </c>
      <c r="G573" s="10" t="s">
        <v>21</v>
      </c>
      <c r="H573" s="10" t="s">
        <v>41</v>
      </c>
      <c r="I573" s="10" t="s">
        <v>23</v>
      </c>
      <c r="J573" s="11">
        <v>1.77</v>
      </c>
      <c r="K573" s="12"/>
      <c r="L573" s="12"/>
      <c r="M573" s="12"/>
      <c r="N573" s="12"/>
      <c r="O573" s="12"/>
      <c r="P573" s="12"/>
      <c r="Q573" s="12"/>
      <c r="R573" s="12"/>
      <c r="S573" s="12"/>
    </row>
    <row r="574" spans="1:19" ht="14.25" customHeight="1" x14ac:dyDescent="0.2">
      <c r="A574" s="1" t="s">
        <v>95</v>
      </c>
      <c r="B574" s="7">
        <v>46087.153460648151</v>
      </c>
      <c r="C574" s="7">
        <v>46087.171354166669</v>
      </c>
      <c r="D574" s="8">
        <v>46087</v>
      </c>
      <c r="E574" s="9">
        <v>0.17135416666860692</v>
      </c>
      <c r="F574" s="10" t="s">
        <v>738</v>
      </c>
      <c r="G574" s="10" t="s">
        <v>21</v>
      </c>
      <c r="H574" s="10" t="s">
        <v>739</v>
      </c>
      <c r="I574" s="10" t="s">
        <v>23</v>
      </c>
      <c r="J574" s="11">
        <v>2.15</v>
      </c>
      <c r="K574" s="12"/>
      <c r="L574" s="12">
        <f>SUM(J574:J585)</f>
        <v>16.899999999999999</v>
      </c>
      <c r="M574" s="13">
        <f>L574*65</f>
        <v>1098.5</v>
      </c>
      <c r="N574" s="14">
        <f>MAX(500,M574)</f>
        <v>1098.5</v>
      </c>
      <c r="O574" s="12"/>
      <c r="P574" s="12"/>
      <c r="Q574" s="12"/>
      <c r="R574" s="12"/>
      <c r="S574" s="12"/>
    </row>
    <row r="575" spans="1:19" ht="14.25" customHeight="1" x14ac:dyDescent="0.2">
      <c r="A575" s="1" t="s">
        <v>95</v>
      </c>
      <c r="B575" s="7">
        <v>46087.147511574076</v>
      </c>
      <c r="C575" s="7">
        <v>46087.172164351854</v>
      </c>
      <c r="D575" s="8">
        <v>46087</v>
      </c>
      <c r="E575" s="9">
        <v>0.17216435185400769</v>
      </c>
      <c r="F575" s="10" t="s">
        <v>740</v>
      </c>
      <c r="G575" s="10" t="s">
        <v>21</v>
      </c>
      <c r="H575" s="10" t="s">
        <v>103</v>
      </c>
      <c r="I575" s="10" t="s">
        <v>23</v>
      </c>
      <c r="J575" s="11">
        <v>0.98</v>
      </c>
      <c r="K575" s="12"/>
      <c r="L575" s="12"/>
      <c r="M575" s="12"/>
      <c r="N575" s="12"/>
      <c r="O575" s="12"/>
      <c r="P575" s="12"/>
      <c r="Q575" s="12"/>
      <c r="R575" s="12"/>
      <c r="S575" s="12"/>
    </row>
    <row r="576" spans="1:19" ht="14.25" customHeight="1" x14ac:dyDescent="0.2">
      <c r="A576" s="1" t="s">
        <v>24</v>
      </c>
      <c r="B576" s="7">
        <v>46087.161064814813</v>
      </c>
      <c r="C576" s="7">
        <v>46087.17864583333</v>
      </c>
      <c r="D576" s="8">
        <v>46087</v>
      </c>
      <c r="E576" s="9">
        <v>0.17864583332993789</v>
      </c>
      <c r="F576" s="10" t="s">
        <v>741</v>
      </c>
      <c r="G576" s="10" t="s">
        <v>21</v>
      </c>
      <c r="H576" s="10" t="s">
        <v>41</v>
      </c>
      <c r="I576" s="10" t="s">
        <v>23</v>
      </c>
      <c r="J576" s="11">
        <v>1.77</v>
      </c>
      <c r="K576" s="12"/>
      <c r="L576" s="12"/>
      <c r="M576" s="12"/>
      <c r="N576" s="12"/>
      <c r="O576" s="12"/>
      <c r="P576" s="12"/>
      <c r="Q576" s="12"/>
      <c r="R576" s="12"/>
      <c r="S576" s="12"/>
    </row>
    <row r="577" spans="1:19" ht="14.25" customHeight="1" x14ac:dyDescent="0.2">
      <c r="A577" s="1" t="s">
        <v>33</v>
      </c>
      <c r="B577" s="7">
        <v>46087.163206018522</v>
      </c>
      <c r="C577" s="7">
        <v>46087.179884259262</v>
      </c>
      <c r="D577" s="8">
        <v>46087</v>
      </c>
      <c r="E577" s="9">
        <v>0.17988425926159834</v>
      </c>
      <c r="F577" s="10" t="s">
        <v>742</v>
      </c>
      <c r="G577" s="10" t="s">
        <v>21</v>
      </c>
      <c r="H577" s="10" t="s">
        <v>22</v>
      </c>
      <c r="I577" s="10" t="s">
        <v>23</v>
      </c>
      <c r="J577" s="11">
        <v>0.83</v>
      </c>
      <c r="K577" s="12"/>
      <c r="L577" s="12"/>
      <c r="M577" s="12"/>
      <c r="N577" s="12"/>
      <c r="O577" s="12"/>
      <c r="P577" s="12"/>
      <c r="Q577" s="12"/>
      <c r="R577" s="12"/>
      <c r="S577" s="12"/>
    </row>
    <row r="578" spans="1:19" ht="14.25" customHeight="1" x14ac:dyDescent="0.2">
      <c r="A578" s="1" t="s">
        <v>24</v>
      </c>
      <c r="B578" s="7">
        <v>46087.167847222219</v>
      </c>
      <c r="C578" s="7">
        <v>46087.180243055554</v>
      </c>
      <c r="D578" s="8">
        <v>46087</v>
      </c>
      <c r="E578" s="9">
        <v>0.18024305555445608</v>
      </c>
      <c r="F578" s="10" t="s">
        <v>743</v>
      </c>
      <c r="G578" s="10" t="s">
        <v>21</v>
      </c>
      <c r="H578" s="10" t="s">
        <v>22</v>
      </c>
      <c r="I578" s="10" t="s">
        <v>23</v>
      </c>
      <c r="J578" s="11">
        <v>0.83</v>
      </c>
      <c r="K578" s="12"/>
      <c r="L578" s="12"/>
      <c r="M578" s="12"/>
      <c r="N578" s="12"/>
      <c r="O578" s="12"/>
      <c r="P578" s="12"/>
      <c r="Q578" s="12"/>
      <c r="R578" s="12"/>
      <c r="S578" s="12"/>
    </row>
    <row r="579" spans="1:19" ht="14.25" customHeight="1" x14ac:dyDescent="0.2">
      <c r="A579" s="1" t="s">
        <v>95</v>
      </c>
      <c r="B579" s="7">
        <v>46087.175578703704</v>
      </c>
      <c r="C579" s="7">
        <v>46087.180752314816</v>
      </c>
      <c r="D579" s="8">
        <v>46087</v>
      </c>
      <c r="E579" s="9">
        <v>0.18075231481634546</v>
      </c>
      <c r="F579" s="10" t="s">
        <v>744</v>
      </c>
      <c r="G579" s="10" t="s">
        <v>21</v>
      </c>
      <c r="H579" s="10" t="s">
        <v>97</v>
      </c>
      <c r="I579" s="10" t="s">
        <v>23</v>
      </c>
      <c r="J579" s="11">
        <v>1.77</v>
      </c>
      <c r="K579" s="12"/>
      <c r="L579" s="12"/>
      <c r="M579" s="12"/>
      <c r="N579" s="12"/>
      <c r="O579" s="12"/>
      <c r="P579" s="12"/>
      <c r="Q579" s="12"/>
      <c r="R579" s="12"/>
      <c r="S579" s="12"/>
    </row>
    <row r="580" spans="1:19" ht="14.25" customHeight="1" x14ac:dyDescent="0.2">
      <c r="A580" s="1" t="s">
        <v>24</v>
      </c>
      <c r="B580" s="7">
        <v>46087.169942129629</v>
      </c>
      <c r="C580" s="7">
        <v>46087.18167824074</v>
      </c>
      <c r="D580" s="8">
        <v>46087</v>
      </c>
      <c r="E580" s="9">
        <v>0.18167824074043892</v>
      </c>
      <c r="F580" s="10" t="s">
        <v>745</v>
      </c>
      <c r="G580" s="10" t="s">
        <v>21</v>
      </c>
      <c r="H580" s="10" t="s">
        <v>101</v>
      </c>
      <c r="I580" s="10" t="s">
        <v>23</v>
      </c>
      <c r="J580" s="11">
        <v>1.7</v>
      </c>
      <c r="K580" s="12"/>
      <c r="L580" s="12"/>
      <c r="M580" s="12"/>
      <c r="N580" s="12"/>
      <c r="O580" s="12"/>
      <c r="P580" s="12"/>
      <c r="Q580" s="12"/>
      <c r="R580" s="12"/>
      <c r="S580" s="12"/>
    </row>
    <row r="581" spans="1:19" ht="14.25" customHeight="1" x14ac:dyDescent="0.2">
      <c r="A581" s="1" t="s">
        <v>42</v>
      </c>
      <c r="B581" s="7">
        <v>46087.159895833334</v>
      </c>
      <c r="C581" s="7">
        <v>46087.182523148149</v>
      </c>
      <c r="D581" s="8">
        <v>46087</v>
      </c>
      <c r="E581" s="9">
        <v>0.18252314814890269</v>
      </c>
      <c r="F581" s="10" t="s">
        <v>746</v>
      </c>
      <c r="G581" s="10" t="s">
        <v>26</v>
      </c>
      <c r="H581" s="10" t="s">
        <v>157</v>
      </c>
      <c r="I581" s="10" t="s">
        <v>23</v>
      </c>
      <c r="J581" s="11">
        <v>0.73</v>
      </c>
      <c r="K581" s="12"/>
      <c r="L581" s="12"/>
      <c r="M581" s="12"/>
      <c r="N581" s="12"/>
      <c r="O581" s="12"/>
      <c r="P581" s="12"/>
      <c r="Q581" s="12"/>
      <c r="R581" s="12"/>
      <c r="S581" s="12"/>
    </row>
    <row r="582" spans="1:19" ht="14.25" customHeight="1" x14ac:dyDescent="0.2">
      <c r="A582" s="1" t="s">
        <v>95</v>
      </c>
      <c r="B582" s="7">
        <v>46087.181516203702</v>
      </c>
      <c r="C582" s="7">
        <v>46087.187696759262</v>
      </c>
      <c r="D582" s="8">
        <v>46087</v>
      </c>
      <c r="E582" s="9">
        <v>0.18769675926159834</v>
      </c>
      <c r="F582" s="10" t="s">
        <v>747</v>
      </c>
      <c r="G582" s="10" t="s">
        <v>21</v>
      </c>
      <c r="H582" s="10" t="s">
        <v>97</v>
      </c>
      <c r="I582" s="10" t="s">
        <v>23</v>
      </c>
      <c r="J582" s="11">
        <v>1.77</v>
      </c>
      <c r="K582" s="12"/>
      <c r="L582" s="12"/>
      <c r="M582" s="12"/>
      <c r="N582" s="12"/>
      <c r="O582" s="12"/>
      <c r="P582" s="12"/>
      <c r="Q582" s="12"/>
      <c r="R582" s="12"/>
      <c r="S582" s="12"/>
    </row>
    <row r="583" spans="1:19" ht="14.25" customHeight="1" x14ac:dyDescent="0.2">
      <c r="A583" s="1" t="s">
        <v>19</v>
      </c>
      <c r="B583" s="7">
        <v>46087.181469907409</v>
      </c>
      <c r="C583" s="7">
        <v>46087.195092592592</v>
      </c>
      <c r="D583" s="8">
        <v>46087</v>
      </c>
      <c r="E583" s="9">
        <v>0.19509259259211831</v>
      </c>
      <c r="F583" s="10" t="s">
        <v>748</v>
      </c>
      <c r="G583" s="10" t="s">
        <v>21</v>
      </c>
      <c r="H583" s="10" t="s">
        <v>39</v>
      </c>
      <c r="I583" s="10" t="s">
        <v>23</v>
      </c>
      <c r="J583" s="11">
        <v>1.77</v>
      </c>
      <c r="K583" s="12"/>
      <c r="L583" s="12"/>
      <c r="M583" s="12"/>
      <c r="N583" s="12"/>
      <c r="O583" s="12"/>
      <c r="P583" s="12"/>
      <c r="Q583" s="12"/>
      <c r="R583" s="12"/>
      <c r="S583" s="12"/>
    </row>
    <row r="584" spans="1:19" ht="14.25" customHeight="1" x14ac:dyDescent="0.2">
      <c r="A584" s="1" t="s">
        <v>33</v>
      </c>
      <c r="B584" s="7">
        <v>46087.182314814818</v>
      </c>
      <c r="C584" s="7">
        <v>46087.195277777777</v>
      </c>
      <c r="D584" s="8">
        <v>46087</v>
      </c>
      <c r="E584" s="9">
        <v>0.195277777776937</v>
      </c>
      <c r="F584" s="10" t="s">
        <v>749</v>
      </c>
      <c r="G584" s="10" t="s">
        <v>21</v>
      </c>
      <c r="H584" s="10" t="s">
        <v>22</v>
      </c>
      <c r="I584" s="10" t="s">
        <v>23</v>
      </c>
      <c r="J584" s="11">
        <v>0.83</v>
      </c>
      <c r="K584" s="12"/>
      <c r="L584" s="12"/>
      <c r="M584" s="12"/>
      <c r="N584" s="12"/>
      <c r="O584" s="12"/>
      <c r="P584" s="12"/>
      <c r="Q584" s="12"/>
      <c r="R584" s="12"/>
      <c r="S584" s="12"/>
    </row>
    <row r="585" spans="1:19" ht="14.25" customHeight="1" x14ac:dyDescent="0.2">
      <c r="A585" s="1" t="s">
        <v>28</v>
      </c>
      <c r="B585" s="7">
        <v>46087.185104166667</v>
      </c>
      <c r="C585" s="7">
        <v>46087.198009259257</v>
      </c>
      <c r="D585" s="8">
        <v>46087</v>
      </c>
      <c r="E585" s="9">
        <v>0.19800925925665069</v>
      </c>
      <c r="F585" s="10" t="s">
        <v>750</v>
      </c>
      <c r="G585" s="10" t="s">
        <v>21</v>
      </c>
      <c r="H585" s="10" t="s">
        <v>41</v>
      </c>
      <c r="I585" s="10" t="s">
        <v>23</v>
      </c>
      <c r="J585" s="11">
        <v>1.77</v>
      </c>
      <c r="K585" s="12"/>
      <c r="L585" s="12"/>
      <c r="M585" s="12"/>
      <c r="N585" s="12"/>
      <c r="O585" s="12"/>
      <c r="P585" s="12"/>
      <c r="Q585" s="12"/>
      <c r="R585" s="12"/>
      <c r="S585" s="12"/>
    </row>
    <row r="586" spans="1:19" ht="14.25" customHeight="1" x14ac:dyDescent="0.2">
      <c r="A586" s="1" t="s">
        <v>95</v>
      </c>
      <c r="B586" s="7">
        <v>46087.204560185186</v>
      </c>
      <c r="C586" s="7">
        <v>46087.230497685188</v>
      </c>
      <c r="D586" s="8">
        <v>46087</v>
      </c>
      <c r="E586" s="9">
        <v>0.23049768518831115</v>
      </c>
      <c r="F586" s="10" t="s">
        <v>751</v>
      </c>
      <c r="G586" s="10" t="s">
        <v>21</v>
      </c>
      <c r="H586" s="10" t="s">
        <v>154</v>
      </c>
      <c r="I586" s="10" t="s">
        <v>23</v>
      </c>
      <c r="J586" s="11">
        <v>1.77</v>
      </c>
      <c r="K586" s="12"/>
      <c r="L586" s="12">
        <f>SUM(J586:J590)</f>
        <v>6.19</v>
      </c>
      <c r="M586" s="13">
        <f>L586*65</f>
        <v>402.35</v>
      </c>
      <c r="N586" s="14">
        <f>MAX(500,M586)</f>
        <v>500</v>
      </c>
      <c r="O586" s="12"/>
      <c r="P586" s="12"/>
      <c r="Q586" s="12"/>
      <c r="R586" s="12"/>
      <c r="S586" s="12"/>
    </row>
    <row r="587" spans="1:19" ht="14.25" customHeight="1" x14ac:dyDescent="0.2">
      <c r="A587" s="1" t="s">
        <v>24</v>
      </c>
      <c r="B587" s="7">
        <v>46087.222071759257</v>
      </c>
      <c r="C587" s="7">
        <v>46087.235925925925</v>
      </c>
      <c r="D587" s="8">
        <v>46087</v>
      </c>
      <c r="E587" s="9">
        <v>0.23592592592467554</v>
      </c>
      <c r="F587" s="10" t="s">
        <v>752</v>
      </c>
      <c r="G587" s="10" t="s">
        <v>21</v>
      </c>
      <c r="H587" s="10" t="s">
        <v>620</v>
      </c>
      <c r="I587" s="10" t="s">
        <v>23</v>
      </c>
      <c r="J587" s="11">
        <v>1.06</v>
      </c>
      <c r="K587" s="12"/>
      <c r="L587" s="12"/>
      <c r="M587" s="12"/>
      <c r="N587" s="12"/>
      <c r="O587" s="12"/>
      <c r="P587" s="12"/>
      <c r="Q587" s="12"/>
      <c r="R587" s="12"/>
      <c r="S587" s="12"/>
    </row>
    <row r="588" spans="1:19" ht="14.25" customHeight="1" x14ac:dyDescent="0.2">
      <c r="A588" s="1" t="s">
        <v>24</v>
      </c>
      <c r="B588" s="7">
        <v>46087.227071759262</v>
      </c>
      <c r="C588" s="7">
        <v>46087.239699074074</v>
      </c>
      <c r="D588" s="8">
        <v>46087</v>
      </c>
      <c r="E588" s="9">
        <v>0.23969907407445135</v>
      </c>
      <c r="F588" s="10" t="s">
        <v>753</v>
      </c>
      <c r="G588" s="10" t="s">
        <v>21</v>
      </c>
      <c r="H588" s="10" t="s">
        <v>22</v>
      </c>
      <c r="I588" s="10" t="s">
        <v>23</v>
      </c>
      <c r="J588" s="11">
        <v>0.83</v>
      </c>
      <c r="K588" s="12"/>
      <c r="L588" s="12"/>
      <c r="M588" s="12"/>
      <c r="N588" s="12"/>
      <c r="O588" s="12"/>
      <c r="P588" s="12"/>
      <c r="Q588" s="12"/>
      <c r="R588" s="12"/>
      <c r="S588" s="12"/>
    </row>
    <row r="589" spans="1:19" ht="14.25" customHeight="1" x14ac:dyDescent="0.2">
      <c r="A589" s="1" t="s">
        <v>57</v>
      </c>
      <c r="B589" s="7">
        <v>46087.222604166665</v>
      </c>
      <c r="C589" s="7">
        <v>46087.246458333335</v>
      </c>
      <c r="D589" s="8">
        <v>46087</v>
      </c>
      <c r="E589" s="9">
        <v>0.24645833333488554</v>
      </c>
      <c r="F589" s="10" t="s">
        <v>754</v>
      </c>
      <c r="G589" s="10" t="s">
        <v>21</v>
      </c>
      <c r="H589" s="10" t="s">
        <v>59</v>
      </c>
      <c r="I589" s="10" t="s">
        <v>23</v>
      </c>
      <c r="J589" s="11">
        <v>0.83</v>
      </c>
      <c r="K589" s="12"/>
      <c r="L589" s="12"/>
      <c r="M589" s="12"/>
      <c r="N589" s="12"/>
      <c r="O589" s="12"/>
      <c r="P589" s="12"/>
      <c r="Q589" s="12"/>
      <c r="R589" s="12"/>
      <c r="S589" s="12"/>
    </row>
    <row r="590" spans="1:19" ht="14.25" customHeight="1" x14ac:dyDescent="0.2">
      <c r="A590" s="1" t="s">
        <v>95</v>
      </c>
      <c r="B590" s="7">
        <v>46087.238587962966</v>
      </c>
      <c r="C590" s="7">
        <v>46087.250115740739</v>
      </c>
      <c r="D590" s="8">
        <v>46087</v>
      </c>
      <c r="E590" s="9">
        <v>0.25011574073869269</v>
      </c>
      <c r="F590" s="10" t="s">
        <v>755</v>
      </c>
      <c r="G590" s="10" t="s">
        <v>21</v>
      </c>
      <c r="H590" s="10" t="s">
        <v>108</v>
      </c>
      <c r="I590" s="10" t="s">
        <v>23</v>
      </c>
      <c r="J590" s="11">
        <v>1.7</v>
      </c>
      <c r="K590" s="12"/>
      <c r="L590" s="12"/>
      <c r="M590" s="12"/>
      <c r="N590" s="12"/>
      <c r="O590" s="12"/>
      <c r="P590" s="12"/>
      <c r="Q590" s="12"/>
      <c r="R590" s="12"/>
      <c r="S590" s="12"/>
    </row>
    <row r="591" spans="1:19" ht="14.25" customHeight="1" x14ac:dyDescent="0.2">
      <c r="A591" s="1" t="s">
        <v>57</v>
      </c>
      <c r="B591" s="7">
        <v>46087.858553240738</v>
      </c>
      <c r="C591" s="7">
        <v>46087.881319444445</v>
      </c>
      <c r="D591" s="8">
        <v>46087</v>
      </c>
      <c r="E591" s="9">
        <v>0.88131944444467081</v>
      </c>
      <c r="F591" s="10" t="s">
        <v>756</v>
      </c>
      <c r="G591" s="10" t="s">
        <v>21</v>
      </c>
      <c r="H591" s="10" t="s">
        <v>133</v>
      </c>
      <c r="I591" s="10" t="s">
        <v>23</v>
      </c>
      <c r="J591" s="11">
        <v>0.98</v>
      </c>
      <c r="K591" s="12">
        <f>SUM(J591:J595,J601:J606,J608:J613,J619,J623,J624,J626:J628,J632:J633,J635,J636,J637,J640,J641,J646,J651,J653:J657,J659,J660,J661,J664:J668,J670:J690)</f>
        <v>71.94</v>
      </c>
      <c r="L591" s="12">
        <f>SUM(J591:J607)</f>
        <v>12.780000000000001</v>
      </c>
      <c r="M591" s="13">
        <f>L591*65</f>
        <v>830.7</v>
      </c>
      <c r="N591" s="14">
        <f>MAX(500,M591)</f>
        <v>830.7</v>
      </c>
      <c r="O591" s="12"/>
      <c r="P591" s="12"/>
      <c r="Q591" s="12"/>
      <c r="R591" s="12"/>
      <c r="S591" s="12"/>
    </row>
    <row r="592" spans="1:19" ht="14.25" customHeight="1" x14ac:dyDescent="0.2">
      <c r="A592" s="1" t="s">
        <v>57</v>
      </c>
      <c r="B592" s="7">
        <v>46087.86</v>
      </c>
      <c r="C592" s="7">
        <v>46087.881631944445</v>
      </c>
      <c r="D592" s="8">
        <v>46087</v>
      </c>
      <c r="E592" s="9">
        <v>0.88163194444496185</v>
      </c>
      <c r="F592" s="10" t="s">
        <v>757</v>
      </c>
      <c r="G592" s="10" t="s">
        <v>21</v>
      </c>
      <c r="H592" s="10" t="s">
        <v>758</v>
      </c>
      <c r="I592" s="10" t="s">
        <v>23</v>
      </c>
      <c r="J592" s="11">
        <v>0.8</v>
      </c>
      <c r="K592" s="12"/>
      <c r="L592" s="12"/>
      <c r="M592" s="12"/>
      <c r="N592" s="12"/>
      <c r="O592" s="12"/>
      <c r="P592" s="12"/>
      <c r="Q592" s="12"/>
      <c r="R592" s="12"/>
      <c r="S592" s="12"/>
    </row>
    <row r="593" spans="1:19" ht="14.25" customHeight="1" x14ac:dyDescent="0.2">
      <c r="A593" s="1" t="s">
        <v>42</v>
      </c>
      <c r="B593" s="7">
        <v>46087.873773148145</v>
      </c>
      <c r="C593" s="7">
        <v>46087.886377314811</v>
      </c>
      <c r="D593" s="8">
        <v>46087</v>
      </c>
      <c r="E593" s="9">
        <v>0.88637731481139781</v>
      </c>
      <c r="F593" s="10" t="s">
        <v>759</v>
      </c>
      <c r="G593" s="10" t="s">
        <v>44</v>
      </c>
      <c r="H593" s="10" t="s">
        <v>45</v>
      </c>
      <c r="I593" s="10" t="s">
        <v>23</v>
      </c>
      <c r="J593" s="11">
        <v>0.18</v>
      </c>
      <c r="K593" s="12"/>
      <c r="L593" s="12"/>
      <c r="M593" s="12"/>
      <c r="N593" s="12"/>
      <c r="O593" s="12"/>
      <c r="P593" s="12"/>
      <c r="Q593" s="12"/>
      <c r="R593" s="12"/>
      <c r="S593" s="12"/>
    </row>
    <row r="594" spans="1:19" ht="14.25" customHeight="1" x14ac:dyDescent="0.2">
      <c r="A594" s="1" t="s">
        <v>19</v>
      </c>
      <c r="B594" s="7">
        <v>46087.881458333337</v>
      </c>
      <c r="C594" s="7">
        <v>46087.892222222225</v>
      </c>
      <c r="D594" s="8">
        <v>46087</v>
      </c>
      <c r="E594" s="9">
        <v>0.89222222222451819</v>
      </c>
      <c r="F594" s="10" t="s">
        <v>760</v>
      </c>
      <c r="G594" s="10" t="s">
        <v>21</v>
      </c>
      <c r="H594" s="10" t="s">
        <v>101</v>
      </c>
      <c r="I594" s="10" t="s">
        <v>23</v>
      </c>
      <c r="J594" s="11">
        <v>1.7</v>
      </c>
      <c r="K594" s="12"/>
      <c r="L594" s="12"/>
      <c r="M594" s="12"/>
      <c r="N594" s="12"/>
      <c r="O594" s="12"/>
      <c r="P594" s="12"/>
      <c r="Q594" s="12"/>
      <c r="R594" s="12"/>
      <c r="S594" s="12"/>
    </row>
    <row r="595" spans="1:19" ht="14.25" customHeight="1" x14ac:dyDescent="0.2">
      <c r="A595" s="1" t="s">
        <v>33</v>
      </c>
      <c r="B595" s="7">
        <v>46087.859629629631</v>
      </c>
      <c r="C595" s="7">
        <v>46087.902939814812</v>
      </c>
      <c r="D595" s="8">
        <v>46087</v>
      </c>
      <c r="E595" s="9">
        <v>0.90293981481227092</v>
      </c>
      <c r="F595" s="10" t="s">
        <v>761</v>
      </c>
      <c r="G595" s="10" t="s">
        <v>26</v>
      </c>
      <c r="H595" s="10" t="s">
        <v>650</v>
      </c>
      <c r="I595" s="10" t="s">
        <v>23</v>
      </c>
      <c r="J595" s="11">
        <v>0.44</v>
      </c>
      <c r="K595" s="12"/>
      <c r="L595" s="12"/>
      <c r="M595" s="12"/>
      <c r="N595" s="12"/>
      <c r="O595" s="12"/>
      <c r="P595" s="12"/>
      <c r="Q595" s="12"/>
      <c r="R595" s="12"/>
      <c r="S595" s="12"/>
    </row>
    <row r="596" spans="1:19" ht="14.25" customHeight="1" x14ac:dyDescent="0.2">
      <c r="A596" s="22" t="s">
        <v>24</v>
      </c>
      <c r="B596" s="23">
        <v>46087.845381944448</v>
      </c>
      <c r="C596" s="23">
        <v>46087.877002314817</v>
      </c>
      <c r="D596" s="24">
        <v>46087</v>
      </c>
      <c r="E596" s="25">
        <v>0.87700231481721858</v>
      </c>
      <c r="F596" s="22" t="s">
        <v>762</v>
      </c>
      <c r="G596" s="22" t="s">
        <v>44</v>
      </c>
      <c r="H596" s="22" t="s">
        <v>185</v>
      </c>
      <c r="I596" s="22" t="s">
        <v>583</v>
      </c>
      <c r="J596" s="26">
        <v>0.18</v>
      </c>
      <c r="K596" s="26"/>
      <c r="L596" s="26"/>
      <c r="M596" s="26"/>
      <c r="N596" s="26"/>
      <c r="O596" s="26"/>
      <c r="P596" s="26"/>
      <c r="Q596" s="26"/>
      <c r="R596" s="26"/>
      <c r="S596" s="26"/>
    </row>
    <row r="597" spans="1:19" ht="14.25" customHeight="1" x14ac:dyDescent="0.2">
      <c r="A597" s="22" t="s">
        <v>24</v>
      </c>
      <c r="B597" s="23">
        <v>46087.852835648147</v>
      </c>
      <c r="C597" s="23">
        <v>46087.883125</v>
      </c>
      <c r="D597" s="24">
        <v>46087</v>
      </c>
      <c r="E597" s="25">
        <v>0.88312500000029104</v>
      </c>
      <c r="F597" s="22" t="s">
        <v>763</v>
      </c>
      <c r="G597" s="22" t="s">
        <v>44</v>
      </c>
      <c r="H597" s="22" t="s">
        <v>185</v>
      </c>
      <c r="I597" s="22" t="s">
        <v>583</v>
      </c>
      <c r="J597" s="26">
        <v>0.18</v>
      </c>
      <c r="K597" s="26"/>
      <c r="L597" s="26"/>
      <c r="M597" s="26"/>
      <c r="N597" s="26"/>
      <c r="O597" s="26"/>
      <c r="P597" s="26"/>
      <c r="Q597" s="26"/>
      <c r="R597" s="26"/>
      <c r="S597" s="26"/>
    </row>
    <row r="598" spans="1:19" ht="14.25" customHeight="1" x14ac:dyDescent="0.2">
      <c r="A598" s="22" t="s">
        <v>33</v>
      </c>
      <c r="B598" s="23">
        <v>46087.874548611115</v>
      </c>
      <c r="C598" s="23">
        <v>46087.893159722225</v>
      </c>
      <c r="D598" s="24">
        <v>46087</v>
      </c>
      <c r="E598" s="25">
        <v>0.89315972222539131</v>
      </c>
      <c r="F598" s="22" t="s">
        <v>764</v>
      </c>
      <c r="G598" s="22" t="s">
        <v>21</v>
      </c>
      <c r="H598" s="22" t="s">
        <v>22</v>
      </c>
      <c r="I598" s="22" t="s">
        <v>583</v>
      </c>
      <c r="J598" s="26">
        <v>0.83</v>
      </c>
      <c r="K598" s="26"/>
      <c r="L598" s="26"/>
      <c r="M598" s="26"/>
      <c r="N598" s="26"/>
      <c r="O598" s="26"/>
      <c r="P598" s="26"/>
      <c r="Q598" s="26"/>
      <c r="R598" s="26"/>
      <c r="S598" s="26"/>
    </row>
    <row r="599" spans="1:19" ht="14.25" customHeight="1" x14ac:dyDescent="0.2">
      <c r="A599" s="22" t="s">
        <v>19</v>
      </c>
      <c r="B599" s="23">
        <v>46087.875451388885</v>
      </c>
      <c r="C599" s="23">
        <v>46087.905671296299</v>
      </c>
      <c r="D599" s="24">
        <v>46087</v>
      </c>
      <c r="E599" s="25">
        <v>0.90567129629926058</v>
      </c>
      <c r="F599" s="22" t="s">
        <v>765</v>
      </c>
      <c r="G599" s="22" t="s">
        <v>21</v>
      </c>
      <c r="H599" s="22" t="s">
        <v>39</v>
      </c>
      <c r="I599" s="22" t="s">
        <v>583</v>
      </c>
      <c r="J599" s="26">
        <v>1.77</v>
      </c>
      <c r="K599" s="26"/>
      <c r="L599" s="26"/>
      <c r="M599" s="26"/>
      <c r="N599" s="26"/>
      <c r="O599" s="26"/>
      <c r="P599" s="26"/>
      <c r="Q599" s="26"/>
      <c r="R599" s="26"/>
      <c r="S599" s="26"/>
    </row>
    <row r="600" spans="1:19" ht="14.25" customHeight="1" x14ac:dyDescent="0.2">
      <c r="A600" s="22" t="s">
        <v>19</v>
      </c>
      <c r="B600" s="23">
        <v>46087.851875</v>
      </c>
      <c r="C600" s="23">
        <v>46087.907893518517</v>
      </c>
      <c r="D600" s="24">
        <v>46087</v>
      </c>
      <c r="E600" s="25">
        <v>0.90789351851708489</v>
      </c>
      <c r="F600" s="22" t="s">
        <v>766</v>
      </c>
      <c r="G600" s="22" t="s">
        <v>44</v>
      </c>
      <c r="H600" s="22" t="s">
        <v>185</v>
      </c>
      <c r="I600" s="22" t="s">
        <v>583</v>
      </c>
      <c r="J600" s="26">
        <v>0.18</v>
      </c>
      <c r="K600" s="26"/>
      <c r="L600" s="26"/>
      <c r="M600" s="26"/>
      <c r="N600" s="26"/>
      <c r="O600" s="26"/>
      <c r="P600" s="26"/>
      <c r="Q600" s="26"/>
      <c r="R600" s="26"/>
      <c r="S600" s="26"/>
    </row>
    <row r="601" spans="1:19" ht="14.25" customHeight="1" x14ac:dyDescent="0.2">
      <c r="A601" s="1" t="s">
        <v>24</v>
      </c>
      <c r="B601" s="7">
        <v>46087.88559027778</v>
      </c>
      <c r="C601" s="7">
        <v>46087.908483796295</v>
      </c>
      <c r="D601" s="8">
        <v>46087</v>
      </c>
      <c r="E601" s="9">
        <v>0.90848379629460396</v>
      </c>
      <c r="F601" s="10" t="s">
        <v>767</v>
      </c>
      <c r="G601" s="10" t="s">
        <v>26</v>
      </c>
      <c r="H601" s="10" t="s">
        <v>768</v>
      </c>
      <c r="I601" s="10" t="s">
        <v>23</v>
      </c>
      <c r="J601" s="11">
        <v>0.67</v>
      </c>
      <c r="K601" s="12"/>
      <c r="L601" s="12"/>
      <c r="M601" s="12"/>
      <c r="N601" s="12"/>
      <c r="O601" s="12"/>
      <c r="P601" s="12"/>
      <c r="Q601" s="12"/>
      <c r="R601" s="12"/>
      <c r="S601" s="12"/>
    </row>
    <row r="602" spans="1:19" ht="14.25" customHeight="1" x14ac:dyDescent="0.2">
      <c r="A602" s="1" t="s">
        <v>42</v>
      </c>
      <c r="B602" s="7">
        <v>46087.884398148148</v>
      </c>
      <c r="C602" s="7">
        <v>46087.9140625</v>
      </c>
      <c r="D602" s="8">
        <v>46087</v>
      </c>
      <c r="E602" s="9">
        <v>0.9140625</v>
      </c>
      <c r="F602" s="10" t="s">
        <v>769</v>
      </c>
      <c r="G602" s="10" t="s">
        <v>26</v>
      </c>
      <c r="H602" s="10" t="s">
        <v>172</v>
      </c>
      <c r="I602" s="10" t="s">
        <v>23</v>
      </c>
      <c r="J602" s="11">
        <v>0.67</v>
      </c>
      <c r="K602" s="12"/>
      <c r="L602" s="12"/>
      <c r="M602" s="12"/>
      <c r="N602" s="12"/>
      <c r="O602" s="12"/>
      <c r="P602" s="12"/>
      <c r="Q602" s="12"/>
      <c r="R602" s="12"/>
      <c r="S602" s="12"/>
    </row>
    <row r="603" spans="1:19" ht="14.25" customHeight="1" x14ac:dyDescent="0.2">
      <c r="A603" s="1" t="s">
        <v>42</v>
      </c>
      <c r="B603" s="7">
        <v>46087.870057870372</v>
      </c>
      <c r="C603" s="7">
        <v>46087.914525462962</v>
      </c>
      <c r="D603" s="8">
        <v>46087</v>
      </c>
      <c r="E603" s="9">
        <v>0.91452546296204673</v>
      </c>
      <c r="F603" s="10" t="s">
        <v>770</v>
      </c>
      <c r="G603" s="10" t="s">
        <v>26</v>
      </c>
      <c r="H603" s="10" t="s">
        <v>202</v>
      </c>
      <c r="I603" s="10" t="s">
        <v>23</v>
      </c>
      <c r="J603" s="11">
        <v>0.57999999999999996</v>
      </c>
      <c r="K603" s="12"/>
      <c r="L603" s="12"/>
      <c r="M603" s="12"/>
      <c r="N603" s="12"/>
      <c r="O603" s="12"/>
      <c r="P603" s="12"/>
      <c r="Q603" s="12"/>
      <c r="R603" s="12"/>
      <c r="S603" s="12"/>
    </row>
    <row r="604" spans="1:19" ht="14.25" customHeight="1" x14ac:dyDescent="0.2">
      <c r="A604" s="1" t="s">
        <v>19</v>
      </c>
      <c r="B604" s="7">
        <v>46087.886041666665</v>
      </c>
      <c r="C604" s="7">
        <v>46087.914733796293</v>
      </c>
      <c r="D604" s="8">
        <v>46087</v>
      </c>
      <c r="E604" s="9">
        <v>0.91473379629314877</v>
      </c>
      <c r="F604" s="10" t="s">
        <v>771</v>
      </c>
      <c r="G604" s="10" t="s">
        <v>21</v>
      </c>
      <c r="H604" s="10" t="s">
        <v>52</v>
      </c>
      <c r="I604" s="10" t="s">
        <v>23</v>
      </c>
      <c r="J604" s="11">
        <v>0.98</v>
      </c>
      <c r="K604" s="12"/>
      <c r="L604" s="12"/>
      <c r="M604" s="12"/>
      <c r="N604" s="12"/>
      <c r="O604" s="12"/>
      <c r="P604" s="12"/>
      <c r="Q604" s="12"/>
      <c r="R604" s="12"/>
      <c r="S604" s="12"/>
    </row>
    <row r="605" spans="1:19" ht="14.25" customHeight="1" x14ac:dyDescent="0.2">
      <c r="A605" s="1" t="s">
        <v>19</v>
      </c>
      <c r="B605" s="7">
        <v>46087.886041666665</v>
      </c>
      <c r="C605" s="7">
        <v>46087.914907407408</v>
      </c>
      <c r="D605" s="8">
        <v>46087</v>
      </c>
      <c r="E605" s="9">
        <v>0.91490740740846377</v>
      </c>
      <c r="F605" s="10" t="s">
        <v>772</v>
      </c>
      <c r="G605" s="10" t="s">
        <v>21</v>
      </c>
      <c r="H605" s="10" t="s">
        <v>22</v>
      </c>
      <c r="I605" s="10" t="s">
        <v>23</v>
      </c>
      <c r="J605" s="11">
        <v>0.83</v>
      </c>
      <c r="K605" s="12"/>
      <c r="L605" s="12"/>
      <c r="M605" s="12"/>
      <c r="N605" s="12"/>
      <c r="O605" s="12"/>
      <c r="P605" s="12"/>
      <c r="Q605" s="12"/>
      <c r="R605" s="12"/>
      <c r="S605" s="12"/>
    </row>
    <row r="606" spans="1:19" ht="14.25" customHeight="1" x14ac:dyDescent="0.2">
      <c r="A606" s="1" t="s">
        <v>19</v>
      </c>
      <c r="B606" s="7">
        <v>46087.886041666665</v>
      </c>
      <c r="C606" s="7">
        <v>46087.915277777778</v>
      </c>
      <c r="D606" s="8">
        <v>46087</v>
      </c>
      <c r="E606" s="9">
        <v>0.91527777777810115</v>
      </c>
      <c r="F606" s="10" t="s">
        <v>773</v>
      </c>
      <c r="G606" s="10" t="s">
        <v>21</v>
      </c>
      <c r="H606" s="10" t="s">
        <v>31</v>
      </c>
      <c r="I606" s="10" t="s">
        <v>23</v>
      </c>
      <c r="J606" s="11">
        <v>0.98</v>
      </c>
      <c r="K606" s="12"/>
      <c r="L606" s="12"/>
      <c r="M606" s="12"/>
      <c r="N606" s="12"/>
      <c r="O606" s="12"/>
      <c r="P606" s="12"/>
      <c r="Q606" s="12"/>
      <c r="R606" s="12"/>
      <c r="S606" s="12"/>
    </row>
    <row r="607" spans="1:19" ht="14.25" customHeight="1" x14ac:dyDescent="0.2">
      <c r="A607" s="22" t="s">
        <v>33</v>
      </c>
      <c r="B607" s="23">
        <v>46087.89738425926</v>
      </c>
      <c r="C607" s="23">
        <v>46087.915972222225</v>
      </c>
      <c r="D607" s="24">
        <v>46087</v>
      </c>
      <c r="E607" s="25">
        <v>0.91597222222480923</v>
      </c>
      <c r="F607" s="22" t="s">
        <v>774</v>
      </c>
      <c r="G607" s="22" t="s">
        <v>21</v>
      </c>
      <c r="H607" s="22" t="s">
        <v>54</v>
      </c>
      <c r="I607" s="22" t="s">
        <v>583</v>
      </c>
      <c r="J607" s="26">
        <v>0.83</v>
      </c>
      <c r="K607" s="26"/>
      <c r="L607" s="26"/>
      <c r="M607" s="26"/>
      <c r="N607" s="26"/>
      <c r="O607" s="26"/>
      <c r="P607" s="26"/>
      <c r="Q607" s="26"/>
      <c r="R607" s="26"/>
      <c r="S607" s="26"/>
    </row>
    <row r="608" spans="1:19" ht="14.25" customHeight="1" x14ac:dyDescent="0.2">
      <c r="A608" s="1" t="s">
        <v>33</v>
      </c>
      <c r="B608" s="7">
        <v>46087.89738425926</v>
      </c>
      <c r="C608" s="7">
        <v>46087.922731481478</v>
      </c>
      <c r="D608" s="8">
        <v>46087</v>
      </c>
      <c r="E608" s="9">
        <v>0.92273148147796746</v>
      </c>
      <c r="F608" s="10" t="s">
        <v>775</v>
      </c>
      <c r="G608" s="10" t="s">
        <v>21</v>
      </c>
      <c r="H608" s="10" t="s">
        <v>35</v>
      </c>
      <c r="I608" s="10" t="s">
        <v>23</v>
      </c>
      <c r="J608" s="11">
        <v>2.5</v>
      </c>
      <c r="K608" s="12"/>
      <c r="L608" s="12">
        <f>SUM(J608:J618)</f>
        <v>8.1399999999999988</v>
      </c>
      <c r="M608" s="13">
        <f>L608*65</f>
        <v>529.09999999999991</v>
      </c>
      <c r="N608" s="14">
        <f>MAX(500,M608)</f>
        <v>529.09999999999991</v>
      </c>
      <c r="O608" s="12"/>
      <c r="P608" s="12"/>
      <c r="Q608" s="12"/>
      <c r="R608" s="12"/>
      <c r="S608" s="12"/>
    </row>
    <row r="609" spans="1:19" ht="14.25" customHeight="1" x14ac:dyDescent="0.2">
      <c r="A609" s="1" t="s">
        <v>24</v>
      </c>
      <c r="B609" s="7">
        <v>46087.914085648146</v>
      </c>
      <c r="C609" s="7">
        <v>46087.923194444447</v>
      </c>
      <c r="D609" s="8">
        <v>46087</v>
      </c>
      <c r="E609" s="9">
        <v>0.92319444444729015</v>
      </c>
      <c r="F609" s="10" t="s">
        <v>776</v>
      </c>
      <c r="G609" s="10" t="s">
        <v>21</v>
      </c>
      <c r="H609" s="10" t="s">
        <v>101</v>
      </c>
      <c r="I609" s="10" t="s">
        <v>23</v>
      </c>
      <c r="J609" s="11">
        <v>1.7</v>
      </c>
      <c r="K609" s="12"/>
      <c r="L609" s="12"/>
      <c r="M609" s="12"/>
      <c r="N609" s="12"/>
      <c r="O609" s="12"/>
      <c r="P609" s="12"/>
      <c r="Q609" s="12"/>
      <c r="R609" s="12"/>
      <c r="S609" s="12"/>
    </row>
    <row r="610" spans="1:19" ht="14.25" customHeight="1" x14ac:dyDescent="0.2">
      <c r="A610" s="1" t="s">
        <v>42</v>
      </c>
      <c r="B610" s="7">
        <v>46087.905787037038</v>
      </c>
      <c r="C610" s="7">
        <v>46087.926412037035</v>
      </c>
      <c r="D610" s="8">
        <v>46087</v>
      </c>
      <c r="E610" s="9">
        <v>0.92641203703533392</v>
      </c>
      <c r="F610" s="10" t="s">
        <v>777</v>
      </c>
      <c r="G610" s="10" t="s">
        <v>44</v>
      </c>
      <c r="H610" s="10" t="s">
        <v>45</v>
      </c>
      <c r="I610" s="10" t="s">
        <v>23</v>
      </c>
      <c r="J610" s="11">
        <v>0.18</v>
      </c>
      <c r="K610" s="12"/>
      <c r="L610" s="12"/>
      <c r="M610" s="12"/>
      <c r="N610" s="12"/>
      <c r="O610" s="12"/>
      <c r="P610" s="12"/>
      <c r="Q610" s="12"/>
      <c r="R610" s="12"/>
      <c r="S610" s="12"/>
    </row>
    <row r="611" spans="1:19" ht="14.25" customHeight="1" x14ac:dyDescent="0.2">
      <c r="A611" s="1" t="s">
        <v>42</v>
      </c>
      <c r="B611" s="7">
        <v>46087.917326388888</v>
      </c>
      <c r="C611" s="7">
        <v>46087.942060185182</v>
      </c>
      <c r="D611" s="8">
        <v>46087</v>
      </c>
      <c r="E611" s="9">
        <v>0.94206018518161727</v>
      </c>
      <c r="F611" s="10" t="s">
        <v>778</v>
      </c>
      <c r="G611" s="10" t="s">
        <v>26</v>
      </c>
      <c r="H611" s="10" t="s">
        <v>76</v>
      </c>
      <c r="I611" s="10" t="s">
        <v>23</v>
      </c>
      <c r="J611" s="11">
        <v>0.75</v>
      </c>
      <c r="K611" s="12"/>
      <c r="L611" s="12"/>
      <c r="M611" s="12"/>
      <c r="N611" s="12"/>
      <c r="O611" s="12"/>
      <c r="P611" s="12"/>
      <c r="Q611" s="12"/>
      <c r="R611" s="12"/>
      <c r="S611" s="12"/>
    </row>
    <row r="612" spans="1:19" ht="14.25" customHeight="1" x14ac:dyDescent="0.2">
      <c r="A612" s="1" t="s">
        <v>24</v>
      </c>
      <c r="B612" s="7">
        <v>46087.931030092594</v>
      </c>
      <c r="C612" s="7">
        <v>46087.944664351853</v>
      </c>
      <c r="D612" s="8">
        <v>46087</v>
      </c>
      <c r="E612" s="9">
        <v>0.94466435185313458</v>
      </c>
      <c r="F612" s="10" t="s">
        <v>779</v>
      </c>
      <c r="G612" s="10" t="s">
        <v>21</v>
      </c>
      <c r="H612" s="10" t="s">
        <v>22</v>
      </c>
      <c r="I612" s="10" t="s">
        <v>23</v>
      </c>
      <c r="J612" s="11">
        <v>0.83</v>
      </c>
      <c r="K612" s="12"/>
      <c r="L612" s="12"/>
      <c r="M612" s="12"/>
      <c r="N612" s="12"/>
      <c r="O612" s="12"/>
      <c r="P612" s="12"/>
      <c r="Q612" s="12"/>
      <c r="R612" s="12"/>
      <c r="S612" s="12"/>
    </row>
    <row r="613" spans="1:19" ht="14.25" customHeight="1" x14ac:dyDescent="0.2">
      <c r="A613" s="1" t="s">
        <v>24</v>
      </c>
      <c r="B613" s="7">
        <v>46087.931030092594</v>
      </c>
      <c r="C613" s="7">
        <v>46087.945983796293</v>
      </c>
      <c r="D613" s="8">
        <v>46087</v>
      </c>
      <c r="E613" s="9">
        <v>0.94598379629314877</v>
      </c>
      <c r="F613" s="10" t="s">
        <v>780</v>
      </c>
      <c r="G613" s="10" t="s">
        <v>21</v>
      </c>
      <c r="H613" s="10" t="s">
        <v>530</v>
      </c>
      <c r="I613" s="10" t="s">
        <v>23</v>
      </c>
      <c r="J613" s="11">
        <v>1.25</v>
      </c>
      <c r="K613" s="12"/>
      <c r="L613" s="12"/>
      <c r="M613" s="12"/>
      <c r="N613" s="12"/>
      <c r="O613" s="12"/>
      <c r="P613" s="12"/>
      <c r="Q613" s="12"/>
      <c r="R613" s="12"/>
      <c r="S613" s="12"/>
    </row>
    <row r="614" spans="1:19" ht="14.25" customHeight="1" x14ac:dyDescent="0.2">
      <c r="A614" s="22" t="s">
        <v>19</v>
      </c>
      <c r="B614" s="23">
        <v>46087.884421296294</v>
      </c>
      <c r="C614" s="23">
        <v>46087.947187500002</v>
      </c>
      <c r="D614" s="24">
        <v>46087</v>
      </c>
      <c r="E614" s="25">
        <v>0.94718750000174623</v>
      </c>
      <c r="F614" s="22" t="s">
        <v>781</v>
      </c>
      <c r="G614" s="22" t="s">
        <v>44</v>
      </c>
      <c r="H614" s="22" t="s">
        <v>185</v>
      </c>
      <c r="I614" s="22" t="s">
        <v>583</v>
      </c>
      <c r="J614" s="26">
        <v>0.18</v>
      </c>
      <c r="K614" s="26"/>
      <c r="L614" s="26"/>
      <c r="M614" s="26"/>
      <c r="N614" s="26"/>
      <c r="O614" s="26"/>
      <c r="P614" s="26"/>
      <c r="Q614" s="26"/>
      <c r="R614" s="26"/>
      <c r="S614" s="26"/>
    </row>
    <row r="615" spans="1:19" ht="14.25" customHeight="1" x14ac:dyDescent="0.2">
      <c r="A615" s="22" t="s">
        <v>24</v>
      </c>
      <c r="B615" s="23">
        <v>46087.93178240741</v>
      </c>
      <c r="C615" s="23">
        <v>46087.948796296296</v>
      </c>
      <c r="D615" s="24">
        <v>46087</v>
      </c>
      <c r="E615" s="25">
        <v>0.94879629629576812</v>
      </c>
      <c r="F615" s="22" t="s">
        <v>782</v>
      </c>
      <c r="G615" s="22" t="s">
        <v>44</v>
      </c>
      <c r="H615" s="22" t="s">
        <v>185</v>
      </c>
      <c r="I615" s="22" t="s">
        <v>583</v>
      </c>
      <c r="J615" s="26">
        <v>0.18</v>
      </c>
      <c r="K615" s="26"/>
      <c r="L615" s="26"/>
      <c r="M615" s="26"/>
      <c r="N615" s="26"/>
      <c r="O615" s="26"/>
      <c r="P615" s="26"/>
      <c r="Q615" s="26"/>
      <c r="R615" s="26"/>
      <c r="S615" s="26"/>
    </row>
    <row r="616" spans="1:19" ht="14.25" customHeight="1" x14ac:dyDescent="0.2">
      <c r="A616" s="22" t="s">
        <v>24</v>
      </c>
      <c r="B616" s="23">
        <v>46087.93037037037</v>
      </c>
      <c r="C616" s="23">
        <v>46087.950150462966</v>
      </c>
      <c r="D616" s="24">
        <v>46087</v>
      </c>
      <c r="E616" s="25">
        <v>0.95015046296612127</v>
      </c>
      <c r="F616" s="22" t="s">
        <v>783</v>
      </c>
      <c r="G616" s="22" t="s">
        <v>44</v>
      </c>
      <c r="H616" s="22" t="s">
        <v>185</v>
      </c>
      <c r="I616" s="22" t="s">
        <v>583</v>
      </c>
      <c r="J616" s="26">
        <v>0.18</v>
      </c>
      <c r="K616" s="26"/>
      <c r="L616" s="26"/>
      <c r="M616" s="26"/>
      <c r="N616" s="26"/>
      <c r="O616" s="26"/>
      <c r="P616" s="26"/>
      <c r="Q616" s="26"/>
      <c r="R616" s="26"/>
      <c r="S616" s="26"/>
    </row>
    <row r="617" spans="1:19" ht="14.25" customHeight="1" x14ac:dyDescent="0.2">
      <c r="A617" s="22" t="s">
        <v>19</v>
      </c>
      <c r="B617" s="23">
        <v>46087.915416666663</v>
      </c>
      <c r="C617" s="23">
        <v>46087.953564814816</v>
      </c>
      <c r="D617" s="24">
        <v>46087</v>
      </c>
      <c r="E617" s="25">
        <v>0.95356481481576338</v>
      </c>
      <c r="F617" s="22" t="s">
        <v>784</v>
      </c>
      <c r="G617" s="22" t="s">
        <v>44</v>
      </c>
      <c r="H617" s="22" t="s">
        <v>185</v>
      </c>
      <c r="I617" s="22" t="s">
        <v>583</v>
      </c>
      <c r="J617" s="26">
        <v>0.18</v>
      </c>
      <c r="K617" s="26"/>
      <c r="L617" s="26"/>
      <c r="M617" s="26"/>
      <c r="N617" s="26"/>
      <c r="O617" s="26"/>
      <c r="P617" s="26"/>
      <c r="Q617" s="26"/>
      <c r="R617" s="26"/>
      <c r="S617" s="26"/>
    </row>
    <row r="618" spans="1:19" ht="14.25" customHeight="1" x14ac:dyDescent="0.2">
      <c r="A618" s="22" t="s">
        <v>19</v>
      </c>
      <c r="B618" s="23">
        <v>46087.89402777778</v>
      </c>
      <c r="C618" s="23">
        <v>46087.955682870372</v>
      </c>
      <c r="D618" s="24">
        <v>46087</v>
      </c>
      <c r="E618" s="25">
        <v>0.95568287037167465</v>
      </c>
      <c r="F618" s="22" t="s">
        <v>785</v>
      </c>
      <c r="G618" s="22" t="s">
        <v>44</v>
      </c>
      <c r="H618" s="22" t="s">
        <v>48</v>
      </c>
      <c r="I618" s="22" t="s">
        <v>583</v>
      </c>
      <c r="J618" s="26">
        <v>0.21</v>
      </c>
      <c r="K618" s="26"/>
      <c r="L618" s="26"/>
      <c r="M618" s="26"/>
      <c r="N618" s="26"/>
      <c r="O618" s="26"/>
      <c r="P618" s="26"/>
      <c r="Q618" s="26"/>
      <c r="R618" s="26"/>
      <c r="S618" s="26"/>
    </row>
    <row r="619" spans="1:19" ht="14.25" customHeight="1" x14ac:dyDescent="0.2">
      <c r="A619" s="1" t="s">
        <v>42</v>
      </c>
      <c r="B619" s="7">
        <v>46087.937523148146</v>
      </c>
      <c r="C619" s="7">
        <v>46087.960613425923</v>
      </c>
      <c r="D619" s="8">
        <v>46087</v>
      </c>
      <c r="E619" s="9">
        <v>0.96061342592292931</v>
      </c>
      <c r="F619" s="10" t="s">
        <v>786</v>
      </c>
      <c r="G619" s="10" t="s">
        <v>26</v>
      </c>
      <c r="H619" s="10" t="s">
        <v>787</v>
      </c>
      <c r="I619" s="10" t="s">
        <v>23</v>
      </c>
      <c r="J619" s="11">
        <v>0.66</v>
      </c>
      <c r="K619" s="12"/>
      <c r="L619" s="12">
        <f>SUM(J619:J643)</f>
        <v>27.529999999999998</v>
      </c>
      <c r="M619" s="13">
        <f>L619*65</f>
        <v>1789.4499999999998</v>
      </c>
      <c r="N619" s="14">
        <f>MAX(500,M619)</f>
        <v>1789.4499999999998</v>
      </c>
      <c r="O619" s="12"/>
      <c r="P619" s="12"/>
      <c r="Q619" s="12"/>
      <c r="R619" s="12"/>
      <c r="S619" s="12"/>
    </row>
    <row r="620" spans="1:19" ht="14.25" customHeight="1" x14ac:dyDescent="0.2">
      <c r="A620" s="22" t="s">
        <v>19</v>
      </c>
      <c r="B620" s="23">
        <v>46087.943807870368</v>
      </c>
      <c r="C620" s="23">
        <v>46087.962152777778</v>
      </c>
      <c r="D620" s="24">
        <v>46087</v>
      </c>
      <c r="E620" s="25">
        <v>0.96215277777810115</v>
      </c>
      <c r="F620" s="22" t="s">
        <v>788</v>
      </c>
      <c r="G620" s="22" t="s">
        <v>21</v>
      </c>
      <c r="H620" s="22" t="s">
        <v>39</v>
      </c>
      <c r="I620" s="22" t="s">
        <v>583</v>
      </c>
      <c r="J620" s="26">
        <v>1.77</v>
      </c>
      <c r="K620" s="26"/>
      <c r="L620" s="26"/>
      <c r="M620" s="26"/>
      <c r="N620" s="26"/>
      <c r="O620" s="26"/>
      <c r="P620" s="26"/>
      <c r="Q620" s="26"/>
      <c r="R620" s="26"/>
      <c r="S620" s="26"/>
    </row>
    <row r="621" spans="1:19" ht="14.25" customHeight="1" x14ac:dyDescent="0.2">
      <c r="A621" s="22" t="s">
        <v>148</v>
      </c>
      <c r="B621" s="23">
        <v>46087.906793981485</v>
      </c>
      <c r="C621" s="23">
        <v>46087.963761574072</v>
      </c>
      <c r="D621" s="24">
        <v>46087</v>
      </c>
      <c r="E621" s="25">
        <v>0.96376157407212304</v>
      </c>
      <c r="F621" s="22" t="s">
        <v>789</v>
      </c>
      <c r="G621" s="22" t="s">
        <v>44</v>
      </c>
      <c r="H621" s="22" t="s">
        <v>790</v>
      </c>
      <c r="I621" s="22" t="s">
        <v>583</v>
      </c>
      <c r="J621" s="26">
        <v>0.18</v>
      </c>
      <c r="K621" s="26"/>
      <c r="L621" s="26"/>
      <c r="M621" s="26"/>
      <c r="N621" s="26"/>
      <c r="O621" s="26"/>
      <c r="P621" s="26"/>
      <c r="Q621" s="26"/>
      <c r="R621" s="26"/>
      <c r="S621" s="26"/>
    </row>
    <row r="622" spans="1:19" ht="14.25" customHeight="1" x14ac:dyDescent="0.2">
      <c r="A622" s="22" t="s">
        <v>19</v>
      </c>
      <c r="B622" s="23">
        <v>46087.904282407406</v>
      </c>
      <c r="C622" s="23">
        <v>46087.96665509259</v>
      </c>
      <c r="D622" s="24">
        <v>46087</v>
      </c>
      <c r="E622" s="25">
        <v>0.96665509259037208</v>
      </c>
      <c r="F622" s="22" t="s">
        <v>791</v>
      </c>
      <c r="G622" s="22" t="s">
        <v>44</v>
      </c>
      <c r="H622" s="22" t="s">
        <v>185</v>
      </c>
      <c r="I622" s="22" t="s">
        <v>583</v>
      </c>
      <c r="J622" s="26">
        <v>0.18</v>
      </c>
      <c r="K622" s="26"/>
      <c r="L622" s="26"/>
      <c r="M622" s="26"/>
      <c r="N622" s="26"/>
      <c r="O622" s="26"/>
      <c r="P622" s="26"/>
      <c r="Q622" s="26"/>
      <c r="R622" s="26"/>
      <c r="S622" s="26"/>
    </row>
    <row r="623" spans="1:19" ht="14.25" customHeight="1" x14ac:dyDescent="0.2">
      <c r="A623" s="1" t="s">
        <v>24</v>
      </c>
      <c r="B623" s="7">
        <v>46087.943564814814</v>
      </c>
      <c r="C623" s="7">
        <v>46087.968715277777</v>
      </c>
      <c r="D623" s="8">
        <v>46087</v>
      </c>
      <c r="E623" s="9">
        <v>0.968715277776937</v>
      </c>
      <c r="F623" s="10" t="s">
        <v>792</v>
      </c>
      <c r="G623" s="10" t="s">
        <v>21</v>
      </c>
      <c r="H623" s="10" t="s">
        <v>22</v>
      </c>
      <c r="I623" s="10" t="s">
        <v>23</v>
      </c>
      <c r="J623" s="11">
        <v>0.83</v>
      </c>
      <c r="K623" s="12"/>
      <c r="L623" s="12"/>
      <c r="M623" s="12"/>
      <c r="N623" s="12"/>
      <c r="O623" s="12"/>
      <c r="P623" s="12"/>
      <c r="Q623" s="12"/>
      <c r="R623" s="12"/>
      <c r="S623" s="12"/>
    </row>
    <row r="624" spans="1:19" ht="14.25" customHeight="1" x14ac:dyDescent="0.2">
      <c r="A624" s="1" t="s">
        <v>24</v>
      </c>
      <c r="B624" s="7">
        <v>46087.943564814814</v>
      </c>
      <c r="C624" s="7">
        <v>46087.968958333331</v>
      </c>
      <c r="D624" s="8">
        <v>46087</v>
      </c>
      <c r="E624" s="9">
        <v>0.96895833333110204</v>
      </c>
      <c r="F624" s="10" t="s">
        <v>793</v>
      </c>
      <c r="G624" s="10" t="s">
        <v>21</v>
      </c>
      <c r="H624" s="10" t="s">
        <v>216</v>
      </c>
      <c r="I624" s="10" t="s">
        <v>23</v>
      </c>
      <c r="J624" s="11">
        <v>0.98</v>
      </c>
      <c r="K624" s="12"/>
      <c r="L624" s="12"/>
      <c r="M624" s="12"/>
      <c r="N624" s="12"/>
      <c r="O624" s="12"/>
      <c r="P624" s="12"/>
      <c r="Q624" s="12"/>
      <c r="R624" s="12"/>
      <c r="S624" s="12"/>
    </row>
    <row r="625" spans="1:19" ht="14.25" customHeight="1" x14ac:dyDescent="0.2">
      <c r="A625" s="22" t="s">
        <v>33</v>
      </c>
      <c r="B625" s="23">
        <v>46087.879189814812</v>
      </c>
      <c r="C625" s="23">
        <v>46087.969409722224</v>
      </c>
      <c r="D625" s="24">
        <v>46087</v>
      </c>
      <c r="E625" s="25">
        <v>0.96940972222364508</v>
      </c>
      <c r="F625" s="22" t="s">
        <v>794</v>
      </c>
      <c r="G625" s="22" t="s">
        <v>44</v>
      </c>
      <c r="H625" s="22" t="s">
        <v>48</v>
      </c>
      <c r="I625" s="22" t="s">
        <v>583</v>
      </c>
      <c r="J625" s="26">
        <v>0.21</v>
      </c>
      <c r="K625" s="26"/>
      <c r="L625" s="26"/>
      <c r="M625" s="26"/>
      <c r="N625" s="26"/>
      <c r="O625" s="26"/>
      <c r="P625" s="26"/>
      <c r="Q625" s="26"/>
      <c r="R625" s="26"/>
      <c r="S625" s="26"/>
    </row>
    <row r="626" spans="1:19" ht="14.25" customHeight="1" x14ac:dyDescent="0.2">
      <c r="A626" s="1" t="s">
        <v>95</v>
      </c>
      <c r="B626" s="7">
        <v>46087.971273148149</v>
      </c>
      <c r="C626" s="7">
        <v>46087.97184027778</v>
      </c>
      <c r="D626" s="8">
        <v>46087</v>
      </c>
      <c r="E626" s="9">
        <v>0.97184027777984738</v>
      </c>
      <c r="F626" s="10" t="s">
        <v>795</v>
      </c>
      <c r="G626" s="10" t="s">
        <v>21</v>
      </c>
      <c r="H626" s="10" t="s">
        <v>110</v>
      </c>
      <c r="I626" s="10" t="s">
        <v>23</v>
      </c>
      <c r="J626" s="11">
        <v>0.83</v>
      </c>
      <c r="K626" s="12"/>
      <c r="L626" s="12"/>
      <c r="M626" s="12"/>
      <c r="N626" s="12"/>
      <c r="O626" s="12"/>
      <c r="P626" s="12"/>
      <c r="Q626" s="12"/>
      <c r="R626" s="12"/>
      <c r="S626" s="12"/>
    </row>
    <row r="627" spans="1:19" ht="14.25" customHeight="1" x14ac:dyDescent="0.2">
      <c r="A627" s="1" t="s">
        <v>24</v>
      </c>
      <c r="B627" s="7">
        <v>46087.943564814814</v>
      </c>
      <c r="C627" s="7">
        <v>46087.972094907411</v>
      </c>
      <c r="D627" s="8">
        <v>46087</v>
      </c>
      <c r="E627" s="9">
        <v>0.97209490741079208</v>
      </c>
      <c r="F627" s="10" t="s">
        <v>796</v>
      </c>
      <c r="G627" s="10" t="s">
        <v>21</v>
      </c>
      <c r="H627" s="10" t="s">
        <v>598</v>
      </c>
      <c r="I627" s="10" t="s">
        <v>23</v>
      </c>
      <c r="J627" s="11">
        <v>0.98</v>
      </c>
      <c r="K627" s="12"/>
      <c r="L627" s="12"/>
      <c r="M627" s="12"/>
      <c r="N627" s="12"/>
      <c r="O627" s="12"/>
      <c r="P627" s="12"/>
      <c r="Q627" s="12"/>
      <c r="R627" s="12"/>
      <c r="S627" s="12"/>
    </row>
    <row r="628" spans="1:19" ht="14.25" customHeight="1" x14ac:dyDescent="0.2">
      <c r="A628" s="1" t="s">
        <v>24</v>
      </c>
      <c r="B628" s="7">
        <v>46087.943564814814</v>
      </c>
      <c r="C628" s="7">
        <v>46087.973738425928</v>
      </c>
      <c r="D628" s="8">
        <v>46087</v>
      </c>
      <c r="E628" s="9">
        <v>0.97373842592787696</v>
      </c>
      <c r="F628" s="10" t="s">
        <v>797</v>
      </c>
      <c r="G628" s="10" t="s">
        <v>21</v>
      </c>
      <c r="H628" s="10" t="s">
        <v>399</v>
      </c>
      <c r="I628" s="10" t="s">
        <v>23</v>
      </c>
      <c r="J628" s="11">
        <v>3.92</v>
      </c>
      <c r="K628" s="12"/>
      <c r="L628" s="12"/>
      <c r="M628" s="12"/>
      <c r="N628" s="12"/>
      <c r="O628" s="12"/>
      <c r="P628" s="12"/>
      <c r="Q628" s="12"/>
      <c r="R628" s="12"/>
      <c r="S628" s="12"/>
    </row>
    <row r="629" spans="1:19" ht="14.25" customHeight="1" x14ac:dyDescent="0.2">
      <c r="A629" s="22" t="s">
        <v>24</v>
      </c>
      <c r="B629" s="23">
        <v>46087.943564814814</v>
      </c>
      <c r="C629" s="23">
        <v>46087.974282407406</v>
      </c>
      <c r="D629" s="24">
        <v>46087</v>
      </c>
      <c r="E629" s="25">
        <v>0.97428240740555339</v>
      </c>
      <c r="F629" s="22" t="s">
        <v>798</v>
      </c>
      <c r="G629" s="22" t="s">
        <v>21</v>
      </c>
      <c r="H629" s="22" t="s">
        <v>52</v>
      </c>
      <c r="I629" s="22" t="s">
        <v>583</v>
      </c>
      <c r="J629" s="26">
        <v>0.98</v>
      </c>
      <c r="K629" s="26"/>
      <c r="L629" s="26"/>
      <c r="M629" s="26"/>
      <c r="N629" s="26"/>
      <c r="O629" s="26"/>
      <c r="P629" s="26"/>
      <c r="Q629" s="26"/>
      <c r="R629" s="26"/>
      <c r="S629" s="26"/>
    </row>
    <row r="630" spans="1:19" ht="14.25" customHeight="1" x14ac:dyDescent="0.2">
      <c r="A630" s="22" t="s">
        <v>19</v>
      </c>
      <c r="B630" s="23">
        <v>46087.944560185184</v>
      </c>
      <c r="C630" s="23">
        <v>46087.97583333333</v>
      </c>
      <c r="D630" s="24">
        <v>46087</v>
      </c>
      <c r="E630" s="25">
        <v>0.97583333333022892</v>
      </c>
      <c r="F630" s="22" t="s">
        <v>799</v>
      </c>
      <c r="G630" s="22" t="s">
        <v>44</v>
      </c>
      <c r="H630" s="22" t="s">
        <v>185</v>
      </c>
      <c r="I630" s="22" t="s">
        <v>583</v>
      </c>
      <c r="J630" s="26">
        <v>0.18</v>
      </c>
      <c r="K630" s="26"/>
      <c r="L630" s="26"/>
      <c r="M630" s="26"/>
      <c r="N630" s="26"/>
      <c r="O630" s="26"/>
      <c r="P630" s="26"/>
      <c r="Q630" s="26"/>
      <c r="R630" s="26"/>
      <c r="S630" s="26"/>
    </row>
    <row r="631" spans="1:19" ht="14.25" customHeight="1" x14ac:dyDescent="0.2">
      <c r="A631" s="22" t="s">
        <v>19</v>
      </c>
      <c r="B631" s="23">
        <v>46087.881111111114</v>
      </c>
      <c r="C631" s="23">
        <v>46087.977685185186</v>
      </c>
      <c r="D631" s="24">
        <v>46087</v>
      </c>
      <c r="E631" s="25">
        <v>0.97768518518569181</v>
      </c>
      <c r="F631" s="22" t="s">
        <v>800</v>
      </c>
      <c r="G631" s="22" t="s">
        <v>44</v>
      </c>
      <c r="H631" s="22" t="s">
        <v>48</v>
      </c>
      <c r="I631" s="22" t="s">
        <v>583</v>
      </c>
      <c r="J631" s="26">
        <v>0.21</v>
      </c>
      <c r="K631" s="26"/>
      <c r="L631" s="26"/>
      <c r="M631" s="26"/>
      <c r="N631" s="26"/>
      <c r="O631" s="26"/>
      <c r="P631" s="26"/>
      <c r="Q631" s="26"/>
      <c r="R631" s="26"/>
      <c r="S631" s="26"/>
    </row>
    <row r="632" spans="1:19" ht="14.25" customHeight="1" x14ac:dyDescent="0.2">
      <c r="A632" s="1" t="s">
        <v>95</v>
      </c>
      <c r="B632" s="7">
        <v>46087.767453703702</v>
      </c>
      <c r="C632" s="7">
        <v>46087.978888888887</v>
      </c>
      <c r="D632" s="8">
        <v>46087</v>
      </c>
      <c r="E632" s="9">
        <v>0.97888888888701331</v>
      </c>
      <c r="F632" s="10" t="s">
        <v>801</v>
      </c>
      <c r="G632" s="10" t="s">
        <v>180</v>
      </c>
      <c r="H632" s="10" t="s">
        <v>181</v>
      </c>
      <c r="I632" s="10" t="s">
        <v>23</v>
      </c>
      <c r="J632" s="11">
        <v>2.23</v>
      </c>
      <c r="K632" s="12"/>
      <c r="L632" s="12"/>
      <c r="M632" s="12"/>
      <c r="N632" s="12"/>
      <c r="O632" s="12"/>
      <c r="P632" s="12"/>
      <c r="Q632" s="12"/>
      <c r="R632" s="12"/>
      <c r="S632" s="12"/>
    </row>
    <row r="633" spans="1:19" ht="14.25" customHeight="1" x14ac:dyDescent="0.2">
      <c r="A633" s="1" t="s">
        <v>95</v>
      </c>
      <c r="B633" s="7">
        <v>46087.767453703702</v>
      </c>
      <c r="C633" s="7">
        <v>46087.979155092595</v>
      </c>
      <c r="D633" s="8">
        <v>46087</v>
      </c>
      <c r="E633" s="9">
        <v>0.97915509259473765</v>
      </c>
      <c r="F633" s="10" t="s">
        <v>802</v>
      </c>
      <c r="G633" s="10" t="s">
        <v>180</v>
      </c>
      <c r="H633" s="10" t="s">
        <v>387</v>
      </c>
      <c r="I633" s="10" t="s">
        <v>23</v>
      </c>
      <c r="J633" s="11">
        <v>2.23</v>
      </c>
      <c r="K633" s="12"/>
      <c r="L633" s="12"/>
      <c r="M633" s="12"/>
      <c r="N633" s="12"/>
      <c r="O633" s="12"/>
      <c r="P633" s="12"/>
      <c r="Q633" s="12"/>
      <c r="R633" s="12"/>
      <c r="S633" s="12"/>
    </row>
    <row r="634" spans="1:19" ht="14.25" customHeight="1" x14ac:dyDescent="0.2">
      <c r="A634" s="22" t="s">
        <v>33</v>
      </c>
      <c r="B634" s="23">
        <v>46087.854351851849</v>
      </c>
      <c r="C634" s="23">
        <v>46087.97929398148</v>
      </c>
      <c r="D634" s="24">
        <v>46087</v>
      </c>
      <c r="E634" s="25">
        <v>0.97929398147971369</v>
      </c>
      <c r="F634" s="22" t="s">
        <v>803</v>
      </c>
      <c r="G634" s="22" t="s">
        <v>44</v>
      </c>
      <c r="H634" s="22" t="s">
        <v>185</v>
      </c>
      <c r="I634" s="22" t="s">
        <v>583</v>
      </c>
      <c r="J634" s="26">
        <v>0.18</v>
      </c>
      <c r="K634" s="26"/>
      <c r="L634" s="26"/>
      <c r="M634" s="26"/>
      <c r="N634" s="26"/>
      <c r="O634" s="26"/>
      <c r="P634" s="26"/>
      <c r="Q634" s="26"/>
      <c r="R634" s="26"/>
      <c r="S634" s="26"/>
    </row>
    <row r="635" spans="1:19" ht="14.25" customHeight="1" x14ac:dyDescent="0.2">
      <c r="A635" s="1" t="s">
        <v>95</v>
      </c>
      <c r="B635" s="7">
        <v>46087.767453703702</v>
      </c>
      <c r="C635" s="7">
        <v>46087.979687500003</v>
      </c>
      <c r="D635" s="8">
        <v>46087</v>
      </c>
      <c r="E635" s="9">
        <v>0.97968750000291038</v>
      </c>
      <c r="F635" s="10" t="s">
        <v>804</v>
      </c>
      <c r="G635" s="10" t="s">
        <v>180</v>
      </c>
      <c r="H635" s="10" t="s">
        <v>385</v>
      </c>
      <c r="I635" s="10" t="s">
        <v>23</v>
      </c>
      <c r="J635" s="11">
        <v>2.23</v>
      </c>
      <c r="K635" s="12"/>
      <c r="L635" s="12"/>
      <c r="M635" s="12"/>
      <c r="N635" s="12"/>
      <c r="O635" s="12"/>
      <c r="P635" s="12"/>
      <c r="Q635" s="12"/>
      <c r="R635" s="12"/>
      <c r="S635" s="12"/>
    </row>
    <row r="636" spans="1:19" ht="14.25" customHeight="1" x14ac:dyDescent="0.2">
      <c r="A636" s="1" t="s">
        <v>95</v>
      </c>
      <c r="B636" s="7">
        <v>46087.767453703702</v>
      </c>
      <c r="C636" s="7">
        <v>46087.97996527778</v>
      </c>
      <c r="D636" s="8">
        <v>46087</v>
      </c>
      <c r="E636" s="9">
        <v>0.97996527778013842</v>
      </c>
      <c r="F636" s="10" t="s">
        <v>805</v>
      </c>
      <c r="G636" s="10" t="s">
        <v>180</v>
      </c>
      <c r="H636" s="10" t="s">
        <v>389</v>
      </c>
      <c r="I636" s="10" t="s">
        <v>23</v>
      </c>
      <c r="J636" s="11">
        <v>2.23</v>
      </c>
      <c r="K636" s="12"/>
      <c r="L636" s="12"/>
      <c r="M636" s="12"/>
      <c r="N636" s="12"/>
      <c r="O636" s="12"/>
      <c r="P636" s="12"/>
      <c r="Q636" s="12"/>
      <c r="R636" s="12"/>
      <c r="S636" s="12"/>
    </row>
    <row r="637" spans="1:19" ht="14.25" customHeight="1" x14ac:dyDescent="0.2">
      <c r="A637" s="1" t="s">
        <v>95</v>
      </c>
      <c r="B637" s="7">
        <v>46087.976620370369</v>
      </c>
      <c r="C637" s="7">
        <v>46087.980775462966</v>
      </c>
      <c r="D637" s="8">
        <v>46087</v>
      </c>
      <c r="E637" s="9">
        <v>0.98077546296553919</v>
      </c>
      <c r="F637" s="10" t="s">
        <v>806</v>
      </c>
      <c r="G637" s="10" t="s">
        <v>21</v>
      </c>
      <c r="H637" s="10" t="s">
        <v>551</v>
      </c>
      <c r="I637" s="10" t="s">
        <v>23</v>
      </c>
      <c r="J637" s="11">
        <v>1.06</v>
      </c>
      <c r="K637" s="12"/>
      <c r="L637" s="12"/>
      <c r="M637" s="12"/>
      <c r="N637" s="12"/>
      <c r="O637" s="12"/>
      <c r="P637" s="12"/>
      <c r="Q637" s="12"/>
      <c r="R637" s="12"/>
      <c r="S637" s="12"/>
    </row>
    <row r="638" spans="1:19" ht="14.25" customHeight="1" x14ac:dyDescent="0.2">
      <c r="A638" s="22" t="s">
        <v>33</v>
      </c>
      <c r="B638" s="23">
        <v>46087.915798611109</v>
      </c>
      <c r="C638" s="23">
        <v>46087.982685185183</v>
      </c>
      <c r="D638" s="24">
        <v>46087</v>
      </c>
      <c r="E638" s="25">
        <v>0.98268518518307246</v>
      </c>
      <c r="F638" s="22" t="s">
        <v>807</v>
      </c>
      <c r="G638" s="22" t="s">
        <v>44</v>
      </c>
      <c r="H638" s="22" t="s">
        <v>185</v>
      </c>
      <c r="I638" s="22" t="s">
        <v>583</v>
      </c>
      <c r="J638" s="26">
        <v>0.18</v>
      </c>
      <c r="K638" s="26"/>
      <c r="L638" s="26"/>
      <c r="M638" s="26"/>
      <c r="N638" s="26"/>
      <c r="O638" s="26"/>
      <c r="P638" s="26"/>
      <c r="Q638" s="26"/>
      <c r="R638" s="26"/>
      <c r="S638" s="26"/>
    </row>
    <row r="639" spans="1:19" ht="14.25" customHeight="1" x14ac:dyDescent="0.2">
      <c r="A639" s="22" t="s">
        <v>24</v>
      </c>
      <c r="B639" s="23">
        <v>46087.974502314813</v>
      </c>
      <c r="C639" s="23">
        <v>46087.98778935185</v>
      </c>
      <c r="D639" s="24">
        <v>46087</v>
      </c>
      <c r="E639" s="25">
        <v>0.98778935184964212</v>
      </c>
      <c r="F639" s="22" t="s">
        <v>808</v>
      </c>
      <c r="G639" s="22" t="s">
        <v>21</v>
      </c>
      <c r="H639" s="22" t="s">
        <v>22</v>
      </c>
      <c r="I639" s="22" t="s">
        <v>583</v>
      </c>
      <c r="J639" s="26">
        <v>0.83</v>
      </c>
      <c r="K639" s="26"/>
      <c r="L639" s="26"/>
      <c r="M639" s="26"/>
      <c r="N639" s="26"/>
      <c r="O639" s="26"/>
      <c r="P639" s="26"/>
      <c r="Q639" s="26"/>
      <c r="R639" s="26"/>
      <c r="S639" s="26"/>
    </row>
    <row r="640" spans="1:19" ht="14.25" customHeight="1" x14ac:dyDescent="0.2">
      <c r="A640" s="1" t="s">
        <v>42</v>
      </c>
      <c r="B640" s="7">
        <v>46087.964016203703</v>
      </c>
      <c r="C640" s="7">
        <v>46087.991932870369</v>
      </c>
      <c r="D640" s="8">
        <v>46087</v>
      </c>
      <c r="E640" s="9">
        <v>0.99193287036905531</v>
      </c>
      <c r="F640" s="10" t="s">
        <v>809</v>
      </c>
      <c r="G640" s="10" t="s">
        <v>26</v>
      </c>
      <c r="H640" s="10" t="s">
        <v>76</v>
      </c>
      <c r="I640" s="10" t="s">
        <v>23</v>
      </c>
      <c r="J640" s="11">
        <v>0.75</v>
      </c>
      <c r="K640" s="12"/>
      <c r="L640" s="12"/>
      <c r="M640" s="12"/>
      <c r="N640" s="12"/>
      <c r="O640" s="12"/>
      <c r="P640" s="12"/>
      <c r="Q640" s="12"/>
      <c r="R640" s="12"/>
      <c r="S640" s="12"/>
    </row>
    <row r="641" spans="1:19" ht="14.25" customHeight="1" x14ac:dyDescent="0.2">
      <c r="A641" s="1" t="s">
        <v>19</v>
      </c>
      <c r="B641" s="7">
        <v>46087.975902777776</v>
      </c>
      <c r="C641" s="7">
        <v>46087.992789351854</v>
      </c>
      <c r="D641" s="8">
        <v>46087</v>
      </c>
      <c r="E641" s="9">
        <v>0.99278935185429873</v>
      </c>
      <c r="F641" s="10" t="s">
        <v>810</v>
      </c>
      <c r="G641" s="10" t="s">
        <v>21</v>
      </c>
      <c r="H641" s="10" t="s">
        <v>41</v>
      </c>
      <c r="I641" s="10" t="s">
        <v>23</v>
      </c>
      <c r="J641" s="11">
        <v>1.77</v>
      </c>
      <c r="K641" s="12"/>
      <c r="L641" s="12"/>
      <c r="M641" s="12"/>
      <c r="N641" s="12"/>
      <c r="O641" s="12"/>
      <c r="P641" s="12"/>
      <c r="Q641" s="12"/>
      <c r="R641" s="12"/>
      <c r="S641" s="12"/>
    </row>
    <row r="642" spans="1:19" ht="14.25" customHeight="1" x14ac:dyDescent="0.2">
      <c r="A642" s="22" t="s">
        <v>95</v>
      </c>
      <c r="B642" s="23">
        <v>46087.986793981479</v>
      </c>
      <c r="C642" s="23">
        <v>46087.993333333332</v>
      </c>
      <c r="D642" s="24">
        <v>46087</v>
      </c>
      <c r="E642" s="25">
        <v>0.99333333333197515</v>
      </c>
      <c r="F642" s="22" t="s">
        <v>811</v>
      </c>
      <c r="G642" s="22" t="s">
        <v>21</v>
      </c>
      <c r="H642" s="22" t="s">
        <v>110</v>
      </c>
      <c r="I642" s="22" t="s">
        <v>583</v>
      </c>
      <c r="J642" s="26">
        <v>0.83</v>
      </c>
      <c r="K642" s="26"/>
      <c r="L642" s="26"/>
      <c r="M642" s="26"/>
      <c r="N642" s="26"/>
      <c r="O642" s="26"/>
      <c r="P642" s="26"/>
      <c r="Q642" s="26"/>
      <c r="R642" s="26"/>
      <c r="S642" s="26"/>
    </row>
    <row r="643" spans="1:19" ht="14.25" customHeight="1" x14ac:dyDescent="0.2">
      <c r="A643" s="1" t="s">
        <v>95</v>
      </c>
      <c r="B643" s="7">
        <v>46087.982129629629</v>
      </c>
      <c r="C643" s="7">
        <v>46087.998356481483</v>
      </c>
      <c r="D643" s="8">
        <v>46087</v>
      </c>
      <c r="E643" s="9">
        <v>0.99835648148291511</v>
      </c>
      <c r="F643" s="10" t="s">
        <v>812</v>
      </c>
      <c r="G643" s="10" t="s">
        <v>21</v>
      </c>
      <c r="H643" s="10" t="s">
        <v>813</v>
      </c>
      <c r="I643" s="10" t="s">
        <v>23</v>
      </c>
      <c r="J643" s="11">
        <v>1.1000000000000001</v>
      </c>
      <c r="K643" s="12"/>
      <c r="L643" s="12"/>
      <c r="M643" s="12"/>
      <c r="N643" s="12"/>
      <c r="O643" s="12"/>
      <c r="P643" s="12"/>
      <c r="Q643" s="12"/>
      <c r="R643" s="12"/>
      <c r="S643" s="12"/>
    </row>
    <row r="644" spans="1:19" ht="14.25" customHeight="1" x14ac:dyDescent="0.2">
      <c r="A644" s="22" t="s">
        <v>28</v>
      </c>
      <c r="B644" s="23">
        <v>46087.965439814812</v>
      </c>
      <c r="C644" s="23">
        <v>46088.001319444447</v>
      </c>
      <c r="D644" s="24">
        <v>46088</v>
      </c>
      <c r="E644" s="25">
        <v>1.3194444472901523E-3</v>
      </c>
      <c r="F644" s="22" t="s">
        <v>814</v>
      </c>
      <c r="G644" s="22" t="s">
        <v>21</v>
      </c>
      <c r="H644" s="22" t="s">
        <v>41</v>
      </c>
      <c r="I644" s="22" t="s">
        <v>583</v>
      </c>
      <c r="J644" s="26">
        <v>1.77</v>
      </c>
      <c r="K644" s="26"/>
      <c r="L644" s="26">
        <f>SUM(J644:J669)</f>
        <v>17.849999999999998</v>
      </c>
      <c r="M644" s="13">
        <f>L644*65</f>
        <v>1160.2499999999998</v>
      </c>
      <c r="N644" s="14">
        <f>MAX(500,M644)</f>
        <v>1160.2499999999998</v>
      </c>
      <c r="O644" s="26"/>
      <c r="P644" s="26"/>
      <c r="Q644" s="26"/>
      <c r="R644" s="26"/>
      <c r="S644" s="26"/>
    </row>
    <row r="645" spans="1:19" ht="14.25" customHeight="1" x14ac:dyDescent="0.2">
      <c r="A645" s="22" t="s">
        <v>24</v>
      </c>
      <c r="B645" s="23">
        <v>46087.992118055554</v>
      </c>
      <c r="C645" s="23">
        <v>46088.003912037035</v>
      </c>
      <c r="D645" s="24">
        <v>46088</v>
      </c>
      <c r="E645" s="25">
        <v>3.9120370347518474E-3</v>
      </c>
      <c r="F645" s="22" t="s">
        <v>815</v>
      </c>
      <c r="G645" s="22" t="s">
        <v>44</v>
      </c>
      <c r="H645" s="22" t="s">
        <v>185</v>
      </c>
      <c r="I645" s="22" t="s">
        <v>583</v>
      </c>
      <c r="J645" s="26">
        <v>0.18</v>
      </c>
      <c r="K645" s="26"/>
      <c r="L645" s="26"/>
      <c r="M645" s="26"/>
      <c r="N645" s="26"/>
      <c r="O645" s="26"/>
      <c r="P645" s="26"/>
      <c r="Q645" s="26"/>
      <c r="R645" s="26"/>
      <c r="S645" s="26"/>
    </row>
    <row r="646" spans="1:19" ht="14.25" customHeight="1" x14ac:dyDescent="0.2">
      <c r="A646" s="1" t="s">
        <v>24</v>
      </c>
      <c r="B646" s="7">
        <v>46087.992083333331</v>
      </c>
      <c r="C646" s="7">
        <v>46088.005335648151</v>
      </c>
      <c r="D646" s="8">
        <v>46088</v>
      </c>
      <c r="E646" s="9">
        <v>5.3356481512309983E-3</v>
      </c>
      <c r="F646" s="10" t="s">
        <v>816</v>
      </c>
      <c r="G646" s="10" t="s">
        <v>26</v>
      </c>
      <c r="H646" s="10" t="s">
        <v>817</v>
      </c>
      <c r="I646" s="10" t="s">
        <v>23</v>
      </c>
      <c r="J646" s="11">
        <v>0.57999999999999996</v>
      </c>
      <c r="K646" s="12"/>
      <c r="L646" s="12"/>
      <c r="M646" s="12"/>
      <c r="N646" s="12"/>
      <c r="O646" s="12"/>
      <c r="P646" s="12"/>
      <c r="Q646" s="12"/>
      <c r="R646" s="12"/>
      <c r="S646" s="12"/>
    </row>
    <row r="647" spans="1:19" ht="14.25" customHeight="1" x14ac:dyDescent="0.2">
      <c r="A647" s="22" t="s">
        <v>24</v>
      </c>
      <c r="B647" s="23">
        <v>46087.993171296293</v>
      </c>
      <c r="C647" s="23">
        <v>46088.005393518521</v>
      </c>
      <c r="D647" s="24">
        <v>46088</v>
      </c>
      <c r="E647" s="25">
        <v>5.393518520577345E-3</v>
      </c>
      <c r="F647" s="22" t="s">
        <v>818</v>
      </c>
      <c r="G647" s="22" t="s">
        <v>44</v>
      </c>
      <c r="H647" s="22" t="s">
        <v>185</v>
      </c>
      <c r="I647" s="22" t="s">
        <v>583</v>
      </c>
      <c r="J647" s="26">
        <v>0.18</v>
      </c>
      <c r="K647" s="26"/>
      <c r="L647" s="26"/>
      <c r="M647" s="26"/>
      <c r="N647" s="26"/>
      <c r="O647" s="26"/>
      <c r="P647" s="26"/>
      <c r="Q647" s="26"/>
      <c r="R647" s="26"/>
      <c r="S647" s="26"/>
    </row>
    <row r="648" spans="1:19" ht="14.25" customHeight="1" x14ac:dyDescent="0.2">
      <c r="A648" s="22" t="s">
        <v>24</v>
      </c>
      <c r="B648" s="23">
        <v>46087.980127314811</v>
      </c>
      <c r="C648" s="23">
        <v>46088.007453703707</v>
      </c>
      <c r="D648" s="24">
        <v>46088</v>
      </c>
      <c r="E648" s="25">
        <v>7.4537037071422674E-3</v>
      </c>
      <c r="F648" s="22" t="s">
        <v>819</v>
      </c>
      <c r="G648" s="22" t="s">
        <v>44</v>
      </c>
      <c r="H648" s="22" t="s">
        <v>185</v>
      </c>
      <c r="I648" s="22" t="s">
        <v>583</v>
      </c>
      <c r="J648" s="26">
        <v>0.18</v>
      </c>
      <c r="K648" s="26"/>
      <c r="L648" s="26"/>
      <c r="M648" s="26"/>
      <c r="N648" s="26"/>
      <c r="O648" s="26"/>
      <c r="P648" s="26"/>
      <c r="Q648" s="26"/>
      <c r="R648" s="26"/>
      <c r="S648" s="26"/>
    </row>
    <row r="649" spans="1:19" ht="14.25" customHeight="1" x14ac:dyDescent="0.2">
      <c r="A649" s="22" t="s">
        <v>28</v>
      </c>
      <c r="B649" s="23">
        <v>46087.978217592594</v>
      </c>
      <c r="C649" s="23">
        <v>46088.009560185186</v>
      </c>
      <c r="D649" s="24">
        <v>46088</v>
      </c>
      <c r="E649" s="25">
        <v>9.560185186273884E-3</v>
      </c>
      <c r="F649" s="22" t="s">
        <v>820</v>
      </c>
      <c r="G649" s="22" t="s">
        <v>44</v>
      </c>
      <c r="H649" s="22" t="s">
        <v>185</v>
      </c>
      <c r="I649" s="22" t="s">
        <v>583</v>
      </c>
      <c r="J649" s="26">
        <v>0.18</v>
      </c>
      <c r="K649" s="26"/>
      <c r="L649" s="26"/>
      <c r="M649" s="26"/>
      <c r="N649" s="26"/>
      <c r="O649" s="26"/>
      <c r="P649" s="26"/>
      <c r="Q649" s="26"/>
      <c r="R649" s="26"/>
      <c r="S649" s="26"/>
    </row>
    <row r="650" spans="1:19" ht="14.25" customHeight="1" x14ac:dyDescent="0.2">
      <c r="A650" s="22" t="s">
        <v>24</v>
      </c>
      <c r="B650" s="23">
        <v>46087.907083333332</v>
      </c>
      <c r="C650" s="23">
        <v>46088.012384259258</v>
      </c>
      <c r="D650" s="24">
        <v>46088</v>
      </c>
      <c r="E650" s="25">
        <v>1.2384259258396924E-2</v>
      </c>
      <c r="F650" s="22" t="s">
        <v>821</v>
      </c>
      <c r="G650" s="22" t="s">
        <v>44</v>
      </c>
      <c r="H650" s="22" t="s">
        <v>185</v>
      </c>
      <c r="I650" s="22" t="s">
        <v>583</v>
      </c>
      <c r="J650" s="26">
        <v>0.18</v>
      </c>
      <c r="K650" s="26"/>
      <c r="L650" s="26"/>
      <c r="M650" s="26"/>
      <c r="N650" s="26"/>
      <c r="O650" s="26"/>
      <c r="P650" s="26"/>
      <c r="Q650" s="26"/>
      <c r="R650" s="26"/>
      <c r="S650" s="26"/>
    </row>
    <row r="651" spans="1:19" ht="14.25" customHeight="1" x14ac:dyDescent="0.2">
      <c r="A651" s="1" t="s">
        <v>95</v>
      </c>
      <c r="B651" s="7">
        <v>46087.99459490741</v>
      </c>
      <c r="C651" s="7">
        <v>46088.013067129628</v>
      </c>
      <c r="D651" s="8">
        <v>46088</v>
      </c>
      <c r="E651" s="9">
        <v>1.3067129628325347E-2</v>
      </c>
      <c r="F651" s="10" t="s">
        <v>822</v>
      </c>
      <c r="G651" s="10" t="s">
        <v>21</v>
      </c>
      <c r="H651" s="10" t="s">
        <v>110</v>
      </c>
      <c r="I651" s="10" t="s">
        <v>23</v>
      </c>
      <c r="J651" s="11">
        <v>0.83</v>
      </c>
      <c r="K651" s="12"/>
      <c r="L651" s="12"/>
      <c r="M651" s="12"/>
      <c r="N651" s="12"/>
      <c r="O651" s="12"/>
      <c r="P651" s="12"/>
      <c r="Q651" s="12"/>
      <c r="R651" s="12"/>
      <c r="S651" s="12"/>
    </row>
    <row r="652" spans="1:19" ht="14.25" customHeight="1" x14ac:dyDescent="0.2">
      <c r="A652" s="22" t="s">
        <v>28</v>
      </c>
      <c r="B652" s="23">
        <v>46087.900266203702</v>
      </c>
      <c r="C652" s="23">
        <v>46088.014155092591</v>
      </c>
      <c r="D652" s="24">
        <v>46088</v>
      </c>
      <c r="E652" s="25">
        <v>1.4155092590954155E-2</v>
      </c>
      <c r="F652" s="22" t="s">
        <v>823</v>
      </c>
      <c r="G652" s="22" t="s">
        <v>44</v>
      </c>
      <c r="H652" s="22" t="s">
        <v>185</v>
      </c>
      <c r="I652" s="22" t="s">
        <v>583</v>
      </c>
      <c r="J652" s="26">
        <v>0.18</v>
      </c>
      <c r="K652" s="26"/>
      <c r="L652" s="26"/>
      <c r="M652" s="26"/>
      <c r="N652" s="26"/>
      <c r="O652" s="26"/>
      <c r="P652" s="26"/>
      <c r="Q652" s="26"/>
      <c r="R652" s="26"/>
      <c r="S652" s="26"/>
    </row>
    <row r="653" spans="1:19" ht="14.25" customHeight="1" x14ac:dyDescent="0.2">
      <c r="A653" s="1" t="s">
        <v>42</v>
      </c>
      <c r="B653" s="7">
        <v>46088.002870370372</v>
      </c>
      <c r="C653" s="7">
        <v>46088.016736111109</v>
      </c>
      <c r="D653" s="8">
        <v>46088</v>
      </c>
      <c r="E653" s="9">
        <v>1.6736111108912155E-2</v>
      </c>
      <c r="F653" s="10" t="s">
        <v>824</v>
      </c>
      <c r="G653" s="10" t="s">
        <v>44</v>
      </c>
      <c r="H653" s="10" t="s">
        <v>50</v>
      </c>
      <c r="I653" s="10" t="s">
        <v>23</v>
      </c>
      <c r="J653" s="11">
        <v>0.18</v>
      </c>
      <c r="K653" s="12"/>
      <c r="L653" s="12"/>
      <c r="M653" s="12"/>
      <c r="N653" s="12"/>
      <c r="O653" s="12"/>
      <c r="P653" s="12"/>
      <c r="Q653" s="12"/>
      <c r="R653" s="12"/>
      <c r="S653" s="12"/>
    </row>
    <row r="654" spans="1:19" ht="14.25" customHeight="1" x14ac:dyDescent="0.2">
      <c r="A654" s="1" t="s">
        <v>42</v>
      </c>
      <c r="B654" s="7">
        <v>46088.000081018516</v>
      </c>
      <c r="C654" s="7">
        <v>46088.017395833333</v>
      </c>
      <c r="D654" s="8">
        <v>46088</v>
      </c>
      <c r="E654" s="9">
        <v>1.7395833332557231E-2</v>
      </c>
      <c r="F654" s="10" t="s">
        <v>825</v>
      </c>
      <c r="G654" s="10" t="s">
        <v>44</v>
      </c>
      <c r="H654" s="10" t="s">
        <v>50</v>
      </c>
      <c r="I654" s="10" t="s">
        <v>23</v>
      </c>
      <c r="J654" s="11">
        <v>0.18</v>
      </c>
      <c r="K654" s="12"/>
      <c r="L654" s="12"/>
      <c r="M654" s="12"/>
      <c r="N654" s="12"/>
      <c r="O654" s="12"/>
      <c r="P654" s="12"/>
      <c r="Q654" s="12"/>
      <c r="R654" s="12"/>
      <c r="S654" s="12"/>
    </row>
    <row r="655" spans="1:19" ht="14.25" customHeight="1" x14ac:dyDescent="0.2">
      <c r="A655" s="1" t="s">
        <v>19</v>
      </c>
      <c r="B655" s="7">
        <v>46087.993634259263</v>
      </c>
      <c r="C655" s="7">
        <v>46088.018483796295</v>
      </c>
      <c r="D655" s="8">
        <v>46088</v>
      </c>
      <c r="E655" s="9">
        <v>1.8483796295186039E-2</v>
      </c>
      <c r="F655" s="10" t="s">
        <v>826</v>
      </c>
      <c r="G655" s="10" t="s">
        <v>21</v>
      </c>
      <c r="H655" s="10" t="s">
        <v>22</v>
      </c>
      <c r="I655" s="10" t="s">
        <v>23</v>
      </c>
      <c r="J655" s="11">
        <v>0.83</v>
      </c>
      <c r="K655" s="12"/>
      <c r="L655" s="12"/>
      <c r="M655" s="12"/>
      <c r="N655" s="12"/>
      <c r="O655" s="12"/>
      <c r="P655" s="12"/>
      <c r="Q655" s="12"/>
      <c r="R655" s="12"/>
      <c r="S655" s="12"/>
    </row>
    <row r="656" spans="1:19" ht="14.25" customHeight="1" x14ac:dyDescent="0.2">
      <c r="A656" s="1" t="s">
        <v>19</v>
      </c>
      <c r="B656" s="7">
        <v>46088.002233796295</v>
      </c>
      <c r="C656" s="7">
        <v>46088.018865740742</v>
      </c>
      <c r="D656" s="8">
        <v>46088</v>
      </c>
      <c r="E656" s="9">
        <v>1.8865740741603076E-2</v>
      </c>
      <c r="F656" s="10" t="s">
        <v>827</v>
      </c>
      <c r="G656" s="10" t="s">
        <v>21</v>
      </c>
      <c r="H656" s="10" t="s">
        <v>22</v>
      </c>
      <c r="I656" s="10" t="s">
        <v>23</v>
      </c>
      <c r="J656" s="11">
        <v>0.83</v>
      </c>
      <c r="K656" s="12"/>
      <c r="L656" s="12"/>
      <c r="M656" s="12"/>
      <c r="N656" s="12"/>
      <c r="O656" s="12"/>
      <c r="P656" s="12"/>
      <c r="Q656" s="12"/>
      <c r="R656" s="12"/>
      <c r="S656" s="12"/>
    </row>
    <row r="657" spans="1:19" ht="14.25" customHeight="1" x14ac:dyDescent="0.2">
      <c r="A657" s="1" t="s">
        <v>42</v>
      </c>
      <c r="B657" s="7">
        <v>46087.98646990741</v>
      </c>
      <c r="C657" s="7">
        <v>46088.019236111111</v>
      </c>
      <c r="D657" s="8">
        <v>46088</v>
      </c>
      <c r="E657" s="9">
        <v>1.9236111111240461E-2</v>
      </c>
      <c r="F657" s="10" t="s">
        <v>828</v>
      </c>
      <c r="G657" s="10" t="s">
        <v>26</v>
      </c>
      <c r="H657" s="10" t="s">
        <v>76</v>
      </c>
      <c r="I657" s="10" t="s">
        <v>23</v>
      </c>
      <c r="J657" s="11">
        <v>0.75</v>
      </c>
      <c r="K657" s="12"/>
      <c r="L657" s="12"/>
      <c r="M657" s="12"/>
      <c r="N657" s="12"/>
      <c r="O657" s="12"/>
      <c r="P657" s="12"/>
      <c r="Q657" s="12"/>
      <c r="R657" s="12"/>
      <c r="S657" s="12"/>
    </row>
    <row r="658" spans="1:19" ht="14.25" customHeight="1" x14ac:dyDescent="0.2">
      <c r="A658" s="22" t="s">
        <v>95</v>
      </c>
      <c r="B658" s="23">
        <v>46088.003506944442</v>
      </c>
      <c r="C658" s="23">
        <v>46088.024004629631</v>
      </c>
      <c r="D658" s="24">
        <v>46088</v>
      </c>
      <c r="E658" s="25">
        <v>2.400462963123573E-2</v>
      </c>
      <c r="F658" s="22" t="s">
        <v>829</v>
      </c>
      <c r="G658" s="22" t="s">
        <v>21</v>
      </c>
      <c r="H658" s="22" t="s">
        <v>52</v>
      </c>
      <c r="I658" s="22" t="s">
        <v>583</v>
      </c>
      <c r="J658" s="26">
        <v>0.98</v>
      </c>
      <c r="K658" s="26"/>
      <c r="L658" s="26"/>
      <c r="M658" s="26"/>
      <c r="N658" s="26"/>
      <c r="O658" s="26"/>
      <c r="P658" s="26"/>
      <c r="Q658" s="26"/>
      <c r="R658" s="26"/>
      <c r="S658" s="26"/>
    </row>
    <row r="659" spans="1:19" ht="14.25" customHeight="1" x14ac:dyDescent="0.2">
      <c r="A659" s="1" t="s">
        <v>24</v>
      </c>
      <c r="B659" s="7">
        <v>46088.009837962964</v>
      </c>
      <c r="C659" s="7">
        <v>46088.029004629629</v>
      </c>
      <c r="D659" s="8">
        <v>46088</v>
      </c>
      <c r="E659" s="9">
        <v>2.9004629628616385E-2</v>
      </c>
      <c r="F659" s="10" t="s">
        <v>830</v>
      </c>
      <c r="G659" s="10" t="s">
        <v>21</v>
      </c>
      <c r="H659" s="10" t="s">
        <v>41</v>
      </c>
      <c r="I659" s="10" t="s">
        <v>23</v>
      </c>
      <c r="J659" s="11">
        <v>1.77</v>
      </c>
      <c r="K659" s="12"/>
      <c r="L659" s="12"/>
      <c r="M659" s="12"/>
      <c r="N659" s="12"/>
      <c r="O659" s="12"/>
      <c r="P659" s="12"/>
      <c r="Q659" s="12"/>
      <c r="R659" s="12"/>
      <c r="S659" s="12"/>
    </row>
    <row r="660" spans="1:19" ht="14.25" customHeight="1" x14ac:dyDescent="0.2">
      <c r="A660" s="1" t="s">
        <v>42</v>
      </c>
      <c r="B660" s="7">
        <v>46088.013935185183</v>
      </c>
      <c r="C660" s="7">
        <v>46088.029560185183</v>
      </c>
      <c r="D660" s="8">
        <v>46088</v>
      </c>
      <c r="E660" s="9">
        <v>2.9560185183072463E-2</v>
      </c>
      <c r="F660" s="10" t="s">
        <v>831</v>
      </c>
      <c r="G660" s="10" t="s">
        <v>44</v>
      </c>
      <c r="H660" s="10" t="s">
        <v>48</v>
      </c>
      <c r="I660" s="10" t="s">
        <v>23</v>
      </c>
      <c r="J660" s="11">
        <v>0.21</v>
      </c>
      <c r="K660" s="12"/>
      <c r="L660" s="12"/>
      <c r="M660" s="12"/>
      <c r="N660" s="12"/>
      <c r="O660" s="12"/>
      <c r="P660" s="12"/>
      <c r="Q660" s="12"/>
      <c r="R660" s="12"/>
      <c r="S660" s="12"/>
    </row>
    <row r="661" spans="1:19" ht="14.25" customHeight="1" x14ac:dyDescent="0.2">
      <c r="A661" s="1" t="s">
        <v>95</v>
      </c>
      <c r="B661" s="7">
        <v>46088.003506944442</v>
      </c>
      <c r="C661" s="7">
        <v>46088.03025462963</v>
      </c>
      <c r="D661" s="8">
        <v>46088</v>
      </c>
      <c r="E661" s="9">
        <v>3.0254629629780538E-2</v>
      </c>
      <c r="F661" s="10" t="s">
        <v>832</v>
      </c>
      <c r="G661" s="10" t="s">
        <v>21</v>
      </c>
      <c r="H661" s="10" t="s">
        <v>110</v>
      </c>
      <c r="I661" s="10" t="s">
        <v>23</v>
      </c>
      <c r="J661" s="11">
        <v>0.83</v>
      </c>
      <c r="K661" s="12"/>
      <c r="L661" s="12"/>
      <c r="M661" s="12"/>
      <c r="N661" s="12"/>
      <c r="O661" s="12"/>
      <c r="P661" s="12"/>
      <c r="Q661" s="12"/>
      <c r="R661" s="12"/>
      <c r="S661" s="12"/>
    </row>
    <row r="662" spans="1:19" ht="14.25" customHeight="1" x14ac:dyDescent="0.2">
      <c r="A662" s="22" t="s">
        <v>19</v>
      </c>
      <c r="B662" s="23">
        <v>46087.987407407411</v>
      </c>
      <c r="C662" s="23">
        <v>46088.031134259261</v>
      </c>
      <c r="D662" s="24">
        <v>46088</v>
      </c>
      <c r="E662" s="25">
        <v>3.1134259261307307E-2</v>
      </c>
      <c r="F662" s="22" t="s">
        <v>833</v>
      </c>
      <c r="G662" s="22" t="s">
        <v>21</v>
      </c>
      <c r="H662" s="22" t="s">
        <v>41</v>
      </c>
      <c r="I662" s="22" t="s">
        <v>583</v>
      </c>
      <c r="J662" s="26">
        <v>1.77</v>
      </c>
      <c r="K662" s="26"/>
      <c r="L662" s="26"/>
      <c r="M662" s="26"/>
      <c r="N662" s="26"/>
      <c r="O662" s="26"/>
      <c r="P662" s="26"/>
      <c r="Q662" s="26"/>
      <c r="R662" s="26"/>
      <c r="S662" s="26"/>
    </row>
    <row r="663" spans="1:19" ht="14.25" customHeight="1" x14ac:dyDescent="0.2">
      <c r="A663" s="22" t="s">
        <v>33</v>
      </c>
      <c r="B663" s="23">
        <v>46087.994525462964</v>
      </c>
      <c r="C663" s="23">
        <v>46088.033090277779</v>
      </c>
      <c r="D663" s="24">
        <v>46088</v>
      </c>
      <c r="E663" s="25">
        <v>3.309027777868323E-2</v>
      </c>
      <c r="F663" s="22" t="s">
        <v>834</v>
      </c>
      <c r="G663" s="22" t="s">
        <v>44</v>
      </c>
      <c r="H663" s="22" t="s">
        <v>185</v>
      </c>
      <c r="I663" s="22" t="s">
        <v>583</v>
      </c>
      <c r="J663" s="26">
        <v>0.18</v>
      </c>
      <c r="K663" s="26"/>
      <c r="L663" s="26"/>
      <c r="M663" s="26"/>
      <c r="N663" s="26"/>
      <c r="O663" s="26"/>
      <c r="P663" s="26"/>
      <c r="Q663" s="26"/>
      <c r="R663" s="26"/>
      <c r="S663" s="26"/>
    </row>
    <row r="664" spans="1:19" ht="14.25" customHeight="1" x14ac:dyDescent="0.2">
      <c r="A664" s="1" t="s">
        <v>19</v>
      </c>
      <c r="B664" s="7">
        <v>46087.950428240743</v>
      </c>
      <c r="C664" s="7">
        <v>46088.034004629626</v>
      </c>
      <c r="D664" s="8">
        <v>46088</v>
      </c>
      <c r="E664" s="9">
        <v>3.400462962599704E-2</v>
      </c>
      <c r="F664" s="10" t="s">
        <v>835</v>
      </c>
      <c r="G664" s="10" t="s">
        <v>26</v>
      </c>
      <c r="H664" s="10" t="s">
        <v>315</v>
      </c>
      <c r="I664" s="10" t="s">
        <v>23</v>
      </c>
      <c r="J664" s="11">
        <v>0.88</v>
      </c>
      <c r="K664" s="12"/>
      <c r="L664" s="12"/>
      <c r="M664" s="12"/>
      <c r="N664" s="12"/>
      <c r="O664" s="12"/>
      <c r="P664" s="12"/>
      <c r="Q664" s="12"/>
      <c r="R664" s="12"/>
      <c r="S664" s="12"/>
    </row>
    <row r="665" spans="1:19" ht="14.25" customHeight="1" x14ac:dyDescent="0.2">
      <c r="A665" s="1" t="s">
        <v>19</v>
      </c>
      <c r="B665" s="7">
        <v>46087.971574074072</v>
      </c>
      <c r="C665" s="7">
        <v>46088.034942129627</v>
      </c>
      <c r="D665" s="8">
        <v>46088</v>
      </c>
      <c r="E665" s="9">
        <v>3.4942129626870155E-2</v>
      </c>
      <c r="F665" s="10" t="s">
        <v>836</v>
      </c>
      <c r="G665" s="10" t="s">
        <v>26</v>
      </c>
      <c r="H665" s="10" t="s">
        <v>284</v>
      </c>
      <c r="I665" s="10" t="s">
        <v>23</v>
      </c>
      <c r="J665" s="11">
        <v>0.88</v>
      </c>
      <c r="K665" s="12"/>
      <c r="L665" s="12"/>
      <c r="M665" s="12"/>
      <c r="N665" s="12"/>
      <c r="O665" s="12"/>
      <c r="P665" s="12"/>
      <c r="Q665" s="12"/>
      <c r="R665" s="12"/>
      <c r="S665" s="12"/>
    </row>
    <row r="666" spans="1:19" ht="14.25" customHeight="1" x14ac:dyDescent="0.2">
      <c r="A666" s="1" t="s">
        <v>24</v>
      </c>
      <c r="B666" s="7">
        <v>46088.008379629631</v>
      </c>
      <c r="C666" s="7">
        <v>46088.037557870368</v>
      </c>
      <c r="D666" s="8">
        <v>46088</v>
      </c>
      <c r="E666" s="9">
        <v>3.7557870367891155E-2</v>
      </c>
      <c r="F666" s="10" t="s">
        <v>837</v>
      </c>
      <c r="G666" s="10" t="s">
        <v>26</v>
      </c>
      <c r="H666" s="10" t="s">
        <v>27</v>
      </c>
      <c r="I666" s="10" t="s">
        <v>23</v>
      </c>
      <c r="J666" s="11">
        <v>0.68</v>
      </c>
      <c r="K666" s="12"/>
      <c r="L666" s="12"/>
      <c r="M666" s="12"/>
      <c r="N666" s="12"/>
      <c r="O666" s="12"/>
      <c r="P666" s="12"/>
      <c r="Q666" s="12"/>
      <c r="R666" s="12"/>
      <c r="S666" s="12"/>
    </row>
    <row r="667" spans="1:19" ht="14.25" customHeight="1" x14ac:dyDescent="0.2">
      <c r="A667" s="1" t="s">
        <v>19</v>
      </c>
      <c r="B667" s="7">
        <v>46088.022951388892</v>
      </c>
      <c r="C667" s="7">
        <v>46088.039918981478</v>
      </c>
      <c r="D667" s="8">
        <v>46088</v>
      </c>
      <c r="E667" s="9">
        <v>3.9918981477967463E-2</v>
      </c>
      <c r="F667" s="10" t="s">
        <v>838</v>
      </c>
      <c r="G667" s="10" t="s">
        <v>21</v>
      </c>
      <c r="H667" s="10" t="s">
        <v>22</v>
      </c>
      <c r="I667" s="10" t="s">
        <v>23</v>
      </c>
      <c r="J667" s="11">
        <v>0.83</v>
      </c>
      <c r="K667" s="12"/>
      <c r="L667" s="12"/>
      <c r="M667" s="12"/>
      <c r="N667" s="12"/>
      <c r="O667" s="12"/>
      <c r="P667" s="12"/>
      <c r="Q667" s="12"/>
      <c r="R667" s="12"/>
      <c r="S667" s="12"/>
    </row>
    <row r="668" spans="1:19" ht="14.25" customHeight="1" x14ac:dyDescent="0.2">
      <c r="A668" s="1" t="s">
        <v>95</v>
      </c>
      <c r="B668" s="7">
        <v>46088.028865740744</v>
      </c>
      <c r="C668" s="7">
        <v>46088.040439814817</v>
      </c>
      <c r="D668" s="8">
        <v>46088</v>
      </c>
      <c r="E668" s="9">
        <v>4.0439814816636499E-2</v>
      </c>
      <c r="F668" s="10" t="s">
        <v>839</v>
      </c>
      <c r="G668" s="10" t="s">
        <v>21</v>
      </c>
      <c r="H668" s="10" t="s">
        <v>110</v>
      </c>
      <c r="I668" s="10" t="s">
        <v>23</v>
      </c>
      <c r="J668" s="11">
        <v>0.83</v>
      </c>
      <c r="K668" s="12"/>
      <c r="L668" s="12"/>
      <c r="M668" s="12"/>
      <c r="N668" s="12"/>
      <c r="O668" s="12"/>
      <c r="P668" s="12"/>
      <c r="Q668" s="12"/>
      <c r="R668" s="12"/>
      <c r="S668" s="12"/>
    </row>
    <row r="669" spans="1:19" ht="14.25" customHeight="1" x14ac:dyDescent="0.2">
      <c r="A669" s="22" t="s">
        <v>95</v>
      </c>
      <c r="B669" s="23">
        <v>46088.018009259256</v>
      </c>
      <c r="C669" s="23">
        <v>46088.041307870371</v>
      </c>
      <c r="D669" s="24">
        <v>46088</v>
      </c>
      <c r="E669" s="25">
        <v>4.1307870371383615E-2</v>
      </c>
      <c r="F669" s="22" t="s">
        <v>840</v>
      </c>
      <c r="G669" s="22" t="s">
        <v>21</v>
      </c>
      <c r="H669" s="22" t="s">
        <v>52</v>
      </c>
      <c r="I669" s="22" t="s">
        <v>583</v>
      </c>
      <c r="J669" s="26">
        <v>0.98</v>
      </c>
      <c r="K669" s="26"/>
      <c r="L669" s="26"/>
      <c r="M669" s="26"/>
      <c r="N669" s="26"/>
      <c r="O669" s="26"/>
      <c r="P669" s="26"/>
      <c r="Q669" s="26"/>
      <c r="R669" s="26"/>
      <c r="S669" s="26"/>
    </row>
    <row r="670" spans="1:19" ht="14.25" customHeight="1" x14ac:dyDescent="0.2">
      <c r="A670" s="1" t="s">
        <v>33</v>
      </c>
      <c r="B670" s="7">
        <v>46088.028344907405</v>
      </c>
      <c r="C670" s="7">
        <v>46088.045451388891</v>
      </c>
      <c r="D670" s="8">
        <v>46088</v>
      </c>
      <c r="E670" s="9">
        <v>4.5451388890796807E-2</v>
      </c>
      <c r="F670" s="10" t="s">
        <v>841</v>
      </c>
      <c r="G670" s="10" t="s">
        <v>21</v>
      </c>
      <c r="H670" s="10" t="s">
        <v>41</v>
      </c>
      <c r="I670" s="10" t="s">
        <v>23</v>
      </c>
      <c r="J670" s="11">
        <v>1.77</v>
      </c>
      <c r="K670" s="12"/>
      <c r="L670" s="12">
        <f>SUM(J670:J680)</f>
        <v>12.149999999999999</v>
      </c>
      <c r="M670" s="13">
        <f>L670*65</f>
        <v>789.74999999999989</v>
      </c>
      <c r="N670" s="14">
        <f>MAX(500,M670)</f>
        <v>789.74999999999989</v>
      </c>
      <c r="O670" s="12"/>
      <c r="P670" s="12"/>
      <c r="Q670" s="12"/>
      <c r="R670" s="12"/>
      <c r="S670" s="12"/>
    </row>
    <row r="671" spans="1:19" ht="14.25" customHeight="1" x14ac:dyDescent="0.2">
      <c r="A671" s="1" t="s">
        <v>28</v>
      </c>
      <c r="B671" s="7">
        <v>46088.018194444441</v>
      </c>
      <c r="C671" s="7">
        <v>46088.046446759261</v>
      </c>
      <c r="D671" s="8">
        <v>46088</v>
      </c>
      <c r="E671" s="9">
        <v>4.6446759261016268E-2</v>
      </c>
      <c r="F671" s="10" t="s">
        <v>842</v>
      </c>
      <c r="G671" s="10" t="s">
        <v>21</v>
      </c>
      <c r="H671" s="10" t="s">
        <v>41</v>
      </c>
      <c r="I671" s="10" t="s">
        <v>23</v>
      </c>
      <c r="J671" s="11">
        <v>1.77</v>
      </c>
      <c r="K671" s="12"/>
      <c r="L671" s="12"/>
      <c r="M671" s="12"/>
      <c r="N671" s="12"/>
      <c r="O671" s="12"/>
      <c r="P671" s="12"/>
      <c r="Q671" s="12"/>
      <c r="R671" s="12"/>
      <c r="S671" s="12"/>
    </row>
    <row r="672" spans="1:19" ht="14.25" customHeight="1" x14ac:dyDescent="0.2">
      <c r="A672" s="1" t="s">
        <v>19</v>
      </c>
      <c r="B672" s="7">
        <v>46088.032361111109</v>
      </c>
      <c r="C672" s="7">
        <v>46088.046932870369</v>
      </c>
      <c r="D672" s="8">
        <v>46088</v>
      </c>
      <c r="E672" s="9">
        <v>4.6932870369346347E-2</v>
      </c>
      <c r="F672" s="10" t="s">
        <v>843</v>
      </c>
      <c r="G672" s="10" t="s">
        <v>21</v>
      </c>
      <c r="H672" s="10" t="s">
        <v>39</v>
      </c>
      <c r="I672" s="10" t="s">
        <v>23</v>
      </c>
      <c r="J672" s="11">
        <v>1.77</v>
      </c>
      <c r="K672" s="12"/>
      <c r="L672" s="12"/>
      <c r="M672" s="12"/>
      <c r="N672" s="12"/>
      <c r="O672" s="12"/>
      <c r="P672" s="12"/>
      <c r="Q672" s="12"/>
      <c r="R672" s="12"/>
      <c r="S672" s="12"/>
    </row>
    <row r="673" spans="1:19" ht="14.25" customHeight="1" x14ac:dyDescent="0.2">
      <c r="A673" s="1" t="s">
        <v>42</v>
      </c>
      <c r="B673" s="7">
        <v>46088.028865740744</v>
      </c>
      <c r="C673" s="7">
        <v>46088.052569444444</v>
      </c>
      <c r="D673" s="8">
        <v>46088</v>
      </c>
      <c r="E673" s="9">
        <v>5.2569444444088731E-2</v>
      </c>
      <c r="F673" s="10" t="s">
        <v>844</v>
      </c>
      <c r="G673" s="10" t="s">
        <v>44</v>
      </c>
      <c r="H673" s="10" t="s">
        <v>50</v>
      </c>
      <c r="I673" s="10" t="s">
        <v>23</v>
      </c>
      <c r="J673" s="11">
        <v>0.18</v>
      </c>
      <c r="K673" s="12"/>
      <c r="L673" s="12"/>
      <c r="M673" s="12"/>
      <c r="N673" s="12"/>
      <c r="O673" s="12"/>
      <c r="P673" s="12"/>
      <c r="Q673" s="12"/>
      <c r="R673" s="12"/>
      <c r="S673" s="12"/>
    </row>
    <row r="674" spans="1:19" ht="14.25" customHeight="1" x14ac:dyDescent="0.2">
      <c r="A674" s="1" t="s">
        <v>33</v>
      </c>
      <c r="B674" s="7">
        <v>46088.037581018521</v>
      </c>
      <c r="C674" s="7">
        <v>46088.052939814814</v>
      </c>
      <c r="D674" s="8">
        <v>46088</v>
      </c>
      <c r="E674" s="9">
        <v>5.2939814813726116E-2</v>
      </c>
      <c r="F674" s="10" t="s">
        <v>845</v>
      </c>
      <c r="G674" s="10" t="s">
        <v>21</v>
      </c>
      <c r="H674" s="10" t="s">
        <v>41</v>
      </c>
      <c r="I674" s="10" t="s">
        <v>23</v>
      </c>
      <c r="J674" s="11">
        <v>1.77</v>
      </c>
      <c r="K674" s="12"/>
      <c r="L674" s="12"/>
      <c r="M674" s="12"/>
      <c r="N674" s="12"/>
      <c r="O674" s="12"/>
      <c r="P674" s="12"/>
      <c r="Q674" s="12"/>
      <c r="R674" s="12"/>
      <c r="S674" s="12"/>
    </row>
    <row r="675" spans="1:19" ht="14.25" customHeight="1" x14ac:dyDescent="0.2">
      <c r="A675" s="1" t="s">
        <v>42</v>
      </c>
      <c r="B675" s="7">
        <v>46088.035763888889</v>
      </c>
      <c r="C675" s="7">
        <v>46088.05327546296</v>
      </c>
      <c r="D675" s="8">
        <v>46088</v>
      </c>
      <c r="E675" s="9">
        <v>5.3275462960300501E-2</v>
      </c>
      <c r="F675" s="10" t="s">
        <v>846</v>
      </c>
      <c r="G675" s="10" t="s">
        <v>44</v>
      </c>
      <c r="H675" s="10" t="s">
        <v>847</v>
      </c>
      <c r="I675" s="10" t="s">
        <v>23</v>
      </c>
      <c r="J675" s="11">
        <v>0.18</v>
      </c>
      <c r="K675" s="12"/>
      <c r="L675" s="12"/>
      <c r="M675" s="12"/>
      <c r="N675" s="12"/>
      <c r="O675" s="12"/>
      <c r="P675" s="12"/>
      <c r="Q675" s="12"/>
      <c r="R675" s="12"/>
      <c r="S675" s="12"/>
    </row>
    <row r="676" spans="1:19" ht="14.25" customHeight="1" x14ac:dyDescent="0.2">
      <c r="A676" s="1" t="s">
        <v>42</v>
      </c>
      <c r="B676" s="7">
        <v>46088.035752314812</v>
      </c>
      <c r="C676" s="7">
        <v>46088.053506944445</v>
      </c>
      <c r="D676" s="8">
        <v>46088</v>
      </c>
      <c r="E676" s="9">
        <v>5.3506944444961846E-2</v>
      </c>
      <c r="F676" s="10" t="s">
        <v>848</v>
      </c>
      <c r="G676" s="10" t="s">
        <v>44</v>
      </c>
      <c r="H676" s="10" t="s">
        <v>849</v>
      </c>
      <c r="I676" s="10" t="s">
        <v>23</v>
      </c>
      <c r="J676" s="11">
        <v>0.22</v>
      </c>
      <c r="K676" s="12"/>
      <c r="L676" s="12"/>
      <c r="M676" s="12"/>
      <c r="N676" s="12"/>
      <c r="O676" s="12"/>
      <c r="P676" s="12"/>
      <c r="Q676" s="12"/>
      <c r="R676" s="12"/>
      <c r="S676" s="12"/>
    </row>
    <row r="677" spans="1:19" ht="14.25" customHeight="1" x14ac:dyDescent="0.2">
      <c r="A677" s="1" t="s">
        <v>33</v>
      </c>
      <c r="B677" s="7">
        <v>46088.046805555554</v>
      </c>
      <c r="C677" s="7">
        <v>46088.057187500002</v>
      </c>
      <c r="D677" s="8">
        <v>46088</v>
      </c>
      <c r="E677" s="9">
        <v>5.7187500002328306E-2</v>
      </c>
      <c r="F677" s="10" t="s">
        <v>850</v>
      </c>
      <c r="G677" s="10" t="s">
        <v>21</v>
      </c>
      <c r="H677" s="10" t="s">
        <v>22</v>
      </c>
      <c r="I677" s="10" t="s">
        <v>23</v>
      </c>
      <c r="J677" s="11">
        <v>0.83</v>
      </c>
      <c r="K677" s="12"/>
      <c r="L677" s="12"/>
      <c r="M677" s="12"/>
      <c r="N677" s="12"/>
      <c r="O677" s="12"/>
      <c r="P677" s="12"/>
      <c r="Q677" s="12"/>
      <c r="R677" s="12"/>
      <c r="S677" s="12"/>
    </row>
    <row r="678" spans="1:19" ht="14.25" customHeight="1" x14ac:dyDescent="0.2">
      <c r="A678" s="1" t="s">
        <v>95</v>
      </c>
      <c r="B678" s="7">
        <v>46088.041747685187</v>
      </c>
      <c r="C678" s="7">
        <v>46088.058067129627</v>
      </c>
      <c r="D678" s="8">
        <v>46088</v>
      </c>
      <c r="E678" s="9">
        <v>5.8067129626579117E-2</v>
      </c>
      <c r="F678" s="10" t="s">
        <v>851</v>
      </c>
      <c r="G678" s="10" t="s">
        <v>21</v>
      </c>
      <c r="H678" s="10" t="s">
        <v>154</v>
      </c>
      <c r="I678" s="10" t="s">
        <v>23</v>
      </c>
      <c r="J678" s="11">
        <v>1.77</v>
      </c>
      <c r="K678" s="12"/>
      <c r="L678" s="12"/>
      <c r="M678" s="12"/>
      <c r="N678" s="12"/>
      <c r="O678" s="12"/>
      <c r="P678" s="12"/>
      <c r="Q678" s="12"/>
      <c r="R678" s="12"/>
      <c r="S678" s="12"/>
    </row>
    <row r="679" spans="1:19" ht="14.25" customHeight="1" x14ac:dyDescent="0.2">
      <c r="A679" s="1" t="s">
        <v>95</v>
      </c>
      <c r="B679" s="7">
        <v>46088.005208333336</v>
      </c>
      <c r="C679" s="7">
        <v>46088.063784722224</v>
      </c>
      <c r="D679" s="8">
        <v>46088</v>
      </c>
      <c r="E679" s="9">
        <v>6.3784722224227153E-2</v>
      </c>
      <c r="F679" s="10" t="s">
        <v>852</v>
      </c>
      <c r="G679" s="10" t="s">
        <v>21</v>
      </c>
      <c r="H679" s="10" t="s">
        <v>551</v>
      </c>
      <c r="I679" s="10" t="s">
        <v>23</v>
      </c>
      <c r="J679" s="11">
        <v>1.06</v>
      </c>
      <c r="K679" s="12"/>
      <c r="L679" s="12"/>
      <c r="M679" s="12"/>
      <c r="N679" s="12"/>
      <c r="O679" s="12"/>
      <c r="P679" s="12"/>
      <c r="Q679" s="12"/>
      <c r="R679" s="12"/>
      <c r="S679" s="12"/>
    </row>
    <row r="680" spans="1:19" ht="14.25" customHeight="1" x14ac:dyDescent="0.2">
      <c r="A680" s="1" t="s">
        <v>24</v>
      </c>
      <c r="B680" s="7">
        <v>46088.064965277779</v>
      </c>
      <c r="C680" s="7">
        <v>46088.074884259258</v>
      </c>
      <c r="D680" s="8">
        <v>46088</v>
      </c>
      <c r="E680" s="9">
        <v>7.4884259258396924E-2</v>
      </c>
      <c r="F680" s="10" t="s">
        <v>853</v>
      </c>
      <c r="G680" s="10" t="s">
        <v>21</v>
      </c>
      <c r="H680" s="10" t="s">
        <v>22</v>
      </c>
      <c r="I680" s="10" t="s">
        <v>23</v>
      </c>
      <c r="J680" s="11">
        <v>0.83</v>
      </c>
      <c r="K680" s="12"/>
      <c r="L680" s="12"/>
      <c r="M680" s="12"/>
      <c r="N680" s="12"/>
      <c r="O680" s="12"/>
      <c r="P680" s="12"/>
      <c r="Q680" s="12"/>
      <c r="R680" s="12"/>
      <c r="S680" s="12"/>
    </row>
    <row r="681" spans="1:19" ht="14.25" customHeight="1" x14ac:dyDescent="0.2">
      <c r="A681" s="1" t="s">
        <v>33</v>
      </c>
      <c r="B681" s="7">
        <v>46088.07240740741</v>
      </c>
      <c r="C681" s="7">
        <v>46088.096655092595</v>
      </c>
      <c r="D681" s="8">
        <v>46088</v>
      </c>
      <c r="E681" s="9">
        <v>9.6655092595028691E-2</v>
      </c>
      <c r="F681" s="10" t="s">
        <v>854</v>
      </c>
      <c r="G681" s="10" t="s">
        <v>26</v>
      </c>
      <c r="H681" s="10" t="s">
        <v>205</v>
      </c>
      <c r="I681" s="10" t="s">
        <v>23</v>
      </c>
      <c r="J681" s="11">
        <v>0.57999999999999996</v>
      </c>
      <c r="K681" s="12"/>
      <c r="L681" s="12">
        <f>SUM(J681:J690)</f>
        <v>11.98</v>
      </c>
      <c r="M681" s="13">
        <f>L681*65</f>
        <v>778.7</v>
      </c>
      <c r="N681" s="14">
        <f>MAX(500,M681)</f>
        <v>778.7</v>
      </c>
      <c r="O681" s="12"/>
      <c r="P681" s="12"/>
      <c r="Q681" s="12"/>
      <c r="R681" s="12"/>
      <c r="S681" s="12"/>
    </row>
    <row r="682" spans="1:19" ht="14.25" customHeight="1" x14ac:dyDescent="0.2">
      <c r="A682" s="1" t="s">
        <v>42</v>
      </c>
      <c r="B682" s="7">
        <v>46088.084432870368</v>
      </c>
      <c r="C682" s="7">
        <v>46088.097407407404</v>
      </c>
      <c r="D682" s="8">
        <v>46088</v>
      </c>
      <c r="E682" s="9">
        <v>9.7407407403807156E-2</v>
      </c>
      <c r="F682" s="10" t="s">
        <v>855</v>
      </c>
      <c r="G682" s="10" t="s">
        <v>21</v>
      </c>
      <c r="H682" s="10" t="s">
        <v>97</v>
      </c>
      <c r="I682" s="10" t="s">
        <v>23</v>
      </c>
      <c r="J682" s="11">
        <v>1.77</v>
      </c>
      <c r="K682" s="12"/>
      <c r="L682" s="12"/>
      <c r="M682" s="12"/>
      <c r="N682" s="12"/>
      <c r="O682" s="12"/>
      <c r="P682" s="12"/>
      <c r="Q682" s="12"/>
      <c r="R682" s="12"/>
      <c r="S682" s="12"/>
    </row>
    <row r="683" spans="1:19" ht="14.25" customHeight="1" x14ac:dyDescent="0.2">
      <c r="A683" s="1" t="s">
        <v>33</v>
      </c>
      <c r="B683" s="7">
        <v>46088.088171296295</v>
      </c>
      <c r="C683" s="7">
        <v>46088.104722222219</v>
      </c>
      <c r="D683" s="8">
        <v>46088</v>
      </c>
      <c r="E683" s="9">
        <v>0.10472222221869742</v>
      </c>
      <c r="F683" s="10" t="s">
        <v>856</v>
      </c>
      <c r="G683" s="10" t="s">
        <v>21</v>
      </c>
      <c r="H683" s="10" t="s">
        <v>22</v>
      </c>
      <c r="I683" s="10" t="s">
        <v>23</v>
      </c>
      <c r="J683" s="11">
        <v>0.83</v>
      </c>
      <c r="K683" s="12"/>
      <c r="L683" s="12"/>
      <c r="M683" s="12"/>
      <c r="N683" s="12"/>
      <c r="O683" s="12"/>
      <c r="P683" s="12"/>
      <c r="Q683" s="12"/>
      <c r="R683" s="12"/>
      <c r="S683" s="12"/>
    </row>
    <row r="684" spans="1:19" ht="14.25" customHeight="1" x14ac:dyDescent="0.2">
      <c r="A684" s="1" t="s">
        <v>33</v>
      </c>
      <c r="B684" s="7">
        <v>46088.089791666665</v>
      </c>
      <c r="C684" s="7">
        <v>46088.105127314811</v>
      </c>
      <c r="D684" s="8">
        <v>46088</v>
      </c>
      <c r="E684" s="9">
        <v>0.10512731481139781</v>
      </c>
      <c r="F684" s="10" t="s">
        <v>857</v>
      </c>
      <c r="G684" s="10" t="s">
        <v>21</v>
      </c>
      <c r="H684" s="10" t="s">
        <v>41</v>
      </c>
      <c r="I684" s="10" t="s">
        <v>23</v>
      </c>
      <c r="J684" s="11">
        <v>1.77</v>
      </c>
      <c r="K684" s="12"/>
      <c r="L684" s="12"/>
      <c r="M684" s="12"/>
      <c r="N684" s="12"/>
      <c r="O684" s="12"/>
      <c r="P684" s="12"/>
      <c r="Q684" s="12"/>
      <c r="R684" s="12"/>
      <c r="S684" s="12"/>
    </row>
    <row r="685" spans="1:19" ht="14.25" customHeight="1" x14ac:dyDescent="0.2">
      <c r="A685" s="1" t="s">
        <v>19</v>
      </c>
      <c r="B685" s="7">
        <v>46088.073541666665</v>
      </c>
      <c r="C685" s="7">
        <v>46088.106296296297</v>
      </c>
      <c r="D685" s="8">
        <v>46088</v>
      </c>
      <c r="E685" s="9">
        <v>0.10629629629693227</v>
      </c>
      <c r="F685" s="10" t="s">
        <v>858</v>
      </c>
      <c r="G685" s="10" t="s">
        <v>26</v>
      </c>
      <c r="H685" s="10" t="s">
        <v>92</v>
      </c>
      <c r="I685" s="10" t="s">
        <v>23</v>
      </c>
      <c r="J685" s="11">
        <v>0.63</v>
      </c>
      <c r="K685" s="12"/>
      <c r="L685" s="12"/>
      <c r="M685" s="12"/>
      <c r="N685" s="12"/>
      <c r="O685" s="12"/>
      <c r="P685" s="12"/>
      <c r="Q685" s="12"/>
      <c r="R685" s="12"/>
      <c r="S685" s="12"/>
    </row>
    <row r="686" spans="1:19" ht="14.25" customHeight="1" x14ac:dyDescent="0.2">
      <c r="A686" s="1" t="s">
        <v>95</v>
      </c>
      <c r="B686" s="7">
        <v>46088.104780092595</v>
      </c>
      <c r="C686" s="7">
        <v>46088.110300925924</v>
      </c>
      <c r="D686" s="8">
        <v>46088</v>
      </c>
      <c r="E686" s="9">
        <v>0.11030092592409346</v>
      </c>
      <c r="F686" s="10" t="s">
        <v>859</v>
      </c>
      <c r="G686" s="10" t="s">
        <v>21</v>
      </c>
      <c r="H686" s="10" t="s">
        <v>71</v>
      </c>
      <c r="I686" s="10" t="s">
        <v>23</v>
      </c>
      <c r="J686" s="11">
        <v>1.05</v>
      </c>
      <c r="K686" s="12"/>
      <c r="L686" s="12"/>
      <c r="M686" s="12"/>
      <c r="N686" s="12"/>
      <c r="O686" s="12"/>
      <c r="P686" s="12"/>
      <c r="Q686" s="12"/>
      <c r="R686" s="12"/>
      <c r="S686" s="12"/>
    </row>
    <row r="687" spans="1:19" ht="14.25" customHeight="1" x14ac:dyDescent="0.2">
      <c r="A687" s="1" t="s">
        <v>95</v>
      </c>
      <c r="B687" s="7">
        <v>46088.100266203706</v>
      </c>
      <c r="C687" s="7">
        <v>46088.117071759261</v>
      </c>
      <c r="D687" s="8">
        <v>46088</v>
      </c>
      <c r="E687" s="9">
        <v>0.11707175926130731</v>
      </c>
      <c r="F687" s="10" t="s">
        <v>860</v>
      </c>
      <c r="G687" s="10" t="s">
        <v>21</v>
      </c>
      <c r="H687" s="10" t="s">
        <v>154</v>
      </c>
      <c r="I687" s="10" t="s">
        <v>23</v>
      </c>
      <c r="J687" s="11">
        <v>1.77</v>
      </c>
      <c r="K687" s="12"/>
      <c r="L687" s="12"/>
      <c r="M687" s="12"/>
      <c r="N687" s="12"/>
      <c r="O687" s="12"/>
      <c r="P687" s="12"/>
      <c r="Q687" s="12"/>
      <c r="R687" s="12"/>
      <c r="S687" s="12"/>
    </row>
    <row r="688" spans="1:19" ht="14.25" customHeight="1" x14ac:dyDescent="0.2">
      <c r="A688" s="1" t="s">
        <v>33</v>
      </c>
      <c r="B688" s="7">
        <v>46088.109236111108</v>
      </c>
      <c r="C688" s="7">
        <v>46088.121145833335</v>
      </c>
      <c r="D688" s="8">
        <v>46088</v>
      </c>
      <c r="E688" s="9">
        <v>0.1211458333345945</v>
      </c>
      <c r="F688" s="10" t="s">
        <v>861</v>
      </c>
      <c r="G688" s="10" t="s">
        <v>21</v>
      </c>
      <c r="H688" s="10" t="s">
        <v>41</v>
      </c>
      <c r="I688" s="10" t="s">
        <v>23</v>
      </c>
      <c r="J688" s="11">
        <v>1.77</v>
      </c>
      <c r="K688" s="12"/>
      <c r="L688" s="12"/>
      <c r="M688" s="12"/>
      <c r="N688" s="12"/>
      <c r="O688" s="12"/>
      <c r="P688" s="12"/>
      <c r="Q688" s="12"/>
      <c r="R688" s="12"/>
      <c r="S688" s="12"/>
    </row>
    <row r="689" spans="1:19" ht="14.25" customHeight="1" x14ac:dyDescent="0.2">
      <c r="A689" s="1" t="s">
        <v>95</v>
      </c>
      <c r="B689" s="7">
        <v>46088.11451388889</v>
      </c>
      <c r="C689" s="7">
        <v>46088.121851851851</v>
      </c>
      <c r="D689" s="8">
        <v>46088</v>
      </c>
      <c r="E689" s="9">
        <v>0.12185185185080627</v>
      </c>
      <c r="F689" s="10" t="s">
        <v>862</v>
      </c>
      <c r="G689" s="10" t="s">
        <v>21</v>
      </c>
      <c r="H689" s="10" t="s">
        <v>110</v>
      </c>
      <c r="I689" s="10" t="s">
        <v>23</v>
      </c>
      <c r="J689" s="11">
        <v>0.83</v>
      </c>
      <c r="K689" s="12"/>
      <c r="L689" s="12"/>
      <c r="M689" s="12"/>
      <c r="N689" s="12"/>
      <c r="O689" s="12"/>
      <c r="P689" s="12"/>
      <c r="Q689" s="12"/>
      <c r="R689" s="12"/>
      <c r="S689" s="12"/>
    </row>
    <row r="690" spans="1:19" ht="14.25" customHeight="1" x14ac:dyDescent="0.2">
      <c r="A690" s="1" t="s">
        <v>95</v>
      </c>
      <c r="B690" s="7">
        <v>46088.117245370369</v>
      </c>
      <c r="C690" s="7">
        <v>46088.122152777774</v>
      </c>
      <c r="D690" s="8">
        <v>46088</v>
      </c>
      <c r="E690" s="9">
        <v>0.12215277777431766</v>
      </c>
      <c r="F690" s="10" t="s">
        <v>863</v>
      </c>
      <c r="G690" s="10" t="s">
        <v>21</v>
      </c>
      <c r="H690" s="10" t="s">
        <v>52</v>
      </c>
      <c r="I690" s="10" t="s">
        <v>23</v>
      </c>
      <c r="J690" s="11">
        <v>0.98</v>
      </c>
      <c r="K690" s="12"/>
      <c r="L690" s="12"/>
      <c r="M690" s="12"/>
      <c r="N690" s="12"/>
      <c r="O690" s="12"/>
      <c r="P690" s="12"/>
      <c r="Q690" s="12"/>
      <c r="R690" s="12"/>
      <c r="S690" s="12"/>
    </row>
    <row r="691" spans="1:19" ht="14.25" customHeight="1" x14ac:dyDescent="0.2">
      <c r="A691" s="1" t="s">
        <v>95</v>
      </c>
      <c r="B691" s="7">
        <v>46088.119699074072</v>
      </c>
      <c r="C691" s="7">
        <v>46088.128449074073</v>
      </c>
      <c r="D691" s="8">
        <v>46088</v>
      </c>
      <c r="E691" s="9">
        <v>0.12844907407270512</v>
      </c>
      <c r="F691" s="10" t="s">
        <v>864</v>
      </c>
      <c r="G691" s="10" t="s">
        <v>21</v>
      </c>
      <c r="H691" s="10" t="s">
        <v>865</v>
      </c>
      <c r="I691" s="10" t="s">
        <v>23</v>
      </c>
      <c r="J691" s="11">
        <v>2.9</v>
      </c>
      <c r="K691" s="12">
        <f>SUM(J691:J718)</f>
        <v>30.289999999999996</v>
      </c>
      <c r="L691" s="12">
        <f>SUM(J691:J700)</f>
        <v>11.4</v>
      </c>
      <c r="M691" s="13">
        <f>L691*65</f>
        <v>741</v>
      </c>
      <c r="N691" s="14">
        <f>MAX(500,M691)</f>
        <v>741</v>
      </c>
      <c r="O691" s="12"/>
      <c r="P691" s="12"/>
      <c r="Q691" s="12"/>
      <c r="R691" s="12"/>
      <c r="S691" s="12"/>
    </row>
    <row r="692" spans="1:19" ht="14.25" customHeight="1" x14ac:dyDescent="0.2">
      <c r="A692" s="1" t="s">
        <v>24</v>
      </c>
      <c r="B692" s="7">
        <v>46088.119525462964</v>
      </c>
      <c r="C692" s="7">
        <v>46088.128738425927</v>
      </c>
      <c r="D692" s="8">
        <v>46088</v>
      </c>
      <c r="E692" s="9">
        <v>0.12873842592671281</v>
      </c>
      <c r="F692" s="10" t="s">
        <v>866</v>
      </c>
      <c r="G692" s="10" t="s">
        <v>21</v>
      </c>
      <c r="H692" s="10" t="s">
        <v>22</v>
      </c>
      <c r="I692" s="10" t="s">
        <v>23</v>
      </c>
      <c r="J692" s="11">
        <v>0.83</v>
      </c>
      <c r="K692" s="12"/>
      <c r="L692" s="12"/>
      <c r="M692" s="12"/>
      <c r="N692" s="12"/>
      <c r="O692" s="12"/>
      <c r="P692" s="12"/>
      <c r="Q692" s="12"/>
      <c r="R692" s="12"/>
      <c r="S692" s="12"/>
    </row>
    <row r="693" spans="1:19" ht="14.25" customHeight="1" x14ac:dyDescent="0.2">
      <c r="A693" s="1" t="s">
        <v>95</v>
      </c>
      <c r="B693" s="7">
        <v>46088.040682870371</v>
      </c>
      <c r="C693" s="7">
        <v>46088.138738425929</v>
      </c>
      <c r="D693" s="8">
        <v>46088</v>
      </c>
      <c r="E693" s="9">
        <v>0.13873842592875008</v>
      </c>
      <c r="F693" s="10" t="s">
        <v>867</v>
      </c>
      <c r="G693" s="10" t="s">
        <v>44</v>
      </c>
      <c r="H693" s="10" t="s">
        <v>45</v>
      </c>
      <c r="I693" s="10" t="s">
        <v>23</v>
      </c>
      <c r="J693" s="11">
        <v>0.18</v>
      </c>
      <c r="K693" s="12"/>
      <c r="L693" s="12"/>
      <c r="M693" s="12"/>
      <c r="N693" s="12"/>
      <c r="O693" s="12"/>
      <c r="P693" s="12"/>
      <c r="Q693" s="12"/>
      <c r="R693" s="12"/>
      <c r="S693" s="12"/>
    </row>
    <row r="694" spans="1:19" ht="14.25" customHeight="1" x14ac:dyDescent="0.2">
      <c r="A694" s="1" t="s">
        <v>57</v>
      </c>
      <c r="B694" s="7">
        <v>46088.113611111112</v>
      </c>
      <c r="C694" s="7">
        <v>46088.139236111114</v>
      </c>
      <c r="D694" s="8">
        <v>46088</v>
      </c>
      <c r="E694" s="9">
        <v>0.13923611111385981</v>
      </c>
      <c r="F694" s="10" t="s">
        <v>868</v>
      </c>
      <c r="G694" s="10" t="s">
        <v>21</v>
      </c>
      <c r="H694" s="10" t="s">
        <v>869</v>
      </c>
      <c r="I694" s="10" t="s">
        <v>23</v>
      </c>
      <c r="J694" s="11">
        <v>0.98</v>
      </c>
      <c r="K694" s="12"/>
      <c r="L694" s="12"/>
      <c r="M694" s="12"/>
      <c r="N694" s="12"/>
      <c r="O694" s="12"/>
      <c r="P694" s="12"/>
      <c r="Q694" s="12"/>
      <c r="R694" s="12"/>
      <c r="S694" s="12"/>
    </row>
    <row r="695" spans="1:19" ht="14.25" customHeight="1" x14ac:dyDescent="0.2">
      <c r="A695" s="1" t="s">
        <v>42</v>
      </c>
      <c r="B695" s="7">
        <v>46088.12835648148</v>
      </c>
      <c r="C695" s="7">
        <v>46088.139432870368</v>
      </c>
      <c r="D695" s="8">
        <v>46088</v>
      </c>
      <c r="E695" s="9">
        <v>0.13943287036818219</v>
      </c>
      <c r="F695" s="10" t="s">
        <v>870</v>
      </c>
      <c r="G695" s="10" t="s">
        <v>21</v>
      </c>
      <c r="H695" s="10" t="s">
        <v>227</v>
      </c>
      <c r="I695" s="10" t="s">
        <v>23</v>
      </c>
      <c r="J695" s="11">
        <v>0.83</v>
      </c>
      <c r="K695" s="12"/>
      <c r="L695" s="12"/>
      <c r="M695" s="12"/>
      <c r="N695" s="12"/>
      <c r="O695" s="12"/>
      <c r="P695" s="12"/>
      <c r="Q695" s="12"/>
      <c r="R695" s="12"/>
      <c r="S695" s="12"/>
    </row>
    <row r="696" spans="1:19" ht="14.25" customHeight="1" x14ac:dyDescent="0.2">
      <c r="A696" s="1" t="s">
        <v>95</v>
      </c>
      <c r="B696" s="7">
        <v>46088.126875000002</v>
      </c>
      <c r="C696" s="7">
        <v>46088.144803240742</v>
      </c>
      <c r="D696" s="8">
        <v>46088</v>
      </c>
      <c r="E696" s="9">
        <v>0.14480324074247619</v>
      </c>
      <c r="F696" s="10" t="s">
        <v>871</v>
      </c>
      <c r="G696" s="10" t="s">
        <v>21</v>
      </c>
      <c r="H696" s="10" t="s">
        <v>154</v>
      </c>
      <c r="I696" s="10" t="s">
        <v>23</v>
      </c>
      <c r="J696" s="11">
        <v>1.77</v>
      </c>
      <c r="K696" s="12"/>
      <c r="L696" s="12"/>
      <c r="M696" s="12"/>
      <c r="N696" s="12"/>
      <c r="O696" s="12"/>
      <c r="P696" s="12"/>
      <c r="Q696" s="12"/>
      <c r="R696" s="12"/>
      <c r="S696" s="12"/>
    </row>
    <row r="697" spans="1:19" ht="14.25" customHeight="1" x14ac:dyDescent="0.2">
      <c r="A697" s="1" t="s">
        <v>42</v>
      </c>
      <c r="B697" s="7">
        <v>46088.12835648148</v>
      </c>
      <c r="C697" s="7">
        <v>46088.145115740743</v>
      </c>
      <c r="D697" s="8">
        <v>46088</v>
      </c>
      <c r="E697" s="9">
        <v>0.14511574074276723</v>
      </c>
      <c r="F697" s="10" t="s">
        <v>872</v>
      </c>
      <c r="G697" s="10" t="s">
        <v>21</v>
      </c>
      <c r="H697" s="10" t="s">
        <v>873</v>
      </c>
      <c r="I697" s="10" t="s">
        <v>23</v>
      </c>
      <c r="J697" s="11">
        <v>0.83</v>
      </c>
      <c r="K697" s="12"/>
      <c r="L697" s="12"/>
      <c r="M697" s="12"/>
      <c r="N697" s="12"/>
      <c r="O697" s="12"/>
      <c r="P697" s="12"/>
      <c r="Q697" s="12"/>
      <c r="R697" s="12"/>
      <c r="S697" s="12"/>
    </row>
    <row r="698" spans="1:19" ht="14.25" customHeight="1" x14ac:dyDescent="0.2">
      <c r="A698" s="1" t="s">
        <v>95</v>
      </c>
      <c r="B698" s="7">
        <v>46088.134583333333</v>
      </c>
      <c r="C698" s="7">
        <v>46088.145648148151</v>
      </c>
      <c r="D698" s="8">
        <v>46088</v>
      </c>
      <c r="E698" s="9">
        <v>0.14564814815093996</v>
      </c>
      <c r="F698" s="10" t="s">
        <v>874</v>
      </c>
      <c r="G698" s="10" t="s">
        <v>21</v>
      </c>
      <c r="H698" s="10" t="s">
        <v>97</v>
      </c>
      <c r="I698" s="10" t="s">
        <v>23</v>
      </c>
      <c r="J698" s="11">
        <v>1.77</v>
      </c>
      <c r="K698" s="12"/>
      <c r="L698" s="12"/>
      <c r="M698" s="12"/>
      <c r="N698" s="12"/>
      <c r="O698" s="12"/>
      <c r="P698" s="12"/>
      <c r="Q698" s="12"/>
      <c r="R698" s="12"/>
      <c r="S698" s="12"/>
    </row>
    <row r="699" spans="1:19" ht="14.25" customHeight="1" x14ac:dyDescent="0.2">
      <c r="A699" s="1" t="s">
        <v>42</v>
      </c>
      <c r="B699" s="7">
        <v>46088.128472222219</v>
      </c>
      <c r="C699" s="7">
        <v>46088.156782407408</v>
      </c>
      <c r="D699" s="8">
        <v>46088</v>
      </c>
      <c r="E699" s="9">
        <v>0.15678240740817273</v>
      </c>
      <c r="F699" s="10" t="s">
        <v>875</v>
      </c>
      <c r="G699" s="10" t="s">
        <v>26</v>
      </c>
      <c r="H699" s="10" t="s">
        <v>664</v>
      </c>
      <c r="I699" s="10" t="s">
        <v>23</v>
      </c>
      <c r="J699" s="11">
        <v>0.57999999999999996</v>
      </c>
      <c r="K699" s="12"/>
      <c r="L699" s="12"/>
      <c r="M699" s="12"/>
      <c r="N699" s="12"/>
      <c r="O699" s="12"/>
      <c r="P699" s="12"/>
      <c r="Q699" s="12"/>
      <c r="R699" s="12"/>
      <c r="S699" s="12"/>
    </row>
    <row r="700" spans="1:19" ht="14.25" customHeight="1" x14ac:dyDescent="0.2">
      <c r="A700" s="1" t="s">
        <v>42</v>
      </c>
      <c r="B700" s="7">
        <v>46088.131828703707</v>
      </c>
      <c r="C700" s="7">
        <v>46088.157523148147</v>
      </c>
      <c r="D700" s="8">
        <v>46088</v>
      </c>
      <c r="E700" s="9">
        <v>0.1575231481474475</v>
      </c>
      <c r="F700" s="10" t="s">
        <v>876</v>
      </c>
      <c r="G700" s="10" t="s">
        <v>26</v>
      </c>
      <c r="H700" s="10" t="s">
        <v>157</v>
      </c>
      <c r="I700" s="10" t="s">
        <v>23</v>
      </c>
      <c r="J700" s="11">
        <v>0.73</v>
      </c>
      <c r="K700" s="12"/>
      <c r="L700" s="12"/>
      <c r="M700" s="12"/>
      <c r="N700" s="12"/>
      <c r="O700" s="12"/>
      <c r="P700" s="12"/>
      <c r="Q700" s="12"/>
      <c r="R700" s="12"/>
      <c r="S700" s="12"/>
    </row>
    <row r="701" spans="1:19" ht="14.25" customHeight="1" x14ac:dyDescent="0.2">
      <c r="A701" s="1" t="s">
        <v>95</v>
      </c>
      <c r="B701" s="7">
        <v>46088.170960648145</v>
      </c>
      <c r="C701" s="7">
        <v>46088.187581018516</v>
      </c>
      <c r="D701" s="8">
        <v>46088</v>
      </c>
      <c r="E701" s="9">
        <v>0.18758101851562969</v>
      </c>
      <c r="F701" s="10" t="s">
        <v>877</v>
      </c>
      <c r="G701" s="10" t="s">
        <v>21</v>
      </c>
      <c r="H701" s="10" t="s">
        <v>97</v>
      </c>
      <c r="I701" s="10" t="s">
        <v>23</v>
      </c>
      <c r="J701" s="11">
        <v>1.77</v>
      </c>
      <c r="K701" s="12"/>
      <c r="L701" s="12">
        <f>SUM(J701:J707)</f>
        <v>7.7799999999999994</v>
      </c>
      <c r="M701" s="13">
        <f>L701*65</f>
        <v>505.69999999999993</v>
      </c>
      <c r="N701" s="14">
        <f>MAX(500,M701)</f>
        <v>505.69999999999993</v>
      </c>
      <c r="O701" s="12"/>
      <c r="P701" s="12"/>
      <c r="Q701" s="12"/>
      <c r="R701" s="12"/>
      <c r="S701" s="12"/>
    </row>
    <row r="702" spans="1:19" ht="14.25" customHeight="1" x14ac:dyDescent="0.2">
      <c r="A702" s="1" t="s">
        <v>33</v>
      </c>
      <c r="B702" s="7">
        <v>46088.179976851854</v>
      </c>
      <c r="C702" s="7">
        <v>46088.192523148151</v>
      </c>
      <c r="D702" s="8">
        <v>46088</v>
      </c>
      <c r="E702" s="9">
        <v>0.19252314815093996</v>
      </c>
      <c r="F702" s="10" t="s">
        <v>878</v>
      </c>
      <c r="G702" s="10" t="s">
        <v>21</v>
      </c>
      <c r="H702" s="10" t="s">
        <v>101</v>
      </c>
      <c r="I702" s="10" t="s">
        <v>23</v>
      </c>
      <c r="J702" s="11">
        <v>1.7</v>
      </c>
      <c r="K702" s="12"/>
      <c r="L702" s="12"/>
      <c r="M702" s="12"/>
      <c r="N702" s="12"/>
      <c r="O702" s="12"/>
      <c r="P702" s="12"/>
      <c r="Q702" s="12"/>
      <c r="R702" s="12"/>
      <c r="S702" s="12"/>
    </row>
    <row r="703" spans="1:19" ht="14.25" customHeight="1" x14ac:dyDescent="0.2">
      <c r="A703" s="1" t="s">
        <v>57</v>
      </c>
      <c r="B703" s="7">
        <v>46088.165567129632</v>
      </c>
      <c r="C703" s="7">
        <v>46088.196493055555</v>
      </c>
      <c r="D703" s="8">
        <v>46088</v>
      </c>
      <c r="E703" s="9">
        <v>0.19649305555503815</v>
      </c>
      <c r="F703" s="10" t="s">
        <v>879</v>
      </c>
      <c r="G703" s="10" t="s">
        <v>21</v>
      </c>
      <c r="H703" s="10" t="s">
        <v>869</v>
      </c>
      <c r="I703" s="10" t="s">
        <v>23</v>
      </c>
      <c r="J703" s="11">
        <v>0.98</v>
      </c>
      <c r="K703" s="12"/>
      <c r="L703" s="12"/>
      <c r="M703" s="12"/>
      <c r="N703" s="12"/>
      <c r="O703" s="12"/>
      <c r="P703" s="12"/>
      <c r="Q703" s="12"/>
      <c r="R703" s="12"/>
      <c r="S703" s="12"/>
    </row>
    <row r="704" spans="1:19" ht="14.25" customHeight="1" x14ac:dyDescent="0.2">
      <c r="A704" s="1" t="s">
        <v>24</v>
      </c>
      <c r="B704" s="7">
        <v>46088.184606481482</v>
      </c>
      <c r="C704" s="7">
        <v>46088.19803240741</v>
      </c>
      <c r="D704" s="8">
        <v>46088</v>
      </c>
      <c r="E704" s="9">
        <v>0.19803240741021</v>
      </c>
      <c r="F704" s="10" t="s">
        <v>880</v>
      </c>
      <c r="G704" s="10" t="s">
        <v>21</v>
      </c>
      <c r="H704" s="10" t="s">
        <v>268</v>
      </c>
      <c r="I704" s="10" t="s">
        <v>23</v>
      </c>
      <c r="J704" s="11">
        <v>1.35</v>
      </c>
      <c r="K704" s="12"/>
      <c r="L704" s="12"/>
      <c r="M704" s="12"/>
      <c r="N704" s="12"/>
      <c r="O704" s="12"/>
      <c r="P704" s="12"/>
      <c r="Q704" s="12"/>
      <c r="R704" s="12"/>
      <c r="S704" s="12"/>
    </row>
    <row r="705" spans="1:19" ht="14.25" customHeight="1" x14ac:dyDescent="0.2">
      <c r="A705" s="1" t="s">
        <v>42</v>
      </c>
      <c r="B705" s="7">
        <v>46088.155358796299</v>
      </c>
      <c r="C705" s="7">
        <v>46088.207349537035</v>
      </c>
      <c r="D705" s="8">
        <v>46088</v>
      </c>
      <c r="E705" s="9">
        <v>0.20734953703504289</v>
      </c>
      <c r="F705" s="10" t="s">
        <v>881</v>
      </c>
      <c r="G705" s="10" t="s">
        <v>26</v>
      </c>
      <c r="H705" s="10" t="s">
        <v>56</v>
      </c>
      <c r="I705" s="10" t="s">
        <v>23</v>
      </c>
      <c r="J705" s="11">
        <v>0.73</v>
      </c>
      <c r="K705" s="12"/>
      <c r="L705" s="12"/>
      <c r="M705" s="12"/>
      <c r="N705" s="12"/>
      <c r="O705" s="12"/>
      <c r="P705" s="12"/>
      <c r="Q705" s="12"/>
      <c r="R705" s="12"/>
      <c r="S705" s="12"/>
    </row>
    <row r="706" spans="1:19" ht="14.25" customHeight="1" x14ac:dyDescent="0.2">
      <c r="A706" s="1" t="s">
        <v>42</v>
      </c>
      <c r="B706" s="7">
        <v>46088.175196759257</v>
      </c>
      <c r="C706" s="7">
        <v>46088.20752314815</v>
      </c>
      <c r="D706" s="8">
        <v>46088</v>
      </c>
      <c r="E706" s="9">
        <v>0.20752314815035788</v>
      </c>
      <c r="F706" s="10" t="s">
        <v>882</v>
      </c>
      <c r="G706" s="10" t="s">
        <v>26</v>
      </c>
      <c r="H706" s="10" t="s">
        <v>664</v>
      </c>
      <c r="I706" s="10" t="s">
        <v>23</v>
      </c>
      <c r="J706" s="11">
        <v>0.57999999999999996</v>
      </c>
      <c r="K706" s="12"/>
      <c r="L706" s="12"/>
      <c r="M706" s="12"/>
      <c r="N706" s="12"/>
      <c r="O706" s="12"/>
      <c r="P706" s="12"/>
      <c r="Q706" s="12"/>
      <c r="R706" s="12"/>
      <c r="S706" s="12"/>
    </row>
    <row r="707" spans="1:19" ht="14.25" customHeight="1" x14ac:dyDescent="0.2">
      <c r="A707" s="1" t="s">
        <v>42</v>
      </c>
      <c r="B707" s="7">
        <v>46088.180462962962</v>
      </c>
      <c r="C707" s="7">
        <v>46088.208252314813</v>
      </c>
      <c r="D707" s="8">
        <v>46088</v>
      </c>
      <c r="E707" s="9">
        <v>0.208252314812853</v>
      </c>
      <c r="F707" s="10" t="s">
        <v>883</v>
      </c>
      <c r="G707" s="10" t="s">
        <v>26</v>
      </c>
      <c r="H707" s="10" t="s">
        <v>391</v>
      </c>
      <c r="I707" s="10" t="s">
        <v>23</v>
      </c>
      <c r="J707" s="11">
        <v>0.67</v>
      </c>
      <c r="K707" s="12"/>
      <c r="L707" s="12"/>
      <c r="M707" s="12"/>
      <c r="N707" s="12"/>
      <c r="O707" s="12"/>
      <c r="P707" s="12"/>
      <c r="Q707" s="12"/>
      <c r="R707" s="12"/>
      <c r="S707" s="12"/>
    </row>
    <row r="708" spans="1:19" ht="14.25" customHeight="1" x14ac:dyDescent="0.2">
      <c r="A708" s="1" t="s">
        <v>95</v>
      </c>
      <c r="B708" s="7">
        <v>46088.180127314816</v>
      </c>
      <c r="C708" s="7">
        <v>46088.210729166669</v>
      </c>
      <c r="D708" s="8">
        <v>46088</v>
      </c>
      <c r="E708" s="9">
        <v>0.21072916666889796</v>
      </c>
      <c r="F708" s="10" t="s">
        <v>884</v>
      </c>
      <c r="G708" s="10" t="s">
        <v>21</v>
      </c>
      <c r="H708" s="10" t="s">
        <v>52</v>
      </c>
      <c r="I708" s="10" t="s">
        <v>23</v>
      </c>
      <c r="J708" s="11">
        <v>0.98</v>
      </c>
      <c r="K708" s="12"/>
      <c r="L708" s="12">
        <f>SUM(J708:J718)</f>
        <v>11.109999999999998</v>
      </c>
      <c r="M708" s="13">
        <f>L708*65</f>
        <v>722.14999999999986</v>
      </c>
      <c r="N708" s="14">
        <f>MAX(500,M708)</f>
        <v>722.14999999999986</v>
      </c>
      <c r="O708" s="12"/>
      <c r="P708" s="12"/>
      <c r="Q708" s="12"/>
      <c r="R708" s="12"/>
      <c r="S708" s="12"/>
    </row>
    <row r="709" spans="1:19" ht="14.25" customHeight="1" x14ac:dyDescent="0.2">
      <c r="A709" s="1" t="s">
        <v>95</v>
      </c>
      <c r="B709" s="7">
        <v>46088.195381944446</v>
      </c>
      <c r="C709" s="7">
        <v>46088.212453703702</v>
      </c>
      <c r="D709" s="8">
        <v>46088</v>
      </c>
      <c r="E709" s="9">
        <v>0.21245370370161254</v>
      </c>
      <c r="F709" s="10" t="s">
        <v>885</v>
      </c>
      <c r="G709" s="10" t="s">
        <v>21</v>
      </c>
      <c r="H709" s="10" t="s">
        <v>216</v>
      </c>
      <c r="I709" s="10" t="s">
        <v>23</v>
      </c>
      <c r="J709" s="11">
        <v>0.98</v>
      </c>
      <c r="K709" s="12"/>
      <c r="L709" s="12"/>
      <c r="M709" s="12"/>
      <c r="N709" s="12"/>
      <c r="O709" s="12"/>
      <c r="P709" s="12"/>
      <c r="Q709" s="12"/>
      <c r="R709" s="12"/>
      <c r="S709" s="12"/>
    </row>
    <row r="710" spans="1:19" ht="14.25" customHeight="1" x14ac:dyDescent="0.2">
      <c r="A710" s="1" t="s">
        <v>95</v>
      </c>
      <c r="B710" s="7">
        <v>46088.195208333331</v>
      </c>
      <c r="C710" s="7">
        <v>46088.212939814817</v>
      </c>
      <c r="D710" s="8">
        <v>46088</v>
      </c>
      <c r="E710" s="9">
        <v>0.21293981481721858</v>
      </c>
      <c r="F710" s="10" t="s">
        <v>886</v>
      </c>
      <c r="G710" s="10" t="s">
        <v>21</v>
      </c>
      <c r="H710" s="10" t="s">
        <v>97</v>
      </c>
      <c r="I710" s="10" t="s">
        <v>23</v>
      </c>
      <c r="J710" s="11">
        <v>1.77</v>
      </c>
      <c r="K710" s="12"/>
      <c r="L710" s="12"/>
      <c r="M710" s="12"/>
      <c r="N710" s="12"/>
      <c r="O710" s="12"/>
      <c r="P710" s="12"/>
      <c r="Q710" s="12"/>
      <c r="R710" s="12"/>
      <c r="S710" s="12"/>
    </row>
    <row r="711" spans="1:19" ht="14.25" customHeight="1" x14ac:dyDescent="0.2">
      <c r="A711" s="1" t="s">
        <v>24</v>
      </c>
      <c r="B711" s="7">
        <v>46088.206921296296</v>
      </c>
      <c r="C711" s="7">
        <v>46088.226053240738</v>
      </c>
      <c r="D711" s="8">
        <v>46088</v>
      </c>
      <c r="E711" s="9">
        <v>0.22605324073811062</v>
      </c>
      <c r="F711" s="10" t="s">
        <v>887</v>
      </c>
      <c r="G711" s="10" t="s">
        <v>21</v>
      </c>
      <c r="H711" s="10" t="s">
        <v>22</v>
      </c>
      <c r="I711" s="10" t="s">
        <v>23</v>
      </c>
      <c r="J711" s="11">
        <v>0.83</v>
      </c>
      <c r="K711" s="12"/>
      <c r="L711" s="12"/>
      <c r="M711" s="12"/>
      <c r="N711" s="12"/>
      <c r="O711" s="12"/>
      <c r="P711" s="12"/>
      <c r="Q711" s="12"/>
      <c r="R711" s="12"/>
      <c r="S711" s="12"/>
    </row>
    <row r="712" spans="1:19" ht="14.25" customHeight="1" x14ac:dyDescent="0.2">
      <c r="A712" s="1" t="s">
        <v>24</v>
      </c>
      <c r="B712" s="7">
        <v>46088.206921296296</v>
      </c>
      <c r="C712" s="7">
        <v>46088.226284722223</v>
      </c>
      <c r="D712" s="8">
        <v>46088</v>
      </c>
      <c r="E712" s="9">
        <v>0.22628472222277196</v>
      </c>
      <c r="F712" s="10" t="s">
        <v>888</v>
      </c>
      <c r="G712" s="10" t="s">
        <v>21</v>
      </c>
      <c r="H712" s="10" t="s">
        <v>52</v>
      </c>
      <c r="I712" s="10" t="s">
        <v>23</v>
      </c>
      <c r="J712" s="11">
        <v>0.98</v>
      </c>
      <c r="K712" s="12"/>
      <c r="L712" s="12"/>
      <c r="M712" s="12"/>
      <c r="N712" s="12"/>
      <c r="O712" s="12"/>
      <c r="P712" s="12"/>
      <c r="Q712" s="12"/>
      <c r="R712" s="12"/>
      <c r="S712" s="12"/>
    </row>
    <row r="713" spans="1:19" ht="14.25" customHeight="1" x14ac:dyDescent="0.2">
      <c r="A713" s="1" t="s">
        <v>24</v>
      </c>
      <c r="B713" s="7">
        <v>46088.206921296296</v>
      </c>
      <c r="C713" s="7">
        <v>46088.230567129627</v>
      </c>
      <c r="D713" s="8">
        <v>46088</v>
      </c>
      <c r="E713" s="9">
        <v>0.23056712962716119</v>
      </c>
      <c r="F713" s="10" t="s">
        <v>889</v>
      </c>
      <c r="G713" s="10" t="s">
        <v>21</v>
      </c>
      <c r="H713" s="10" t="s">
        <v>281</v>
      </c>
      <c r="I713" s="10" t="s">
        <v>23</v>
      </c>
      <c r="J713" s="11">
        <v>2.5</v>
      </c>
      <c r="K713" s="12"/>
      <c r="L713" s="12"/>
      <c r="M713" s="12"/>
      <c r="N713" s="12"/>
      <c r="O713" s="12"/>
      <c r="P713" s="12"/>
      <c r="Q713" s="12"/>
      <c r="R713" s="12"/>
      <c r="S713" s="12"/>
    </row>
    <row r="714" spans="1:19" ht="14.25" customHeight="1" x14ac:dyDescent="0.2">
      <c r="A714" s="1" t="s">
        <v>95</v>
      </c>
      <c r="B714" s="7">
        <v>46088.214861111112</v>
      </c>
      <c r="C714" s="7">
        <v>46088.23846064815</v>
      </c>
      <c r="D714" s="8">
        <v>46088</v>
      </c>
      <c r="E714" s="9">
        <v>0.23846064815006685</v>
      </c>
      <c r="F714" s="10" t="s">
        <v>890</v>
      </c>
      <c r="G714" s="10" t="s">
        <v>44</v>
      </c>
      <c r="H714" s="10" t="s">
        <v>45</v>
      </c>
      <c r="I714" s="10" t="s">
        <v>23</v>
      </c>
      <c r="J714" s="11">
        <v>0.18</v>
      </c>
      <c r="K714" s="12"/>
      <c r="L714" s="12"/>
      <c r="M714" s="12"/>
      <c r="N714" s="12"/>
      <c r="O714" s="12"/>
      <c r="P714" s="12"/>
      <c r="Q714" s="12"/>
      <c r="R714" s="12"/>
      <c r="S714" s="12"/>
    </row>
    <row r="715" spans="1:19" ht="14.25" customHeight="1" x14ac:dyDescent="0.2">
      <c r="A715" s="1" t="s">
        <v>95</v>
      </c>
      <c r="B715" s="7">
        <v>46088.211168981485</v>
      </c>
      <c r="C715" s="7">
        <v>46088.238657407404</v>
      </c>
      <c r="D715" s="8">
        <v>46088</v>
      </c>
      <c r="E715" s="9">
        <v>0.23865740740438923</v>
      </c>
      <c r="F715" s="10" t="s">
        <v>891</v>
      </c>
      <c r="G715" s="10" t="s">
        <v>44</v>
      </c>
      <c r="H715" s="10" t="s">
        <v>892</v>
      </c>
      <c r="I715" s="10" t="s">
        <v>23</v>
      </c>
      <c r="J715" s="11">
        <v>0.18</v>
      </c>
      <c r="K715" s="12"/>
      <c r="L715" s="12"/>
      <c r="M715" s="12"/>
      <c r="N715" s="12"/>
      <c r="O715" s="12"/>
      <c r="P715" s="12"/>
      <c r="Q715" s="12"/>
      <c r="R715" s="12"/>
      <c r="S715" s="12"/>
    </row>
    <row r="716" spans="1:19" ht="14.25" customHeight="1" x14ac:dyDescent="0.2">
      <c r="A716" s="1" t="s">
        <v>42</v>
      </c>
      <c r="B716" s="7">
        <v>46088.211597222224</v>
      </c>
      <c r="C716" s="7">
        <v>46088.246180555558</v>
      </c>
      <c r="D716" s="8">
        <v>46088</v>
      </c>
      <c r="E716" s="9">
        <v>0.2461805555576575</v>
      </c>
      <c r="F716" s="10" t="s">
        <v>893</v>
      </c>
      <c r="G716" s="10" t="s">
        <v>44</v>
      </c>
      <c r="H716" s="10" t="s">
        <v>497</v>
      </c>
      <c r="I716" s="10" t="s">
        <v>23</v>
      </c>
      <c r="J716" s="11">
        <v>0.18</v>
      </c>
      <c r="K716" s="12"/>
      <c r="L716" s="12"/>
      <c r="M716" s="12"/>
      <c r="N716" s="12"/>
      <c r="O716" s="12"/>
      <c r="P716" s="12"/>
      <c r="Q716" s="12"/>
      <c r="R716" s="12"/>
      <c r="S716" s="12"/>
    </row>
    <row r="717" spans="1:19" ht="14.25" customHeight="1" x14ac:dyDescent="0.2">
      <c r="A717" s="1" t="s">
        <v>33</v>
      </c>
      <c r="B717" s="7">
        <v>46088.238692129627</v>
      </c>
      <c r="C717" s="7">
        <v>46088.246458333335</v>
      </c>
      <c r="D717" s="8">
        <v>46088</v>
      </c>
      <c r="E717" s="9">
        <v>0.24645833333488554</v>
      </c>
      <c r="F717" s="10" t="s">
        <v>894</v>
      </c>
      <c r="G717" s="10" t="s">
        <v>21</v>
      </c>
      <c r="H717" s="10" t="s">
        <v>22</v>
      </c>
      <c r="I717" s="10" t="s">
        <v>23</v>
      </c>
      <c r="J717" s="11">
        <v>0.83</v>
      </c>
      <c r="K717" s="12"/>
      <c r="L717" s="12"/>
      <c r="M717" s="12"/>
      <c r="N717" s="12"/>
      <c r="O717" s="12"/>
      <c r="P717" s="12"/>
      <c r="Q717" s="12"/>
      <c r="R717" s="12"/>
      <c r="S717" s="12"/>
    </row>
    <row r="718" spans="1:19" ht="14.25" customHeight="1" x14ac:dyDescent="0.2">
      <c r="A718" s="1" t="s">
        <v>112</v>
      </c>
      <c r="B718" s="7">
        <v>46088.239224537036</v>
      </c>
      <c r="C718" s="7">
        <v>46088.250173611108</v>
      </c>
      <c r="D718" s="8">
        <v>46088</v>
      </c>
      <c r="E718" s="9">
        <v>0.25017361110803904</v>
      </c>
      <c r="F718" s="10" t="s">
        <v>895</v>
      </c>
      <c r="G718" s="10" t="s">
        <v>21</v>
      </c>
      <c r="H718" s="10" t="s">
        <v>114</v>
      </c>
      <c r="I718" s="10" t="s">
        <v>23</v>
      </c>
      <c r="J718" s="11">
        <v>1.7</v>
      </c>
      <c r="K718" s="12"/>
      <c r="L718" s="12"/>
      <c r="M718" s="12"/>
      <c r="N718" s="12"/>
      <c r="O718" s="12"/>
      <c r="P718" s="12"/>
      <c r="Q718" s="12"/>
      <c r="R718" s="12"/>
      <c r="S718" s="12"/>
    </row>
    <row r="719" spans="1:19" ht="14.25" customHeight="1" x14ac:dyDescent="0.2">
      <c r="A719" s="1" t="s">
        <v>33</v>
      </c>
      <c r="B719" s="7">
        <v>46088.873541666668</v>
      </c>
      <c r="C719" s="7">
        <v>46088.882314814815</v>
      </c>
      <c r="D719" s="8">
        <v>46088</v>
      </c>
      <c r="E719" s="9">
        <v>0.88231481481489027</v>
      </c>
      <c r="F719" s="10" t="s">
        <v>896</v>
      </c>
      <c r="G719" s="10" t="s">
        <v>21</v>
      </c>
      <c r="H719" s="10" t="s">
        <v>71</v>
      </c>
      <c r="I719" s="10" t="s">
        <v>23</v>
      </c>
      <c r="J719" s="11">
        <v>1.05</v>
      </c>
      <c r="K719" s="12">
        <f>SUM(J719:J785)</f>
        <v>78.819999999999951</v>
      </c>
      <c r="L719" s="12">
        <f>SUM(J719:J728)</f>
        <v>13.239999999999998</v>
      </c>
      <c r="M719" s="13">
        <f>L719*65</f>
        <v>860.59999999999991</v>
      </c>
      <c r="N719" s="14">
        <f>MAX(500,M719)</f>
        <v>860.59999999999991</v>
      </c>
      <c r="O719" s="12"/>
      <c r="P719" s="12"/>
      <c r="Q719" s="12"/>
      <c r="R719" s="12"/>
      <c r="S719" s="12"/>
    </row>
    <row r="720" spans="1:19" ht="14.25" customHeight="1" x14ac:dyDescent="0.2">
      <c r="A720" s="1" t="s">
        <v>24</v>
      </c>
      <c r="B720" s="7">
        <v>46088.874814814815</v>
      </c>
      <c r="C720" s="7">
        <v>46088.88957175926</v>
      </c>
      <c r="D720" s="8">
        <v>46088</v>
      </c>
      <c r="E720" s="9">
        <v>0.88957175926043419</v>
      </c>
      <c r="F720" s="10" t="s">
        <v>897</v>
      </c>
      <c r="G720" s="10" t="s">
        <v>26</v>
      </c>
      <c r="H720" s="10" t="s">
        <v>202</v>
      </c>
      <c r="I720" s="10" t="s">
        <v>23</v>
      </c>
      <c r="J720" s="11">
        <v>0.57999999999999996</v>
      </c>
      <c r="K720" s="12"/>
      <c r="L720" s="12"/>
      <c r="M720" s="12"/>
      <c r="N720" s="12"/>
      <c r="O720" s="12"/>
      <c r="P720" s="12"/>
      <c r="Q720" s="12"/>
      <c r="R720" s="12"/>
      <c r="S720" s="12"/>
    </row>
    <row r="721" spans="1:19" ht="14.25" customHeight="1" x14ac:dyDescent="0.2">
      <c r="A721" s="1" t="s">
        <v>19</v>
      </c>
      <c r="B721" s="7">
        <v>46088.880543981482</v>
      </c>
      <c r="C721" s="7">
        <v>46088.889791666668</v>
      </c>
      <c r="D721" s="8">
        <v>46088</v>
      </c>
      <c r="E721" s="9">
        <v>0.88979166666831588</v>
      </c>
      <c r="F721" s="10" t="s">
        <v>898</v>
      </c>
      <c r="G721" s="10" t="s">
        <v>21</v>
      </c>
      <c r="H721" s="10" t="s">
        <v>22</v>
      </c>
      <c r="I721" s="10" t="s">
        <v>23</v>
      </c>
      <c r="J721" s="11">
        <v>0.83</v>
      </c>
      <c r="K721" s="12"/>
      <c r="L721" s="12"/>
      <c r="M721" s="12"/>
      <c r="N721" s="12"/>
      <c r="O721" s="12"/>
      <c r="P721" s="12"/>
      <c r="Q721" s="12"/>
      <c r="R721" s="12"/>
      <c r="S721" s="12"/>
    </row>
    <row r="722" spans="1:19" ht="14.25" customHeight="1" x14ac:dyDescent="0.2">
      <c r="A722" s="1" t="s">
        <v>57</v>
      </c>
      <c r="B722" s="7">
        <v>46088.867905092593</v>
      </c>
      <c r="C722" s="7">
        <v>46088.893530092595</v>
      </c>
      <c r="D722" s="8">
        <v>46088</v>
      </c>
      <c r="E722" s="9">
        <v>0.89353009259502869</v>
      </c>
      <c r="F722" s="10" t="s">
        <v>899</v>
      </c>
      <c r="G722" s="10" t="s">
        <v>21</v>
      </c>
      <c r="H722" s="10" t="s">
        <v>303</v>
      </c>
      <c r="I722" s="10" t="s">
        <v>23</v>
      </c>
      <c r="J722" s="11">
        <v>1.77</v>
      </c>
      <c r="K722" s="12"/>
      <c r="L722" s="12"/>
      <c r="M722" s="12"/>
      <c r="N722" s="12"/>
      <c r="O722" s="12"/>
      <c r="P722" s="12"/>
      <c r="Q722" s="12"/>
      <c r="R722" s="12"/>
      <c r="S722" s="12"/>
    </row>
    <row r="723" spans="1:19" ht="14.25" customHeight="1" x14ac:dyDescent="0.2">
      <c r="A723" s="1" t="s">
        <v>28</v>
      </c>
      <c r="B723" s="7">
        <v>46088.886504629627</v>
      </c>
      <c r="C723" s="7">
        <v>46088.899039351854</v>
      </c>
      <c r="D723" s="8">
        <v>46088</v>
      </c>
      <c r="E723" s="9">
        <v>0.89903935185429873</v>
      </c>
      <c r="F723" s="10" t="s">
        <v>900</v>
      </c>
      <c r="G723" s="10" t="s">
        <v>21</v>
      </c>
      <c r="H723" s="10" t="s">
        <v>101</v>
      </c>
      <c r="I723" s="10" t="s">
        <v>23</v>
      </c>
      <c r="J723" s="11">
        <v>1.7</v>
      </c>
      <c r="K723" s="12"/>
      <c r="L723" s="12"/>
      <c r="M723" s="12"/>
      <c r="N723" s="12"/>
      <c r="O723" s="12"/>
      <c r="P723" s="12"/>
      <c r="Q723" s="12"/>
      <c r="R723" s="12"/>
      <c r="S723" s="12"/>
    </row>
    <row r="724" spans="1:19" ht="14.25" customHeight="1" x14ac:dyDescent="0.2">
      <c r="A724" s="1" t="s">
        <v>42</v>
      </c>
      <c r="B724" s="7">
        <v>46088.87091435185</v>
      </c>
      <c r="C724" s="7">
        <v>46088.900138888886</v>
      </c>
      <c r="D724" s="8">
        <v>46088</v>
      </c>
      <c r="E724" s="9">
        <v>0.90013888888643123</v>
      </c>
      <c r="F724" s="10" t="s">
        <v>901</v>
      </c>
      <c r="G724" s="10" t="s">
        <v>26</v>
      </c>
      <c r="H724" s="10" t="s">
        <v>56</v>
      </c>
      <c r="I724" s="10" t="s">
        <v>23</v>
      </c>
      <c r="J724" s="11">
        <v>0.73</v>
      </c>
      <c r="K724" s="12"/>
      <c r="L724" s="12"/>
      <c r="M724" s="12"/>
      <c r="N724" s="12"/>
      <c r="O724" s="12"/>
      <c r="P724" s="12"/>
      <c r="Q724" s="12"/>
      <c r="R724" s="12"/>
      <c r="S724" s="12"/>
    </row>
    <row r="725" spans="1:19" ht="14.25" customHeight="1" x14ac:dyDescent="0.2">
      <c r="A725" s="1" t="s">
        <v>24</v>
      </c>
      <c r="B725" s="7">
        <v>46088.848726851851</v>
      </c>
      <c r="C725" s="7">
        <v>46088.904270833336</v>
      </c>
      <c r="D725" s="8">
        <v>46088</v>
      </c>
      <c r="E725" s="9">
        <v>0.90427083333634073</v>
      </c>
      <c r="F725" s="10" t="s">
        <v>902</v>
      </c>
      <c r="G725" s="10" t="s">
        <v>21</v>
      </c>
      <c r="H725" s="10" t="s">
        <v>268</v>
      </c>
      <c r="I725" s="10" t="s">
        <v>23</v>
      </c>
      <c r="J725" s="11">
        <v>1.35</v>
      </c>
      <c r="K725" s="12"/>
      <c r="L725" s="12"/>
      <c r="M725" s="12"/>
      <c r="N725" s="12"/>
      <c r="O725" s="12"/>
      <c r="P725" s="12"/>
      <c r="Q725" s="12"/>
      <c r="R725" s="12"/>
      <c r="S725" s="12"/>
    </row>
    <row r="726" spans="1:19" ht="14.25" customHeight="1" x14ac:dyDescent="0.2">
      <c r="A726" s="1" t="s">
        <v>42</v>
      </c>
      <c r="B726" s="7">
        <v>46088.89702546296</v>
      </c>
      <c r="C726" s="7">
        <v>46088.905057870368</v>
      </c>
      <c r="D726" s="8">
        <v>46088</v>
      </c>
      <c r="E726" s="9">
        <v>0.90505787036818219</v>
      </c>
      <c r="F726" s="10" t="s">
        <v>903</v>
      </c>
      <c r="G726" s="10" t="s">
        <v>21</v>
      </c>
      <c r="H726" s="10" t="s">
        <v>108</v>
      </c>
      <c r="I726" s="10" t="s">
        <v>23</v>
      </c>
      <c r="J726" s="11">
        <v>1.7</v>
      </c>
      <c r="K726" s="12"/>
      <c r="L726" s="12"/>
      <c r="M726" s="12"/>
      <c r="N726" s="12"/>
      <c r="O726" s="12"/>
      <c r="P726" s="12"/>
      <c r="Q726" s="12"/>
      <c r="R726" s="12"/>
      <c r="S726" s="12"/>
    </row>
    <row r="727" spans="1:19" ht="14.25" customHeight="1" x14ac:dyDescent="0.2">
      <c r="A727" s="1" t="s">
        <v>24</v>
      </c>
      <c r="B727" s="7">
        <v>46088.87736111111</v>
      </c>
      <c r="C727" s="7">
        <v>46088.907858796294</v>
      </c>
      <c r="D727" s="8">
        <v>46088</v>
      </c>
      <c r="E727" s="9">
        <v>0.90785879629402189</v>
      </c>
      <c r="F727" s="10" t="s">
        <v>904</v>
      </c>
      <c r="G727" s="10" t="s">
        <v>21</v>
      </c>
      <c r="H727" s="10" t="s">
        <v>662</v>
      </c>
      <c r="I727" s="10" t="s">
        <v>23</v>
      </c>
      <c r="J727" s="11">
        <v>1.76</v>
      </c>
      <c r="K727" s="12"/>
      <c r="L727" s="12"/>
      <c r="M727" s="12"/>
      <c r="N727" s="12"/>
      <c r="O727" s="12"/>
      <c r="P727" s="12"/>
      <c r="Q727" s="12"/>
      <c r="R727" s="12"/>
      <c r="S727" s="12"/>
    </row>
    <row r="728" spans="1:19" ht="14.25" customHeight="1" x14ac:dyDescent="0.2">
      <c r="A728" s="1" t="s">
        <v>33</v>
      </c>
      <c r="B728" s="7">
        <v>46088.897905092592</v>
      </c>
      <c r="C728" s="7">
        <v>46088.911724537036</v>
      </c>
      <c r="D728" s="8">
        <v>46088</v>
      </c>
      <c r="E728" s="9">
        <v>0.91172453703620704</v>
      </c>
      <c r="F728" s="10" t="s">
        <v>905</v>
      </c>
      <c r="G728" s="10" t="s">
        <v>21</v>
      </c>
      <c r="H728" s="10" t="s">
        <v>41</v>
      </c>
      <c r="I728" s="10" t="s">
        <v>23</v>
      </c>
      <c r="J728" s="11">
        <v>1.77</v>
      </c>
      <c r="K728" s="12"/>
      <c r="L728" s="12"/>
      <c r="M728" s="12"/>
      <c r="N728" s="12"/>
      <c r="O728" s="12"/>
      <c r="P728" s="12"/>
      <c r="Q728" s="12"/>
      <c r="R728" s="12"/>
      <c r="S728" s="12"/>
    </row>
    <row r="729" spans="1:19" ht="14.25" customHeight="1" x14ac:dyDescent="0.2">
      <c r="A729" s="1" t="s">
        <v>33</v>
      </c>
      <c r="B729" s="7">
        <v>46088.907569444447</v>
      </c>
      <c r="C729" s="7">
        <v>46088.918217592596</v>
      </c>
      <c r="D729" s="8">
        <v>46088</v>
      </c>
      <c r="E729" s="9">
        <v>0.91821759259619284</v>
      </c>
      <c r="F729" s="10" t="s">
        <v>906</v>
      </c>
      <c r="G729" s="10" t="s">
        <v>21</v>
      </c>
      <c r="H729" s="10" t="s">
        <v>31</v>
      </c>
      <c r="I729" s="10" t="s">
        <v>23</v>
      </c>
      <c r="J729" s="11">
        <v>0.98</v>
      </c>
      <c r="K729" s="12"/>
      <c r="L729" s="12">
        <f>SUM(J729:J738)</f>
        <v>11.12</v>
      </c>
      <c r="M729" s="13">
        <f>L729*65</f>
        <v>722.8</v>
      </c>
      <c r="N729" s="14">
        <f>MAX(500,M729)</f>
        <v>722.8</v>
      </c>
      <c r="O729" s="12"/>
      <c r="P729" s="12"/>
      <c r="Q729" s="12"/>
      <c r="R729" s="12"/>
      <c r="S729" s="12"/>
    </row>
    <row r="730" spans="1:19" ht="14.25" customHeight="1" x14ac:dyDescent="0.2">
      <c r="A730" s="1" t="s">
        <v>28</v>
      </c>
      <c r="B730" s="7">
        <v>46088.917141203703</v>
      </c>
      <c r="C730" s="7">
        <v>46088.927604166667</v>
      </c>
      <c r="D730" s="8">
        <v>46088</v>
      </c>
      <c r="E730" s="9">
        <v>0.92760416666715173</v>
      </c>
      <c r="F730" s="10" t="s">
        <v>907</v>
      </c>
      <c r="G730" s="10" t="s">
        <v>21</v>
      </c>
      <c r="H730" s="10" t="s">
        <v>22</v>
      </c>
      <c r="I730" s="10" t="s">
        <v>23</v>
      </c>
      <c r="J730" s="11">
        <v>0.83</v>
      </c>
      <c r="K730" s="12"/>
      <c r="L730" s="12"/>
      <c r="M730" s="12"/>
      <c r="N730" s="12"/>
      <c r="O730" s="12"/>
      <c r="P730" s="12"/>
      <c r="Q730" s="12"/>
      <c r="R730" s="12"/>
      <c r="S730" s="12"/>
    </row>
    <row r="731" spans="1:19" ht="14.25" customHeight="1" x14ac:dyDescent="0.2">
      <c r="A731" s="1" t="s">
        <v>24</v>
      </c>
      <c r="B731" s="7">
        <v>46088.913298611114</v>
      </c>
      <c r="C731" s="7">
        <v>46088.928055555552</v>
      </c>
      <c r="D731" s="8">
        <v>46088</v>
      </c>
      <c r="E731" s="9">
        <v>0.92805555555241881</v>
      </c>
      <c r="F731" s="10" t="s">
        <v>908</v>
      </c>
      <c r="G731" s="10" t="s">
        <v>21</v>
      </c>
      <c r="H731" s="10" t="s">
        <v>22</v>
      </c>
      <c r="I731" s="10" t="s">
        <v>23</v>
      </c>
      <c r="J731" s="11">
        <v>0.83</v>
      </c>
      <c r="K731" s="12"/>
      <c r="L731" s="12"/>
      <c r="M731" s="12"/>
      <c r="N731" s="12"/>
      <c r="O731" s="12"/>
      <c r="P731" s="12"/>
      <c r="Q731" s="12"/>
      <c r="R731" s="12"/>
      <c r="S731" s="12"/>
    </row>
    <row r="732" spans="1:19" ht="14.25" customHeight="1" x14ac:dyDescent="0.2">
      <c r="A732" s="1" t="s">
        <v>19</v>
      </c>
      <c r="B732" s="7">
        <v>46088.91815972222</v>
      </c>
      <c r="C732" s="7">
        <v>46088.930185185185</v>
      </c>
      <c r="D732" s="8">
        <v>46088</v>
      </c>
      <c r="E732" s="9">
        <v>0.93018518518510973</v>
      </c>
      <c r="F732" s="10" t="s">
        <v>909</v>
      </c>
      <c r="G732" s="10" t="s">
        <v>21</v>
      </c>
      <c r="H732" s="10" t="s">
        <v>41</v>
      </c>
      <c r="I732" s="10" t="s">
        <v>23</v>
      </c>
      <c r="J732" s="11">
        <v>1.77</v>
      </c>
      <c r="K732" s="12"/>
      <c r="L732" s="12"/>
      <c r="M732" s="12"/>
      <c r="N732" s="12"/>
      <c r="O732" s="12"/>
      <c r="P732" s="12"/>
      <c r="Q732" s="12"/>
      <c r="R732" s="12"/>
      <c r="S732" s="12"/>
    </row>
    <row r="733" spans="1:19" ht="14.25" customHeight="1" x14ac:dyDescent="0.2">
      <c r="A733" s="1" t="s">
        <v>24</v>
      </c>
      <c r="B733" s="7">
        <v>46088.907071759262</v>
      </c>
      <c r="C733" s="7">
        <v>46088.93172453704</v>
      </c>
      <c r="D733" s="8">
        <v>46088</v>
      </c>
      <c r="E733" s="9">
        <v>0.93172453704028158</v>
      </c>
      <c r="F733" s="10" t="s">
        <v>910</v>
      </c>
      <c r="G733" s="10" t="s">
        <v>21</v>
      </c>
      <c r="H733" s="10" t="s">
        <v>39</v>
      </c>
      <c r="I733" s="10" t="s">
        <v>23</v>
      </c>
      <c r="J733" s="11">
        <v>1.77</v>
      </c>
      <c r="K733" s="12"/>
      <c r="L733" s="12"/>
      <c r="M733" s="12"/>
      <c r="N733" s="12"/>
      <c r="O733" s="12"/>
      <c r="P733" s="12"/>
      <c r="Q733" s="12"/>
      <c r="R733" s="12"/>
      <c r="S733" s="12"/>
    </row>
    <row r="734" spans="1:19" ht="14.25" customHeight="1" x14ac:dyDescent="0.2">
      <c r="A734" s="1" t="s">
        <v>19</v>
      </c>
      <c r="B734" s="7">
        <v>46088.930763888886</v>
      </c>
      <c r="C734" s="7">
        <v>46088.942546296297</v>
      </c>
      <c r="D734" s="8">
        <v>46088</v>
      </c>
      <c r="E734" s="9">
        <v>0.94254629629722331</v>
      </c>
      <c r="F734" s="10" t="s">
        <v>911</v>
      </c>
      <c r="G734" s="10" t="s">
        <v>21</v>
      </c>
      <c r="H734" s="10" t="s">
        <v>41</v>
      </c>
      <c r="I734" s="10" t="s">
        <v>23</v>
      </c>
      <c r="J734" s="11">
        <v>1.77</v>
      </c>
      <c r="K734" s="12"/>
      <c r="L734" s="12"/>
      <c r="M734" s="12"/>
      <c r="N734" s="12"/>
      <c r="O734" s="12"/>
      <c r="P734" s="12"/>
      <c r="Q734" s="12"/>
      <c r="R734" s="12"/>
      <c r="S734" s="12"/>
    </row>
    <row r="735" spans="1:19" ht="14.25" customHeight="1" x14ac:dyDescent="0.2">
      <c r="A735" s="1" t="s">
        <v>57</v>
      </c>
      <c r="B735" s="7">
        <v>46088.919641203705</v>
      </c>
      <c r="C735" s="7">
        <v>46088.943483796298</v>
      </c>
      <c r="D735" s="8">
        <v>46088</v>
      </c>
      <c r="E735" s="9">
        <v>0.94348379629809642</v>
      </c>
      <c r="F735" s="10" t="s">
        <v>912</v>
      </c>
      <c r="G735" s="10" t="s">
        <v>21</v>
      </c>
      <c r="H735" s="10" t="s">
        <v>913</v>
      </c>
      <c r="I735" s="10" t="s">
        <v>23</v>
      </c>
      <c r="J735" s="11">
        <v>0.83</v>
      </c>
      <c r="K735" s="12"/>
      <c r="L735" s="12"/>
      <c r="M735" s="12"/>
      <c r="N735" s="12"/>
      <c r="O735" s="12"/>
      <c r="P735" s="12"/>
      <c r="Q735" s="12"/>
      <c r="R735" s="12"/>
      <c r="S735" s="12"/>
    </row>
    <row r="736" spans="1:19" ht="14.25" customHeight="1" x14ac:dyDescent="0.2">
      <c r="A736" s="1" t="s">
        <v>24</v>
      </c>
      <c r="B736" s="7">
        <v>46088.942418981482</v>
      </c>
      <c r="C736" s="7">
        <v>46088.954814814817</v>
      </c>
      <c r="D736" s="8">
        <v>46088</v>
      </c>
      <c r="E736" s="9">
        <v>0.95481481481692754</v>
      </c>
      <c r="F736" s="10" t="s">
        <v>914</v>
      </c>
      <c r="G736" s="10" t="s">
        <v>21</v>
      </c>
      <c r="H736" s="10" t="s">
        <v>22</v>
      </c>
      <c r="I736" s="10" t="s">
        <v>23</v>
      </c>
      <c r="J736" s="11">
        <v>0.83</v>
      </c>
      <c r="K736" s="12"/>
      <c r="L736" s="12"/>
      <c r="M736" s="12"/>
      <c r="N736" s="12"/>
      <c r="O736" s="12"/>
      <c r="P736" s="12"/>
      <c r="Q736" s="12"/>
      <c r="R736" s="12"/>
      <c r="S736" s="12"/>
    </row>
    <row r="737" spans="1:19" ht="14.25" customHeight="1" x14ac:dyDescent="0.2">
      <c r="A737" s="1" t="s">
        <v>19</v>
      </c>
      <c r="B737" s="7">
        <v>46088.946979166663</v>
      </c>
      <c r="C737" s="7">
        <v>46088.955335648148</v>
      </c>
      <c r="D737" s="8">
        <v>46088</v>
      </c>
      <c r="E737" s="9">
        <v>0.95533564814832062</v>
      </c>
      <c r="F737" s="10" t="s">
        <v>915</v>
      </c>
      <c r="G737" s="10" t="s">
        <v>21</v>
      </c>
      <c r="H737" s="10" t="s">
        <v>22</v>
      </c>
      <c r="I737" s="10" t="s">
        <v>23</v>
      </c>
      <c r="J737" s="11">
        <v>0.83</v>
      </c>
      <c r="K737" s="12"/>
      <c r="L737" s="12"/>
      <c r="M737" s="12"/>
      <c r="N737" s="12"/>
      <c r="O737" s="12"/>
      <c r="P737" s="12"/>
      <c r="Q737" s="12"/>
      <c r="R737" s="12"/>
      <c r="S737" s="12"/>
    </row>
    <row r="738" spans="1:19" ht="14.25" customHeight="1" x14ac:dyDescent="0.2">
      <c r="A738" s="1" t="s">
        <v>24</v>
      </c>
      <c r="B738" s="7">
        <v>46088.93577546296</v>
      </c>
      <c r="C738" s="7">
        <v>46088.955520833333</v>
      </c>
      <c r="D738" s="8">
        <v>46088</v>
      </c>
      <c r="E738" s="9">
        <v>0.95552083333313931</v>
      </c>
      <c r="F738" s="10" t="s">
        <v>916</v>
      </c>
      <c r="G738" s="10" t="s">
        <v>26</v>
      </c>
      <c r="H738" s="10" t="s">
        <v>27</v>
      </c>
      <c r="I738" s="10" t="s">
        <v>23</v>
      </c>
      <c r="J738" s="11">
        <v>0.68</v>
      </c>
      <c r="K738" s="12"/>
      <c r="L738" s="12"/>
      <c r="M738" s="12"/>
      <c r="N738" s="12"/>
      <c r="O738" s="12"/>
      <c r="P738" s="12"/>
      <c r="Q738" s="12"/>
      <c r="R738" s="12"/>
      <c r="S738" s="12"/>
    </row>
    <row r="739" spans="1:19" ht="14.25" customHeight="1" x14ac:dyDescent="0.2">
      <c r="A739" s="1" t="s">
        <v>33</v>
      </c>
      <c r="B739" s="7">
        <v>46088.937060185184</v>
      </c>
      <c r="C739" s="7">
        <v>46088.959062499998</v>
      </c>
      <c r="D739" s="8">
        <v>46088</v>
      </c>
      <c r="E739" s="9">
        <v>0.95906249999825377</v>
      </c>
      <c r="F739" s="10" t="s">
        <v>917</v>
      </c>
      <c r="G739" s="10" t="s">
        <v>21</v>
      </c>
      <c r="H739" s="10" t="s">
        <v>22</v>
      </c>
      <c r="I739" s="10" t="s">
        <v>23</v>
      </c>
      <c r="J739" s="11">
        <v>0.83</v>
      </c>
      <c r="K739" s="12"/>
      <c r="L739" s="12">
        <f>SUM(J739:J758)</f>
        <v>24.489999999999995</v>
      </c>
      <c r="M739" s="13">
        <f>L739*65</f>
        <v>1591.8499999999997</v>
      </c>
      <c r="N739" s="14">
        <f>MAX(500,M739)</f>
        <v>1591.8499999999997</v>
      </c>
      <c r="O739" s="12"/>
      <c r="P739" s="12"/>
      <c r="Q739" s="12"/>
      <c r="R739" s="12"/>
      <c r="S739" s="12"/>
    </row>
    <row r="740" spans="1:19" ht="14.25" customHeight="1" x14ac:dyDescent="0.2">
      <c r="A740" s="1" t="s">
        <v>33</v>
      </c>
      <c r="B740" s="7">
        <v>46088.937060185184</v>
      </c>
      <c r="C740" s="7">
        <v>46088.959293981483</v>
      </c>
      <c r="D740" s="8">
        <v>46088</v>
      </c>
      <c r="E740" s="9">
        <v>0.95929398148291511</v>
      </c>
      <c r="F740" s="10" t="s">
        <v>918</v>
      </c>
      <c r="G740" s="10" t="s">
        <v>21</v>
      </c>
      <c r="H740" s="10" t="s">
        <v>52</v>
      </c>
      <c r="I740" s="10" t="s">
        <v>23</v>
      </c>
      <c r="J740" s="11">
        <v>0.98</v>
      </c>
      <c r="K740" s="12"/>
      <c r="L740" s="12"/>
      <c r="M740" s="12"/>
      <c r="N740" s="12"/>
      <c r="O740" s="12"/>
      <c r="P740" s="12"/>
      <c r="Q740" s="12"/>
      <c r="R740" s="12"/>
      <c r="S740" s="12"/>
    </row>
    <row r="741" spans="1:19" ht="14.25" customHeight="1" x14ac:dyDescent="0.2">
      <c r="A741" s="1" t="s">
        <v>33</v>
      </c>
      <c r="B741" s="7">
        <v>46088.937060185184</v>
      </c>
      <c r="C741" s="7">
        <v>46088.959583333337</v>
      </c>
      <c r="D741" s="8">
        <v>46088</v>
      </c>
      <c r="E741" s="9">
        <v>0.95958333333692281</v>
      </c>
      <c r="F741" s="10" t="s">
        <v>919</v>
      </c>
      <c r="G741" s="10" t="s">
        <v>21</v>
      </c>
      <c r="H741" s="10" t="s">
        <v>216</v>
      </c>
      <c r="I741" s="10" t="s">
        <v>23</v>
      </c>
      <c r="J741" s="11">
        <v>0.98</v>
      </c>
      <c r="K741" s="12"/>
      <c r="L741" s="12"/>
      <c r="M741" s="12"/>
      <c r="N741" s="12"/>
      <c r="O741" s="12"/>
      <c r="P741" s="12"/>
      <c r="Q741" s="12"/>
      <c r="R741" s="12"/>
      <c r="S741" s="12"/>
    </row>
    <row r="742" spans="1:19" ht="14.25" customHeight="1" x14ac:dyDescent="0.2">
      <c r="A742" s="1" t="s">
        <v>24</v>
      </c>
      <c r="B742" s="7">
        <v>46088.9455787037</v>
      </c>
      <c r="C742" s="7">
        <v>46088.960312499999</v>
      </c>
      <c r="D742" s="8">
        <v>46088</v>
      </c>
      <c r="E742" s="9">
        <v>0.96031249999941792</v>
      </c>
      <c r="F742" s="10" t="s">
        <v>920</v>
      </c>
      <c r="G742" s="10" t="s">
        <v>21</v>
      </c>
      <c r="H742" s="10" t="s">
        <v>248</v>
      </c>
      <c r="I742" s="10" t="s">
        <v>23</v>
      </c>
      <c r="J742" s="11">
        <v>2.15</v>
      </c>
      <c r="K742" s="12"/>
      <c r="L742" s="12"/>
      <c r="M742" s="12"/>
      <c r="N742" s="12"/>
      <c r="O742" s="12"/>
      <c r="P742" s="12"/>
      <c r="Q742" s="12"/>
      <c r="R742" s="12"/>
      <c r="S742" s="12"/>
    </row>
    <row r="743" spans="1:19" ht="14.25" customHeight="1" x14ac:dyDescent="0.2">
      <c r="A743" s="1" t="s">
        <v>42</v>
      </c>
      <c r="B743" s="7">
        <v>46088.95453703704</v>
      </c>
      <c r="C743" s="7">
        <v>46088.964780092596</v>
      </c>
      <c r="D743" s="8">
        <v>46088</v>
      </c>
      <c r="E743" s="9">
        <v>0.96478009259590181</v>
      </c>
      <c r="F743" s="10" t="s">
        <v>921</v>
      </c>
      <c r="G743" s="10" t="s">
        <v>21</v>
      </c>
      <c r="H743" s="10" t="s">
        <v>97</v>
      </c>
      <c r="I743" s="10" t="s">
        <v>23</v>
      </c>
      <c r="J743" s="11">
        <v>1.77</v>
      </c>
      <c r="K743" s="12"/>
      <c r="L743" s="12"/>
      <c r="M743" s="12"/>
      <c r="N743" s="12"/>
      <c r="O743" s="12"/>
      <c r="P743" s="12"/>
      <c r="Q743" s="12"/>
      <c r="R743" s="12"/>
      <c r="S743" s="12"/>
    </row>
    <row r="744" spans="1:19" ht="14.25" customHeight="1" x14ac:dyDescent="0.2">
      <c r="A744" s="1" t="s">
        <v>42</v>
      </c>
      <c r="B744" s="7">
        <v>46088.952719907407</v>
      </c>
      <c r="C744" s="7">
        <v>46088.965104166666</v>
      </c>
      <c r="D744" s="8">
        <v>46088</v>
      </c>
      <c r="E744" s="9">
        <v>0.96510416666569654</v>
      </c>
      <c r="F744" s="10" t="s">
        <v>922</v>
      </c>
      <c r="G744" s="10" t="s">
        <v>21</v>
      </c>
      <c r="H744" s="10" t="s">
        <v>227</v>
      </c>
      <c r="I744" s="10" t="s">
        <v>23</v>
      </c>
      <c r="J744" s="11">
        <v>0.83</v>
      </c>
      <c r="K744" s="12"/>
      <c r="L744" s="12"/>
      <c r="M744" s="12"/>
      <c r="N744" s="12"/>
      <c r="O744" s="12"/>
      <c r="P744" s="12"/>
      <c r="Q744" s="12"/>
      <c r="R744" s="12"/>
      <c r="S744" s="12"/>
    </row>
    <row r="745" spans="1:19" ht="14.25" customHeight="1" x14ac:dyDescent="0.2">
      <c r="A745" s="1" t="s">
        <v>95</v>
      </c>
      <c r="B745" s="7">
        <v>46088.961111111108</v>
      </c>
      <c r="C745" s="7">
        <v>46088.968472222223</v>
      </c>
      <c r="D745" s="8">
        <v>46088</v>
      </c>
      <c r="E745" s="9">
        <v>0.96847222222277196</v>
      </c>
      <c r="F745" s="10" t="s">
        <v>923</v>
      </c>
      <c r="G745" s="10" t="s">
        <v>21</v>
      </c>
      <c r="H745" s="10" t="s">
        <v>110</v>
      </c>
      <c r="I745" s="10" t="s">
        <v>23</v>
      </c>
      <c r="J745" s="11">
        <v>0.83</v>
      </c>
      <c r="K745" s="12"/>
      <c r="L745" s="12"/>
      <c r="M745" s="12"/>
      <c r="N745" s="12"/>
      <c r="O745" s="12"/>
      <c r="P745" s="12"/>
      <c r="Q745" s="12"/>
      <c r="R745" s="12"/>
      <c r="S745" s="12"/>
    </row>
    <row r="746" spans="1:19" ht="14.25" customHeight="1" x14ac:dyDescent="0.2">
      <c r="A746" s="1" t="s">
        <v>95</v>
      </c>
      <c r="B746" s="7">
        <v>46088.964178240742</v>
      </c>
      <c r="C746" s="7">
        <v>46088.968634259261</v>
      </c>
      <c r="D746" s="8">
        <v>46088</v>
      </c>
      <c r="E746" s="9">
        <v>0.96863425926130731</v>
      </c>
      <c r="F746" s="10" t="s">
        <v>924</v>
      </c>
      <c r="G746" s="10" t="s">
        <v>21</v>
      </c>
      <c r="H746" s="10" t="s">
        <v>52</v>
      </c>
      <c r="I746" s="10" t="s">
        <v>23</v>
      </c>
      <c r="J746" s="11">
        <v>0.98</v>
      </c>
      <c r="K746" s="12"/>
      <c r="L746" s="12"/>
      <c r="M746" s="12"/>
      <c r="N746" s="12"/>
      <c r="O746" s="12"/>
      <c r="P746" s="12"/>
      <c r="Q746" s="12"/>
      <c r="R746" s="12"/>
      <c r="S746" s="12"/>
    </row>
    <row r="747" spans="1:19" ht="14.25" customHeight="1" x14ac:dyDescent="0.2">
      <c r="A747" s="1" t="s">
        <v>19</v>
      </c>
      <c r="B747" s="7">
        <v>46088.958101851851</v>
      </c>
      <c r="C747" s="7">
        <v>46088.969525462962</v>
      </c>
      <c r="D747" s="8">
        <v>46088</v>
      </c>
      <c r="E747" s="9">
        <v>0.96952546296233777</v>
      </c>
      <c r="F747" s="10" t="s">
        <v>925</v>
      </c>
      <c r="G747" s="10" t="s">
        <v>21</v>
      </c>
      <c r="H747" s="10" t="s">
        <v>41</v>
      </c>
      <c r="I747" s="10" t="s">
        <v>23</v>
      </c>
      <c r="J747" s="11">
        <v>1.77</v>
      </c>
      <c r="K747" s="12"/>
      <c r="L747" s="12"/>
      <c r="M747" s="12"/>
      <c r="N747" s="12"/>
      <c r="O747" s="12"/>
      <c r="P747" s="12"/>
      <c r="Q747" s="12"/>
      <c r="R747" s="12"/>
      <c r="S747" s="12"/>
    </row>
    <row r="748" spans="1:19" ht="14.25" customHeight="1" x14ac:dyDescent="0.2">
      <c r="A748" s="1" t="s">
        <v>19</v>
      </c>
      <c r="B748" s="7">
        <v>46088.948692129627</v>
      </c>
      <c r="C748" s="7">
        <v>46088.970405092594</v>
      </c>
      <c r="D748" s="8">
        <v>46088</v>
      </c>
      <c r="E748" s="9">
        <v>0.97040509259386454</v>
      </c>
      <c r="F748" s="10" t="s">
        <v>926</v>
      </c>
      <c r="G748" s="10" t="s">
        <v>21</v>
      </c>
      <c r="H748" s="10" t="s">
        <v>41</v>
      </c>
      <c r="I748" s="10" t="s">
        <v>23</v>
      </c>
      <c r="J748" s="11">
        <v>1.77</v>
      </c>
      <c r="K748" s="12"/>
      <c r="L748" s="12"/>
      <c r="M748" s="12"/>
      <c r="N748" s="12"/>
      <c r="O748" s="12"/>
      <c r="P748" s="12"/>
      <c r="Q748" s="12"/>
      <c r="R748" s="12"/>
      <c r="S748" s="12"/>
    </row>
    <row r="749" spans="1:19" ht="14.25" customHeight="1" x14ac:dyDescent="0.2">
      <c r="A749" s="1" t="s">
        <v>28</v>
      </c>
      <c r="B749" s="7">
        <v>46088.955034722225</v>
      </c>
      <c r="C749" s="7">
        <v>46088.970671296294</v>
      </c>
      <c r="D749" s="8">
        <v>46088</v>
      </c>
      <c r="E749" s="9">
        <v>0.97067129629431292</v>
      </c>
      <c r="F749" s="10" t="s">
        <v>927</v>
      </c>
      <c r="G749" s="10" t="s">
        <v>21</v>
      </c>
      <c r="H749" s="10" t="s">
        <v>41</v>
      </c>
      <c r="I749" s="10" t="s">
        <v>23</v>
      </c>
      <c r="J749" s="11">
        <v>1.77</v>
      </c>
      <c r="K749" s="12"/>
      <c r="L749" s="12"/>
      <c r="M749" s="12"/>
      <c r="N749" s="12"/>
      <c r="O749" s="12"/>
      <c r="P749" s="12"/>
      <c r="Q749" s="12"/>
      <c r="R749" s="12"/>
      <c r="S749" s="12"/>
    </row>
    <row r="750" spans="1:19" ht="14.25" customHeight="1" x14ac:dyDescent="0.2">
      <c r="A750" s="1" t="s">
        <v>24</v>
      </c>
      <c r="B750" s="7">
        <v>46088.956736111111</v>
      </c>
      <c r="C750" s="7">
        <v>46088.971273148149</v>
      </c>
      <c r="D750" s="8">
        <v>46088</v>
      </c>
      <c r="E750" s="9">
        <v>0.97127314814861165</v>
      </c>
      <c r="F750" s="10" t="s">
        <v>928</v>
      </c>
      <c r="G750" s="10" t="s">
        <v>21</v>
      </c>
      <c r="H750" s="10" t="s">
        <v>41</v>
      </c>
      <c r="I750" s="10" t="s">
        <v>23</v>
      </c>
      <c r="J750" s="11">
        <v>1.77</v>
      </c>
      <c r="K750" s="12"/>
      <c r="L750" s="12"/>
      <c r="M750" s="12"/>
      <c r="N750" s="12"/>
      <c r="O750" s="12"/>
      <c r="P750" s="12"/>
      <c r="Q750" s="12"/>
      <c r="R750" s="12"/>
      <c r="S750" s="12"/>
    </row>
    <row r="751" spans="1:19" ht="14.25" customHeight="1" x14ac:dyDescent="0.2">
      <c r="A751" s="1" t="s">
        <v>33</v>
      </c>
      <c r="B751" s="7">
        <v>46088.957800925928</v>
      </c>
      <c r="C751" s="7">
        <v>46088.975578703707</v>
      </c>
      <c r="D751" s="8">
        <v>46088</v>
      </c>
      <c r="E751" s="9">
        <v>0.97557870370656019</v>
      </c>
      <c r="F751" s="10" t="s">
        <v>929</v>
      </c>
      <c r="G751" s="10" t="s">
        <v>21</v>
      </c>
      <c r="H751" s="10" t="s">
        <v>22</v>
      </c>
      <c r="I751" s="10" t="s">
        <v>23</v>
      </c>
      <c r="J751" s="11">
        <v>0.83</v>
      </c>
      <c r="K751" s="12"/>
      <c r="L751" s="12"/>
      <c r="M751" s="12"/>
      <c r="N751" s="12"/>
      <c r="O751" s="12"/>
      <c r="P751" s="12"/>
      <c r="Q751" s="12"/>
      <c r="R751" s="12"/>
      <c r="S751" s="12"/>
    </row>
    <row r="752" spans="1:19" ht="14.25" customHeight="1" x14ac:dyDescent="0.2">
      <c r="A752" s="1" t="s">
        <v>33</v>
      </c>
      <c r="B752" s="7">
        <v>46088.957800925928</v>
      </c>
      <c r="C752" s="7">
        <v>46088.975925925923</v>
      </c>
      <c r="D752" s="8">
        <v>46088</v>
      </c>
      <c r="E752" s="9">
        <v>0.97592592592263827</v>
      </c>
      <c r="F752" s="10" t="s">
        <v>930</v>
      </c>
      <c r="G752" s="10" t="s">
        <v>21</v>
      </c>
      <c r="H752" s="10" t="s">
        <v>931</v>
      </c>
      <c r="I752" s="10" t="s">
        <v>23</v>
      </c>
      <c r="J752" s="11">
        <v>1.71</v>
      </c>
      <c r="K752" s="12"/>
      <c r="L752" s="12"/>
      <c r="M752" s="12"/>
      <c r="N752" s="12"/>
      <c r="O752" s="12"/>
      <c r="P752" s="12"/>
      <c r="Q752" s="12"/>
      <c r="R752" s="12"/>
      <c r="S752" s="12"/>
    </row>
    <row r="753" spans="1:19" ht="14.25" customHeight="1" x14ac:dyDescent="0.2">
      <c r="A753" s="1" t="s">
        <v>19</v>
      </c>
      <c r="B753" s="7">
        <v>46088.974687499998</v>
      </c>
      <c r="C753" s="7">
        <v>46088.988171296296</v>
      </c>
      <c r="D753" s="8">
        <v>46088</v>
      </c>
      <c r="E753" s="9">
        <v>0.98817129629605915</v>
      </c>
      <c r="F753" s="10" t="s">
        <v>932</v>
      </c>
      <c r="G753" s="10" t="s">
        <v>21</v>
      </c>
      <c r="H753" s="10" t="s">
        <v>22</v>
      </c>
      <c r="I753" s="10" t="s">
        <v>23</v>
      </c>
      <c r="J753" s="11">
        <v>0.83</v>
      </c>
      <c r="K753" s="12"/>
      <c r="L753" s="12"/>
      <c r="M753" s="12"/>
      <c r="N753" s="12"/>
      <c r="O753" s="12"/>
      <c r="P753" s="12"/>
      <c r="Q753" s="12"/>
      <c r="R753" s="12"/>
      <c r="S753" s="12"/>
    </row>
    <row r="754" spans="1:19" ht="14.25" customHeight="1" x14ac:dyDescent="0.2">
      <c r="A754" s="1" t="s">
        <v>42</v>
      </c>
      <c r="B754" s="7">
        <v>46088.953784722224</v>
      </c>
      <c r="C754" s="7">
        <v>46088.990312499998</v>
      </c>
      <c r="D754" s="8">
        <v>46088</v>
      </c>
      <c r="E754" s="9">
        <v>0.99031249999825377</v>
      </c>
      <c r="F754" s="10" t="s">
        <v>933</v>
      </c>
      <c r="G754" s="10" t="s">
        <v>26</v>
      </c>
      <c r="H754" s="10" t="s">
        <v>56</v>
      </c>
      <c r="I754" s="10" t="s">
        <v>23</v>
      </c>
      <c r="J754" s="11">
        <v>0.73</v>
      </c>
      <c r="K754" s="12"/>
      <c r="L754" s="12"/>
      <c r="M754" s="12"/>
      <c r="N754" s="12"/>
      <c r="O754" s="12"/>
      <c r="P754" s="12"/>
      <c r="Q754" s="12"/>
      <c r="R754" s="12"/>
      <c r="S754" s="12"/>
    </row>
    <row r="755" spans="1:19" ht="14.25" customHeight="1" x14ac:dyDescent="0.2">
      <c r="A755" s="1" t="s">
        <v>42</v>
      </c>
      <c r="B755" s="7">
        <v>46088.948900462965</v>
      </c>
      <c r="C755" s="7">
        <v>46088.993483796294</v>
      </c>
      <c r="D755" s="8">
        <v>46088</v>
      </c>
      <c r="E755" s="9">
        <v>0.99348379629373085</v>
      </c>
      <c r="F755" s="10" t="s">
        <v>934</v>
      </c>
      <c r="G755" s="10" t="s">
        <v>26</v>
      </c>
      <c r="H755" s="10" t="s">
        <v>125</v>
      </c>
      <c r="I755" s="10" t="s">
        <v>23</v>
      </c>
      <c r="J755" s="11">
        <v>0.63</v>
      </c>
      <c r="K755" s="12"/>
      <c r="L755" s="12"/>
      <c r="M755" s="12"/>
      <c r="N755" s="12"/>
      <c r="O755" s="12"/>
      <c r="P755" s="12"/>
      <c r="Q755" s="12"/>
      <c r="R755" s="12"/>
      <c r="S755" s="12"/>
    </row>
    <row r="756" spans="1:19" ht="14.25" customHeight="1" x14ac:dyDescent="0.2">
      <c r="A756" s="1" t="s">
        <v>95</v>
      </c>
      <c r="B756" s="7">
        <v>46088.986678240741</v>
      </c>
      <c r="C756" s="7">
        <v>46088.993715277778</v>
      </c>
      <c r="D756" s="8">
        <v>46088</v>
      </c>
      <c r="E756" s="9">
        <v>0.99371527777839219</v>
      </c>
      <c r="F756" s="10" t="s">
        <v>935</v>
      </c>
      <c r="G756" s="10" t="s">
        <v>21</v>
      </c>
      <c r="H756" s="10" t="s">
        <v>110</v>
      </c>
      <c r="I756" s="10" t="s">
        <v>23</v>
      </c>
      <c r="J756" s="11">
        <v>0.83</v>
      </c>
      <c r="K756" s="12"/>
      <c r="L756" s="12"/>
      <c r="M756" s="12"/>
      <c r="N756" s="12"/>
      <c r="O756" s="12"/>
      <c r="P756" s="12"/>
      <c r="Q756" s="12"/>
      <c r="R756" s="12"/>
      <c r="S756" s="12"/>
    </row>
    <row r="757" spans="1:19" ht="14.25" customHeight="1" x14ac:dyDescent="0.2">
      <c r="A757" s="1" t="s">
        <v>24</v>
      </c>
      <c r="B757" s="7">
        <v>46088.986388888887</v>
      </c>
      <c r="C757" s="7">
        <v>46088.997604166667</v>
      </c>
      <c r="D757" s="8">
        <v>46088</v>
      </c>
      <c r="E757" s="9">
        <v>0.99760416666686069</v>
      </c>
      <c r="F757" s="10" t="s">
        <v>936</v>
      </c>
      <c r="G757" s="10" t="s">
        <v>21</v>
      </c>
      <c r="H757" s="10" t="s">
        <v>41</v>
      </c>
      <c r="I757" s="10" t="s">
        <v>23</v>
      </c>
      <c r="J757" s="11">
        <v>1.77</v>
      </c>
      <c r="K757" s="12"/>
      <c r="L757" s="12"/>
      <c r="M757" s="12"/>
      <c r="N757" s="12"/>
      <c r="O757" s="12"/>
      <c r="P757" s="12"/>
      <c r="Q757" s="12"/>
      <c r="R757" s="12"/>
      <c r="S757" s="12"/>
    </row>
    <row r="758" spans="1:19" ht="14.25" customHeight="1" x14ac:dyDescent="0.2">
      <c r="A758" s="1" t="s">
        <v>95</v>
      </c>
      <c r="B758" s="7">
        <v>46088.955925925926</v>
      </c>
      <c r="C758" s="7">
        <v>46088.999247685184</v>
      </c>
      <c r="D758" s="8">
        <v>46088</v>
      </c>
      <c r="E758" s="9">
        <v>0.99924768518394558</v>
      </c>
      <c r="F758" s="10" t="s">
        <v>937</v>
      </c>
      <c r="G758" s="10" t="s">
        <v>26</v>
      </c>
      <c r="H758" s="10" t="s">
        <v>938</v>
      </c>
      <c r="I758" s="10" t="s">
        <v>23</v>
      </c>
      <c r="J758" s="11">
        <v>0.73</v>
      </c>
      <c r="K758" s="12"/>
      <c r="L758" s="12"/>
      <c r="M758" s="12"/>
      <c r="N758" s="12"/>
      <c r="O758" s="12"/>
      <c r="P758" s="12"/>
      <c r="Q758" s="12"/>
      <c r="R758" s="12"/>
      <c r="S758" s="12"/>
    </row>
    <row r="759" spans="1:19" ht="14.25" customHeight="1" x14ac:dyDescent="0.2">
      <c r="A759" s="1" t="s">
        <v>95</v>
      </c>
      <c r="B759" s="7">
        <v>46088.999918981484</v>
      </c>
      <c r="C759" s="7">
        <v>46089.014293981483</v>
      </c>
      <c r="D759" s="8">
        <v>46089</v>
      </c>
      <c r="E759" s="9">
        <v>1.4293981483206153E-2</v>
      </c>
      <c r="F759" s="10" t="s">
        <v>939</v>
      </c>
      <c r="G759" s="10" t="s">
        <v>180</v>
      </c>
      <c r="H759" s="10" t="s">
        <v>504</v>
      </c>
      <c r="I759" s="10" t="s">
        <v>23</v>
      </c>
      <c r="J759" s="11">
        <v>1.44</v>
      </c>
      <c r="K759" s="12"/>
      <c r="L759" s="12">
        <f>SUM(J759:J769)</f>
        <v>10.580000000000002</v>
      </c>
      <c r="M759" s="13">
        <f>L759*65</f>
        <v>687.70000000000016</v>
      </c>
      <c r="N759" s="14">
        <f>MAX(500,M759)</f>
        <v>687.70000000000016</v>
      </c>
      <c r="O759" s="12"/>
      <c r="P759" s="12"/>
      <c r="Q759" s="12"/>
      <c r="R759" s="12"/>
      <c r="S759" s="12"/>
    </row>
    <row r="760" spans="1:19" ht="14.25" customHeight="1" x14ac:dyDescent="0.2">
      <c r="A760" s="1" t="s">
        <v>33</v>
      </c>
      <c r="B760" s="7">
        <v>46089.003611111111</v>
      </c>
      <c r="C760" s="7">
        <v>46089.021863425929</v>
      </c>
      <c r="D760" s="8">
        <v>46089</v>
      </c>
      <c r="E760" s="9">
        <v>2.1863425929041114E-2</v>
      </c>
      <c r="F760" s="10" t="s">
        <v>940</v>
      </c>
      <c r="G760" s="10" t="s">
        <v>21</v>
      </c>
      <c r="H760" s="10" t="s">
        <v>41</v>
      </c>
      <c r="I760" s="10" t="s">
        <v>23</v>
      </c>
      <c r="J760" s="11">
        <v>1.77</v>
      </c>
      <c r="K760" s="12"/>
      <c r="L760" s="12"/>
      <c r="M760" s="12"/>
      <c r="N760" s="12"/>
      <c r="O760" s="12"/>
      <c r="P760" s="12"/>
      <c r="Q760" s="12"/>
      <c r="R760" s="12"/>
      <c r="S760" s="12"/>
    </row>
    <row r="761" spans="1:19" ht="14.25" customHeight="1" x14ac:dyDescent="0.2">
      <c r="A761" s="1" t="s">
        <v>42</v>
      </c>
      <c r="B761" s="7">
        <v>46088.974293981482</v>
      </c>
      <c r="C761" s="7">
        <v>46089.023472222223</v>
      </c>
      <c r="D761" s="8">
        <v>46089</v>
      </c>
      <c r="E761" s="9">
        <v>2.3472222223063E-2</v>
      </c>
      <c r="F761" s="10" t="s">
        <v>941</v>
      </c>
      <c r="G761" s="10" t="s">
        <v>26</v>
      </c>
      <c r="H761" s="10" t="s">
        <v>76</v>
      </c>
      <c r="I761" s="10" t="s">
        <v>23</v>
      </c>
      <c r="J761" s="11">
        <v>0.75</v>
      </c>
      <c r="K761" s="12"/>
      <c r="L761" s="12"/>
      <c r="M761" s="12"/>
      <c r="N761" s="12"/>
      <c r="O761" s="12"/>
      <c r="P761" s="12"/>
      <c r="Q761" s="12"/>
      <c r="R761" s="12"/>
      <c r="S761" s="12"/>
    </row>
    <row r="762" spans="1:19" ht="14.25" customHeight="1" x14ac:dyDescent="0.2">
      <c r="A762" s="1" t="s">
        <v>95</v>
      </c>
      <c r="B762" s="7">
        <v>46088.999918981484</v>
      </c>
      <c r="C762" s="7">
        <v>46089.024953703702</v>
      </c>
      <c r="D762" s="8">
        <v>46089</v>
      </c>
      <c r="E762" s="9">
        <v>2.495370370161254E-2</v>
      </c>
      <c r="F762" s="10" t="s">
        <v>942</v>
      </c>
      <c r="G762" s="10" t="s">
        <v>180</v>
      </c>
      <c r="H762" s="10" t="s">
        <v>506</v>
      </c>
      <c r="I762" s="10" t="s">
        <v>23</v>
      </c>
      <c r="J762" s="11">
        <v>1.44</v>
      </c>
      <c r="K762" s="12"/>
      <c r="L762" s="12"/>
      <c r="M762" s="12"/>
      <c r="N762" s="12"/>
      <c r="O762" s="12"/>
      <c r="P762" s="12"/>
      <c r="Q762" s="12"/>
      <c r="R762" s="12"/>
      <c r="S762" s="12"/>
    </row>
    <row r="763" spans="1:19" ht="14.25" customHeight="1" x14ac:dyDescent="0.2">
      <c r="A763" s="1" t="s">
        <v>24</v>
      </c>
      <c r="B763" s="7">
        <v>46089.022696759261</v>
      </c>
      <c r="C763" s="7">
        <v>46089.03193287037</v>
      </c>
      <c r="D763" s="8">
        <v>46089</v>
      </c>
      <c r="E763" s="9">
        <v>3.1932870369928423E-2</v>
      </c>
      <c r="F763" s="10" t="s">
        <v>943</v>
      </c>
      <c r="G763" s="10" t="s">
        <v>21</v>
      </c>
      <c r="H763" s="10" t="s">
        <v>216</v>
      </c>
      <c r="I763" s="10" t="s">
        <v>23</v>
      </c>
      <c r="J763" s="11">
        <v>0.98</v>
      </c>
      <c r="K763" s="12"/>
      <c r="L763" s="12"/>
      <c r="M763" s="12"/>
      <c r="N763" s="12"/>
      <c r="O763" s="12"/>
      <c r="P763" s="12"/>
      <c r="Q763" s="12"/>
      <c r="R763" s="12"/>
      <c r="S763" s="12"/>
    </row>
    <row r="764" spans="1:19" ht="14.25" customHeight="1" x14ac:dyDescent="0.2">
      <c r="A764" s="1" t="s">
        <v>95</v>
      </c>
      <c r="B764" s="7">
        <v>46089.032083333332</v>
      </c>
      <c r="C764" s="7">
        <v>46089.03665509259</v>
      </c>
      <c r="D764" s="8">
        <v>46089</v>
      </c>
      <c r="E764" s="9">
        <v>3.665509259008104E-2</v>
      </c>
      <c r="F764" s="10" t="s">
        <v>944</v>
      </c>
      <c r="G764" s="10" t="s">
        <v>21</v>
      </c>
      <c r="H764" s="10" t="s">
        <v>110</v>
      </c>
      <c r="I764" s="10" t="s">
        <v>23</v>
      </c>
      <c r="J764" s="11">
        <v>0.83</v>
      </c>
      <c r="K764" s="12"/>
      <c r="L764" s="12"/>
      <c r="M764" s="12"/>
      <c r="N764" s="12"/>
      <c r="O764" s="12"/>
      <c r="P764" s="12"/>
      <c r="Q764" s="12"/>
      <c r="R764" s="12"/>
      <c r="S764" s="12"/>
    </row>
    <row r="765" spans="1:19" ht="14.25" customHeight="1" x14ac:dyDescent="0.2">
      <c r="A765" s="1" t="s">
        <v>95</v>
      </c>
      <c r="B765" s="7">
        <v>46089.032083333332</v>
      </c>
      <c r="C765" s="7">
        <v>46089.037523148145</v>
      </c>
      <c r="D765" s="8">
        <v>46089</v>
      </c>
      <c r="E765" s="9">
        <v>3.7523148144828156E-2</v>
      </c>
      <c r="F765" s="10" t="s">
        <v>945</v>
      </c>
      <c r="G765" s="10" t="s">
        <v>21</v>
      </c>
      <c r="H765" s="10" t="s">
        <v>52</v>
      </c>
      <c r="I765" s="10" t="s">
        <v>23</v>
      </c>
      <c r="J765" s="11">
        <v>0.98</v>
      </c>
      <c r="K765" s="12"/>
      <c r="L765" s="12"/>
      <c r="M765" s="12"/>
      <c r="N765" s="12"/>
      <c r="O765" s="12"/>
      <c r="P765" s="12"/>
      <c r="Q765" s="12"/>
      <c r="R765" s="12"/>
      <c r="S765" s="12"/>
    </row>
    <row r="766" spans="1:19" ht="14.25" customHeight="1" x14ac:dyDescent="0.2">
      <c r="A766" s="1" t="s">
        <v>42</v>
      </c>
      <c r="B766" s="7">
        <v>46089.010821759257</v>
      </c>
      <c r="C766" s="7">
        <v>46089.038356481484</v>
      </c>
      <c r="D766" s="8">
        <v>46089</v>
      </c>
      <c r="E766" s="9">
        <v>3.835648148378823E-2</v>
      </c>
      <c r="F766" s="10" t="s">
        <v>946</v>
      </c>
      <c r="G766" s="10" t="s">
        <v>44</v>
      </c>
      <c r="H766" s="10" t="s">
        <v>50</v>
      </c>
      <c r="I766" s="10" t="s">
        <v>23</v>
      </c>
      <c r="J766" s="11">
        <v>0.18</v>
      </c>
      <c r="K766" s="12"/>
      <c r="L766" s="12"/>
      <c r="M766" s="12"/>
      <c r="N766" s="12"/>
      <c r="O766" s="12"/>
      <c r="P766" s="12"/>
      <c r="Q766" s="12"/>
      <c r="R766" s="12"/>
      <c r="S766" s="12"/>
    </row>
    <row r="767" spans="1:19" ht="14.25" customHeight="1" x14ac:dyDescent="0.2">
      <c r="A767" s="1" t="s">
        <v>24</v>
      </c>
      <c r="B767" s="7">
        <v>46089.003877314812</v>
      </c>
      <c r="C767" s="7">
        <v>46089.039027777777</v>
      </c>
      <c r="D767" s="8">
        <v>46089</v>
      </c>
      <c r="E767" s="9">
        <v>3.9027777776937E-2</v>
      </c>
      <c r="F767" s="10" t="s">
        <v>947</v>
      </c>
      <c r="G767" s="10" t="s">
        <v>26</v>
      </c>
      <c r="H767" s="10" t="s">
        <v>948</v>
      </c>
      <c r="I767" s="10" t="s">
        <v>23</v>
      </c>
      <c r="J767" s="11">
        <v>0.75</v>
      </c>
      <c r="K767" s="12"/>
      <c r="L767" s="12"/>
      <c r="M767" s="12"/>
      <c r="N767" s="12"/>
      <c r="O767" s="12"/>
      <c r="P767" s="12"/>
      <c r="Q767" s="12"/>
      <c r="R767" s="12"/>
      <c r="S767" s="12"/>
    </row>
    <row r="768" spans="1:19" ht="14.25" customHeight="1" x14ac:dyDescent="0.2">
      <c r="A768" s="1" t="s">
        <v>24</v>
      </c>
      <c r="B768" s="7">
        <v>46089.003877314812</v>
      </c>
      <c r="C768" s="7">
        <v>46089.04011574074</v>
      </c>
      <c r="D768" s="8">
        <v>46089</v>
      </c>
      <c r="E768" s="9">
        <v>4.0115740739565808E-2</v>
      </c>
      <c r="F768" s="10" t="s">
        <v>949</v>
      </c>
      <c r="G768" s="10" t="s">
        <v>26</v>
      </c>
      <c r="H768" s="10" t="s">
        <v>92</v>
      </c>
      <c r="I768" s="10" t="s">
        <v>23</v>
      </c>
      <c r="J768" s="11">
        <v>0.63</v>
      </c>
      <c r="K768" s="12"/>
      <c r="L768" s="12"/>
      <c r="M768" s="12"/>
      <c r="N768" s="12"/>
      <c r="O768" s="12"/>
      <c r="P768" s="12"/>
      <c r="Q768" s="12"/>
      <c r="R768" s="12"/>
      <c r="S768" s="12"/>
    </row>
    <row r="769" spans="1:19" ht="14.25" customHeight="1" x14ac:dyDescent="0.2">
      <c r="A769" s="1" t="s">
        <v>24</v>
      </c>
      <c r="B769" s="7">
        <v>46089.026458333334</v>
      </c>
      <c r="C769" s="7">
        <v>46089.040335648147</v>
      </c>
      <c r="D769" s="8">
        <v>46089</v>
      </c>
      <c r="E769" s="9">
        <v>4.03356481474475E-2</v>
      </c>
      <c r="F769" s="10" t="s">
        <v>950</v>
      </c>
      <c r="G769" s="10" t="s">
        <v>21</v>
      </c>
      <c r="H769" s="10" t="s">
        <v>54</v>
      </c>
      <c r="I769" s="10" t="s">
        <v>23</v>
      </c>
      <c r="J769" s="11">
        <v>0.83</v>
      </c>
      <c r="K769" s="12"/>
      <c r="L769" s="12"/>
      <c r="M769" s="12"/>
      <c r="N769" s="12"/>
      <c r="O769" s="12"/>
      <c r="P769" s="12"/>
      <c r="Q769" s="12"/>
      <c r="R769" s="12"/>
      <c r="S769" s="12"/>
    </row>
    <row r="770" spans="1:19" ht="14.25" customHeight="1" x14ac:dyDescent="0.2">
      <c r="A770" s="1" t="s">
        <v>33</v>
      </c>
      <c r="B770" s="7">
        <v>46089.00236111111</v>
      </c>
      <c r="C770" s="7">
        <v>46089.041863425926</v>
      </c>
      <c r="D770" s="8">
        <v>46089</v>
      </c>
      <c r="E770" s="9">
        <v>4.1863425925839692E-2</v>
      </c>
      <c r="F770" s="10" t="s">
        <v>951</v>
      </c>
      <c r="G770" s="10" t="s">
        <v>26</v>
      </c>
      <c r="H770" s="10" t="s">
        <v>205</v>
      </c>
      <c r="I770" s="10" t="s">
        <v>23</v>
      </c>
      <c r="J770" s="11">
        <v>0.57999999999999996</v>
      </c>
      <c r="K770" s="12"/>
      <c r="L770" s="12">
        <f>SUM(J770:J785)</f>
        <v>19.39</v>
      </c>
      <c r="M770" s="13">
        <f>L770*65</f>
        <v>1260.3500000000001</v>
      </c>
      <c r="N770" s="14">
        <f>MAX(500,M770)</f>
        <v>1260.3500000000001</v>
      </c>
      <c r="O770" s="12"/>
      <c r="P770" s="12"/>
      <c r="Q770" s="12"/>
      <c r="R770" s="12"/>
      <c r="S770" s="12"/>
    </row>
    <row r="771" spans="1:19" ht="14.25" customHeight="1" x14ac:dyDescent="0.2">
      <c r="A771" s="1" t="s">
        <v>95</v>
      </c>
      <c r="B771" s="7">
        <v>46089.007303240738</v>
      </c>
      <c r="C771" s="7">
        <v>46089.04278935185</v>
      </c>
      <c r="D771" s="8">
        <v>46089</v>
      </c>
      <c r="E771" s="9">
        <v>4.2789351849933155E-2</v>
      </c>
      <c r="F771" s="10" t="s">
        <v>952</v>
      </c>
      <c r="G771" s="10" t="s">
        <v>21</v>
      </c>
      <c r="H771" s="10" t="s">
        <v>110</v>
      </c>
      <c r="I771" s="10" t="s">
        <v>23</v>
      </c>
      <c r="J771" s="11">
        <v>0.83</v>
      </c>
      <c r="K771" s="12"/>
      <c r="L771" s="12"/>
      <c r="M771" s="12"/>
      <c r="N771" s="12"/>
      <c r="O771" s="12"/>
      <c r="P771" s="12"/>
      <c r="Q771" s="12"/>
      <c r="R771" s="12"/>
      <c r="S771" s="12"/>
    </row>
    <row r="772" spans="1:19" ht="14.25" customHeight="1" x14ac:dyDescent="0.2">
      <c r="A772" s="1" t="s">
        <v>95</v>
      </c>
      <c r="B772" s="7">
        <v>46089.007303240738</v>
      </c>
      <c r="C772" s="7">
        <v>46089.043043981481</v>
      </c>
      <c r="D772" s="8">
        <v>46089</v>
      </c>
      <c r="E772" s="9">
        <v>4.3043981480877846E-2</v>
      </c>
      <c r="F772" s="10" t="s">
        <v>953</v>
      </c>
      <c r="G772" s="10" t="s">
        <v>21</v>
      </c>
      <c r="H772" s="10" t="s">
        <v>52</v>
      </c>
      <c r="I772" s="10" t="s">
        <v>23</v>
      </c>
      <c r="J772" s="11">
        <v>0.98</v>
      </c>
      <c r="K772" s="12"/>
      <c r="L772" s="12"/>
      <c r="M772" s="12"/>
      <c r="N772" s="12"/>
      <c r="O772" s="12"/>
      <c r="P772" s="12"/>
      <c r="Q772" s="12"/>
      <c r="R772" s="12"/>
      <c r="S772" s="12"/>
    </row>
    <row r="773" spans="1:19" ht="14.25" customHeight="1" x14ac:dyDescent="0.2">
      <c r="A773" s="1" t="s">
        <v>95</v>
      </c>
      <c r="B773" s="7">
        <v>46089.009467592594</v>
      </c>
      <c r="C773" s="7">
        <v>46089.043715277781</v>
      </c>
      <c r="D773" s="8">
        <v>46089</v>
      </c>
      <c r="E773" s="9">
        <v>4.3715277781302575E-2</v>
      </c>
      <c r="F773" s="10" t="s">
        <v>954</v>
      </c>
      <c r="G773" s="10" t="s">
        <v>21</v>
      </c>
      <c r="H773" s="10" t="s">
        <v>598</v>
      </c>
      <c r="I773" s="10" t="s">
        <v>23</v>
      </c>
      <c r="J773" s="11">
        <v>0.98</v>
      </c>
      <c r="K773" s="12"/>
      <c r="L773" s="12"/>
      <c r="M773" s="12"/>
      <c r="N773" s="12"/>
      <c r="O773" s="12"/>
      <c r="P773" s="12"/>
      <c r="Q773" s="12"/>
      <c r="R773" s="12"/>
      <c r="S773" s="12"/>
    </row>
    <row r="774" spans="1:19" ht="14.25" customHeight="1" x14ac:dyDescent="0.2">
      <c r="A774" s="1" t="s">
        <v>95</v>
      </c>
      <c r="B774" s="7">
        <v>46089.009467592594</v>
      </c>
      <c r="C774" s="7">
        <v>46089.045034722221</v>
      </c>
      <c r="D774" s="8">
        <v>46089</v>
      </c>
      <c r="E774" s="9">
        <v>4.503472222131677E-2</v>
      </c>
      <c r="F774" s="10" t="s">
        <v>955</v>
      </c>
      <c r="G774" s="10" t="s">
        <v>21</v>
      </c>
      <c r="H774" s="10" t="s">
        <v>216</v>
      </c>
      <c r="I774" s="10" t="s">
        <v>23</v>
      </c>
      <c r="J774" s="11">
        <v>0.98</v>
      </c>
      <c r="K774" s="12"/>
      <c r="L774" s="12"/>
      <c r="M774" s="12"/>
      <c r="N774" s="12"/>
      <c r="O774" s="12"/>
      <c r="P774" s="12"/>
      <c r="Q774" s="12"/>
      <c r="R774" s="12"/>
      <c r="S774" s="12"/>
    </row>
    <row r="775" spans="1:19" ht="14.25" customHeight="1" x14ac:dyDescent="0.2">
      <c r="A775" s="1" t="s">
        <v>95</v>
      </c>
      <c r="B775" s="7">
        <v>46089.009467592594</v>
      </c>
      <c r="C775" s="7">
        <v>46089.045925925922</v>
      </c>
      <c r="D775" s="8">
        <v>46089</v>
      </c>
      <c r="E775" s="9">
        <v>4.5925925922347233E-2</v>
      </c>
      <c r="F775" s="10" t="s">
        <v>956</v>
      </c>
      <c r="G775" s="10" t="s">
        <v>21</v>
      </c>
      <c r="H775" s="10" t="s">
        <v>435</v>
      </c>
      <c r="I775" s="10" t="s">
        <v>23</v>
      </c>
      <c r="J775" s="11">
        <v>1.1299999999999999</v>
      </c>
      <c r="K775" s="12"/>
      <c r="L775" s="12"/>
      <c r="M775" s="12"/>
      <c r="N775" s="12"/>
      <c r="O775" s="12"/>
      <c r="P775" s="12"/>
      <c r="Q775" s="12"/>
      <c r="R775" s="12"/>
      <c r="S775" s="12"/>
    </row>
    <row r="776" spans="1:19" ht="14.25" customHeight="1" x14ac:dyDescent="0.2">
      <c r="A776" s="1" t="s">
        <v>95</v>
      </c>
      <c r="B776" s="7">
        <v>46089.009467592594</v>
      </c>
      <c r="C776" s="7">
        <v>46089.060289351852</v>
      </c>
      <c r="D776" s="8">
        <v>46089</v>
      </c>
      <c r="E776" s="9">
        <v>6.0289351851679385E-2</v>
      </c>
      <c r="F776" s="10" t="s">
        <v>957</v>
      </c>
      <c r="G776" s="10" t="s">
        <v>21</v>
      </c>
      <c r="H776" s="10" t="s">
        <v>97</v>
      </c>
      <c r="I776" s="10" t="s">
        <v>23</v>
      </c>
      <c r="J776" s="11">
        <v>1.77</v>
      </c>
      <c r="K776" s="12"/>
      <c r="L776" s="12"/>
      <c r="M776" s="12"/>
      <c r="N776" s="12"/>
      <c r="O776" s="12"/>
      <c r="P776" s="12"/>
      <c r="Q776" s="12"/>
      <c r="R776" s="12"/>
      <c r="S776" s="12"/>
    </row>
    <row r="777" spans="1:19" ht="14.25" customHeight="1" x14ac:dyDescent="0.2">
      <c r="A777" s="1" t="s">
        <v>24</v>
      </c>
      <c r="B777" s="7">
        <v>46089.036585648151</v>
      </c>
      <c r="C777" s="7">
        <v>46089.060613425929</v>
      </c>
      <c r="D777" s="8">
        <v>46089</v>
      </c>
      <c r="E777" s="9">
        <v>6.0613425928750075E-2</v>
      </c>
      <c r="F777" s="10" t="s">
        <v>958</v>
      </c>
      <c r="G777" s="10" t="s">
        <v>21</v>
      </c>
      <c r="H777" s="10" t="s">
        <v>22</v>
      </c>
      <c r="I777" s="10" t="s">
        <v>23</v>
      </c>
      <c r="J777" s="11">
        <v>0.83</v>
      </c>
      <c r="K777" s="12"/>
      <c r="L777" s="12"/>
      <c r="M777" s="12"/>
      <c r="N777" s="12"/>
      <c r="O777" s="12"/>
      <c r="P777" s="12"/>
      <c r="Q777" s="12"/>
      <c r="R777" s="12"/>
      <c r="S777" s="12"/>
    </row>
    <row r="778" spans="1:19" ht="14.25" customHeight="1" x14ac:dyDescent="0.2">
      <c r="A778" s="1" t="s">
        <v>24</v>
      </c>
      <c r="B778" s="7">
        <v>46089.028043981481</v>
      </c>
      <c r="C778" s="7">
        <v>46089.062592592592</v>
      </c>
      <c r="D778" s="8">
        <v>46089</v>
      </c>
      <c r="E778" s="9">
        <v>6.2592592592409346E-2</v>
      </c>
      <c r="F778" s="10" t="s">
        <v>959</v>
      </c>
      <c r="G778" s="10" t="s">
        <v>21</v>
      </c>
      <c r="H778" s="10" t="s">
        <v>61</v>
      </c>
      <c r="I778" s="10" t="s">
        <v>23</v>
      </c>
      <c r="J778" s="11">
        <v>2.5</v>
      </c>
      <c r="K778" s="12"/>
      <c r="L778" s="12"/>
      <c r="M778" s="12"/>
      <c r="N778" s="12"/>
      <c r="O778" s="12"/>
      <c r="P778" s="12"/>
      <c r="Q778" s="12"/>
      <c r="R778" s="12"/>
      <c r="S778" s="12"/>
    </row>
    <row r="779" spans="1:19" ht="14.25" customHeight="1" x14ac:dyDescent="0.2">
      <c r="A779" s="1" t="s">
        <v>19</v>
      </c>
      <c r="B779" s="7">
        <v>46089.014027777775</v>
      </c>
      <c r="C779" s="7">
        <v>46089.064780092594</v>
      </c>
      <c r="D779" s="8">
        <v>46089</v>
      </c>
      <c r="E779" s="9">
        <v>6.4780092594446614E-2</v>
      </c>
      <c r="F779" s="10" t="s">
        <v>960</v>
      </c>
      <c r="G779" s="10" t="s">
        <v>26</v>
      </c>
      <c r="H779" s="10" t="s">
        <v>86</v>
      </c>
      <c r="I779" s="10" t="s">
        <v>23</v>
      </c>
      <c r="J779" s="11">
        <v>0.88</v>
      </c>
      <c r="K779" s="12"/>
      <c r="L779" s="12"/>
      <c r="M779" s="12"/>
      <c r="N779" s="12"/>
      <c r="O779" s="12"/>
      <c r="P779" s="12"/>
      <c r="Q779" s="12"/>
      <c r="R779" s="12"/>
      <c r="S779" s="12"/>
    </row>
    <row r="780" spans="1:19" ht="14.25" customHeight="1" x14ac:dyDescent="0.2">
      <c r="A780" s="1" t="s">
        <v>19</v>
      </c>
      <c r="B780" s="7">
        <v>46089.033090277779</v>
      </c>
      <c r="C780" s="7">
        <v>46089.065254629626</v>
      </c>
      <c r="D780" s="8">
        <v>46089</v>
      </c>
      <c r="E780" s="9">
        <v>6.525462962599704E-2</v>
      </c>
      <c r="F780" s="10" t="s">
        <v>961</v>
      </c>
      <c r="G780" s="10" t="s">
        <v>26</v>
      </c>
      <c r="H780" s="10" t="s">
        <v>37</v>
      </c>
      <c r="I780" s="10" t="s">
        <v>23</v>
      </c>
      <c r="J780" s="11">
        <v>0.88</v>
      </c>
      <c r="K780" s="12"/>
      <c r="L780" s="12"/>
      <c r="M780" s="12"/>
      <c r="N780" s="12"/>
      <c r="O780" s="12"/>
      <c r="P780" s="12"/>
      <c r="Q780" s="12"/>
      <c r="R780" s="12"/>
      <c r="S780" s="12"/>
    </row>
    <row r="781" spans="1:19" ht="14.25" customHeight="1" x14ac:dyDescent="0.2">
      <c r="A781" s="1" t="s">
        <v>24</v>
      </c>
      <c r="B781" s="7">
        <v>46089.042256944442</v>
      </c>
      <c r="C781" s="7">
        <v>46089.065520833334</v>
      </c>
      <c r="D781" s="8">
        <v>46089</v>
      </c>
      <c r="E781" s="9">
        <v>6.5520833333721384E-2</v>
      </c>
      <c r="F781" s="10" t="s">
        <v>962</v>
      </c>
      <c r="G781" s="10" t="s">
        <v>21</v>
      </c>
      <c r="H781" s="10" t="s">
        <v>22</v>
      </c>
      <c r="I781" s="10" t="s">
        <v>23</v>
      </c>
      <c r="J781" s="11">
        <v>0.83</v>
      </c>
      <c r="K781" s="12"/>
      <c r="L781" s="12"/>
      <c r="M781" s="12"/>
      <c r="N781" s="12"/>
      <c r="O781" s="12"/>
      <c r="P781" s="12"/>
      <c r="Q781" s="12"/>
      <c r="R781" s="12"/>
      <c r="S781" s="12"/>
    </row>
    <row r="782" spans="1:19" ht="14.25" customHeight="1" x14ac:dyDescent="0.2">
      <c r="A782" s="1" t="s">
        <v>24</v>
      </c>
      <c r="B782" s="7">
        <v>46089.036585648151</v>
      </c>
      <c r="C782" s="7">
        <v>46089.065717592595</v>
      </c>
      <c r="D782" s="8">
        <v>46089</v>
      </c>
      <c r="E782" s="9">
        <v>6.5717592595319729E-2</v>
      </c>
      <c r="F782" s="10" t="s">
        <v>963</v>
      </c>
      <c r="G782" s="10" t="s">
        <v>21</v>
      </c>
      <c r="H782" s="10" t="s">
        <v>52</v>
      </c>
      <c r="I782" s="10" t="s">
        <v>23</v>
      </c>
      <c r="J782" s="11">
        <v>0.98</v>
      </c>
      <c r="K782" s="12"/>
      <c r="L782" s="12"/>
      <c r="M782" s="12"/>
      <c r="N782" s="12"/>
      <c r="O782" s="12"/>
      <c r="P782" s="12"/>
      <c r="Q782" s="12"/>
      <c r="R782" s="12"/>
      <c r="S782" s="12"/>
    </row>
    <row r="783" spans="1:19" ht="14.25" customHeight="1" x14ac:dyDescent="0.2">
      <c r="A783" s="1" t="s">
        <v>24</v>
      </c>
      <c r="B783" s="7">
        <v>46089.047569444447</v>
      </c>
      <c r="C783" s="7">
        <v>46089.066157407404</v>
      </c>
      <c r="D783" s="8">
        <v>46089</v>
      </c>
      <c r="E783" s="9">
        <v>6.6157407403807156E-2</v>
      </c>
      <c r="F783" s="10" t="s">
        <v>964</v>
      </c>
      <c r="G783" s="10" t="s">
        <v>21</v>
      </c>
      <c r="H783" s="10" t="s">
        <v>101</v>
      </c>
      <c r="I783" s="10" t="s">
        <v>23</v>
      </c>
      <c r="J783" s="11">
        <v>1.7</v>
      </c>
      <c r="K783" s="12"/>
      <c r="L783" s="12"/>
      <c r="M783" s="12"/>
      <c r="N783" s="12"/>
      <c r="O783" s="12"/>
      <c r="P783" s="12"/>
      <c r="Q783" s="12"/>
      <c r="R783" s="12"/>
      <c r="S783" s="12"/>
    </row>
    <row r="784" spans="1:19" ht="14.25" customHeight="1" x14ac:dyDescent="0.2">
      <c r="A784" s="1" t="s">
        <v>28</v>
      </c>
      <c r="B784" s="7">
        <v>46089.053171296298</v>
      </c>
      <c r="C784" s="7">
        <v>46089.067048611112</v>
      </c>
      <c r="D784" s="8">
        <v>46089</v>
      </c>
      <c r="E784" s="9">
        <v>6.7048611112113576E-2</v>
      </c>
      <c r="F784" s="10" t="s">
        <v>965</v>
      </c>
      <c r="G784" s="10" t="s">
        <v>21</v>
      </c>
      <c r="H784" s="10" t="s">
        <v>41</v>
      </c>
      <c r="I784" s="10" t="s">
        <v>23</v>
      </c>
      <c r="J784" s="11">
        <v>1.77</v>
      </c>
      <c r="K784" s="12"/>
      <c r="L784" s="12"/>
      <c r="M784" s="12"/>
      <c r="N784" s="12"/>
      <c r="O784" s="12"/>
      <c r="P784" s="12"/>
      <c r="Q784" s="12"/>
      <c r="R784" s="12"/>
      <c r="S784" s="12"/>
    </row>
    <row r="785" spans="1:19" ht="14.25" customHeight="1" x14ac:dyDescent="0.2">
      <c r="A785" s="1" t="s">
        <v>95</v>
      </c>
      <c r="B785" s="7">
        <v>46089.052719907406</v>
      </c>
      <c r="C785" s="7">
        <v>46089.06759259259</v>
      </c>
      <c r="D785" s="8">
        <v>46089</v>
      </c>
      <c r="E785" s="9">
        <v>6.7592592589790002E-2</v>
      </c>
      <c r="F785" s="10" t="s">
        <v>966</v>
      </c>
      <c r="G785" s="10" t="s">
        <v>21</v>
      </c>
      <c r="H785" s="10" t="s">
        <v>97</v>
      </c>
      <c r="I785" s="10" t="s">
        <v>23</v>
      </c>
      <c r="J785" s="11">
        <v>1.77</v>
      </c>
      <c r="K785" s="12"/>
      <c r="L785" s="12"/>
      <c r="M785" s="12"/>
      <c r="N785" s="12"/>
      <c r="O785" s="12"/>
      <c r="P785" s="12"/>
      <c r="Q785" s="12"/>
      <c r="R785" s="12"/>
      <c r="S785" s="12"/>
    </row>
    <row r="786" spans="1:19" ht="14.25" customHeight="1" x14ac:dyDescent="0.2">
      <c r="A786" s="1" t="s">
        <v>95</v>
      </c>
      <c r="B786" s="7">
        <v>46089.075682870367</v>
      </c>
      <c r="C786" s="7">
        <v>46089.130162037036</v>
      </c>
      <c r="D786" s="8">
        <v>46089</v>
      </c>
      <c r="E786" s="9">
        <v>0.130162037035916</v>
      </c>
      <c r="F786" s="10" t="s">
        <v>967</v>
      </c>
      <c r="G786" s="10" t="s">
        <v>21</v>
      </c>
      <c r="H786" s="10" t="s">
        <v>110</v>
      </c>
      <c r="I786" s="10" t="s">
        <v>23</v>
      </c>
      <c r="J786" s="11">
        <v>0.83</v>
      </c>
      <c r="K786" s="12">
        <f>SUM(J786:J804)</f>
        <v>17.71</v>
      </c>
      <c r="L786" s="12">
        <f>SUM(J786:J791)</f>
        <v>7.34</v>
      </c>
      <c r="M786" s="13">
        <f>L786*65</f>
        <v>477.09999999999997</v>
      </c>
      <c r="N786" s="14">
        <f>MAX(500,M786)</f>
        <v>500</v>
      </c>
      <c r="O786" s="12"/>
      <c r="P786" s="12"/>
      <c r="Q786" s="12"/>
      <c r="R786" s="12"/>
      <c r="S786" s="12"/>
    </row>
    <row r="787" spans="1:19" ht="14.25" customHeight="1" x14ac:dyDescent="0.2">
      <c r="A787" s="1" t="s">
        <v>24</v>
      </c>
      <c r="B787" s="7">
        <v>46089.126157407409</v>
      </c>
      <c r="C787" s="7">
        <v>46089.139791666668</v>
      </c>
      <c r="D787" s="8">
        <v>46089</v>
      </c>
      <c r="E787" s="9">
        <v>0.13979166666831588</v>
      </c>
      <c r="F787" s="10" t="s">
        <v>968</v>
      </c>
      <c r="G787" s="10" t="s">
        <v>26</v>
      </c>
      <c r="H787" s="10" t="s">
        <v>251</v>
      </c>
      <c r="I787" s="10" t="s">
        <v>23</v>
      </c>
      <c r="J787" s="11">
        <v>0.62</v>
      </c>
      <c r="K787" s="12"/>
      <c r="L787" s="12"/>
      <c r="M787" s="12"/>
      <c r="N787" s="12"/>
      <c r="O787" s="12"/>
      <c r="P787" s="12"/>
      <c r="Q787" s="12"/>
      <c r="R787" s="12"/>
      <c r="S787" s="12"/>
    </row>
    <row r="788" spans="1:19" ht="14.25" customHeight="1" x14ac:dyDescent="0.2">
      <c r="A788" s="1" t="s">
        <v>95</v>
      </c>
      <c r="B788" s="7">
        <v>46089.08216435185</v>
      </c>
      <c r="C788" s="7">
        <v>46089.1403125</v>
      </c>
      <c r="D788" s="8">
        <v>46089</v>
      </c>
      <c r="E788" s="9">
        <v>0.14031249999970896</v>
      </c>
      <c r="F788" s="10" t="s">
        <v>969</v>
      </c>
      <c r="G788" s="10" t="s">
        <v>21</v>
      </c>
      <c r="H788" s="10" t="s">
        <v>154</v>
      </c>
      <c r="I788" s="10" t="s">
        <v>23</v>
      </c>
      <c r="J788" s="11">
        <v>1.77</v>
      </c>
      <c r="K788" s="12"/>
      <c r="L788" s="12"/>
      <c r="M788" s="12"/>
      <c r="N788" s="12"/>
      <c r="O788" s="12"/>
      <c r="P788" s="12"/>
      <c r="Q788" s="12"/>
      <c r="R788" s="12"/>
      <c r="S788" s="12"/>
    </row>
    <row r="789" spans="1:19" ht="14.25" customHeight="1" x14ac:dyDescent="0.2">
      <c r="A789" s="1" t="s">
        <v>33</v>
      </c>
      <c r="B789" s="7">
        <v>46089.128333333334</v>
      </c>
      <c r="C789" s="7">
        <v>46089.157106481478</v>
      </c>
      <c r="D789" s="8">
        <v>46089</v>
      </c>
      <c r="E789" s="9">
        <v>0.15710648147796746</v>
      </c>
      <c r="F789" s="10" t="s">
        <v>970</v>
      </c>
      <c r="G789" s="10" t="s">
        <v>26</v>
      </c>
      <c r="H789" s="10" t="s">
        <v>205</v>
      </c>
      <c r="I789" s="10" t="s">
        <v>23</v>
      </c>
      <c r="J789" s="11">
        <v>0.57999999999999996</v>
      </c>
      <c r="K789" s="12"/>
      <c r="L789" s="12"/>
      <c r="M789" s="12"/>
      <c r="N789" s="12"/>
      <c r="O789" s="12"/>
      <c r="P789" s="12"/>
      <c r="Q789" s="12"/>
      <c r="R789" s="12"/>
      <c r="S789" s="12"/>
    </row>
    <row r="790" spans="1:19" ht="14.25" customHeight="1" x14ac:dyDescent="0.2">
      <c r="A790" s="1" t="s">
        <v>33</v>
      </c>
      <c r="B790" s="7">
        <v>46089.13821759259</v>
      </c>
      <c r="C790" s="7">
        <v>46089.16542824074</v>
      </c>
      <c r="D790" s="8">
        <v>46089</v>
      </c>
      <c r="E790" s="9">
        <v>0.16542824073985685</v>
      </c>
      <c r="F790" s="10" t="s">
        <v>971</v>
      </c>
      <c r="G790" s="10" t="s">
        <v>21</v>
      </c>
      <c r="H790" s="10" t="s">
        <v>39</v>
      </c>
      <c r="I790" s="10" t="s">
        <v>23</v>
      </c>
      <c r="J790" s="11">
        <v>1.77</v>
      </c>
      <c r="K790" s="12"/>
      <c r="L790" s="12"/>
      <c r="M790" s="12"/>
      <c r="N790" s="12"/>
      <c r="O790" s="12"/>
      <c r="P790" s="12"/>
      <c r="Q790" s="12"/>
      <c r="R790" s="12"/>
      <c r="S790" s="12"/>
    </row>
    <row r="791" spans="1:19" ht="14.25" customHeight="1" x14ac:dyDescent="0.2">
      <c r="A791" s="1" t="s">
        <v>33</v>
      </c>
      <c r="B791" s="7">
        <v>46089.13821759259</v>
      </c>
      <c r="C791" s="7">
        <v>46089.166134259256</v>
      </c>
      <c r="D791" s="8">
        <v>46089</v>
      </c>
      <c r="E791" s="9">
        <v>0.16613425925606862</v>
      </c>
      <c r="F791" s="10" t="s">
        <v>972</v>
      </c>
      <c r="G791" s="10" t="s">
        <v>21</v>
      </c>
      <c r="H791" s="10" t="s">
        <v>41</v>
      </c>
      <c r="I791" s="10" t="s">
        <v>23</v>
      </c>
      <c r="J791" s="11">
        <v>1.77</v>
      </c>
      <c r="K791" s="12"/>
      <c r="L791" s="12"/>
      <c r="M791" s="12"/>
      <c r="N791" s="12"/>
      <c r="O791" s="12"/>
      <c r="P791" s="12"/>
      <c r="Q791" s="12"/>
      <c r="R791" s="12"/>
      <c r="S791" s="12"/>
    </row>
    <row r="792" spans="1:19" ht="14.25" customHeight="1" x14ac:dyDescent="0.2">
      <c r="A792" s="1" t="s">
        <v>95</v>
      </c>
      <c r="B792" s="7">
        <v>46089.168692129628</v>
      </c>
      <c r="C792" s="7">
        <v>46089.184155092589</v>
      </c>
      <c r="D792" s="8">
        <v>46089</v>
      </c>
      <c r="E792" s="9">
        <v>0.18415509258920792</v>
      </c>
      <c r="F792" s="10" t="s">
        <v>973</v>
      </c>
      <c r="G792" s="10" t="s">
        <v>21</v>
      </c>
      <c r="H792" s="10" t="s">
        <v>110</v>
      </c>
      <c r="I792" s="10" t="s">
        <v>23</v>
      </c>
      <c r="J792" s="11">
        <v>0.83</v>
      </c>
      <c r="K792" s="12"/>
      <c r="L792" s="12">
        <f>SUM(J792:J797)</f>
        <v>5.42</v>
      </c>
      <c r="M792" s="13">
        <f>L792*65</f>
        <v>352.3</v>
      </c>
      <c r="N792" s="14">
        <f>MAX(500,M792)</f>
        <v>500</v>
      </c>
      <c r="O792" s="12"/>
      <c r="P792" s="12"/>
      <c r="Q792" s="12"/>
      <c r="R792" s="12"/>
      <c r="S792" s="12"/>
    </row>
    <row r="793" spans="1:19" ht="14.25" customHeight="1" x14ac:dyDescent="0.2">
      <c r="A793" s="1" t="s">
        <v>95</v>
      </c>
      <c r="B793" s="7">
        <v>46089.149918981479</v>
      </c>
      <c r="C793" s="7">
        <v>46089.186527777776</v>
      </c>
      <c r="D793" s="8">
        <v>46089</v>
      </c>
      <c r="E793" s="9">
        <v>0.18652777777606389</v>
      </c>
      <c r="F793" s="10" t="s">
        <v>974</v>
      </c>
      <c r="G793" s="10" t="s">
        <v>21</v>
      </c>
      <c r="H793" s="10" t="s">
        <v>110</v>
      </c>
      <c r="I793" s="10" t="s">
        <v>23</v>
      </c>
      <c r="J793" s="11">
        <v>0.83</v>
      </c>
      <c r="K793" s="12"/>
      <c r="L793" s="12"/>
      <c r="M793" s="12"/>
      <c r="N793" s="12"/>
      <c r="O793" s="12"/>
      <c r="P793" s="12"/>
      <c r="Q793" s="12"/>
      <c r="R793" s="12"/>
      <c r="S793" s="12"/>
    </row>
    <row r="794" spans="1:19" ht="14.25" customHeight="1" x14ac:dyDescent="0.2">
      <c r="A794" s="1" t="s">
        <v>19</v>
      </c>
      <c r="B794" s="7">
        <v>46089.176412037035</v>
      </c>
      <c r="C794" s="7">
        <v>46089.191435185188</v>
      </c>
      <c r="D794" s="8">
        <v>46089</v>
      </c>
      <c r="E794" s="9">
        <v>0.19143518518831115</v>
      </c>
      <c r="F794" s="10" t="s">
        <v>975</v>
      </c>
      <c r="G794" s="10" t="s">
        <v>21</v>
      </c>
      <c r="H794" s="10" t="s">
        <v>22</v>
      </c>
      <c r="I794" s="10" t="s">
        <v>23</v>
      </c>
      <c r="J794" s="11">
        <v>0.83</v>
      </c>
      <c r="K794" s="12"/>
      <c r="L794" s="12"/>
      <c r="M794" s="12"/>
      <c r="N794" s="12"/>
      <c r="O794" s="12"/>
      <c r="P794" s="12"/>
      <c r="Q794" s="12"/>
      <c r="R794" s="12"/>
      <c r="S794" s="12"/>
    </row>
    <row r="795" spans="1:19" ht="14.25" customHeight="1" x14ac:dyDescent="0.2">
      <c r="A795" s="1" t="s">
        <v>19</v>
      </c>
      <c r="B795" s="7">
        <v>46089.176412037035</v>
      </c>
      <c r="C795" s="7">
        <v>46089.191724537035</v>
      </c>
      <c r="D795" s="8">
        <v>46089</v>
      </c>
      <c r="E795" s="9">
        <v>0.19172453703504289</v>
      </c>
      <c r="F795" s="10" t="s">
        <v>976</v>
      </c>
      <c r="G795" s="10" t="s">
        <v>21</v>
      </c>
      <c r="H795" s="10" t="s">
        <v>52</v>
      </c>
      <c r="I795" s="10" t="s">
        <v>23</v>
      </c>
      <c r="J795" s="11">
        <v>0.98</v>
      </c>
      <c r="K795" s="12"/>
      <c r="L795" s="12"/>
      <c r="M795" s="12"/>
      <c r="N795" s="12"/>
      <c r="O795" s="12"/>
      <c r="P795" s="12"/>
      <c r="Q795" s="12"/>
      <c r="R795" s="12"/>
      <c r="S795" s="12"/>
    </row>
    <row r="796" spans="1:19" ht="14.25" customHeight="1" x14ac:dyDescent="0.2">
      <c r="A796" s="1" t="s">
        <v>19</v>
      </c>
      <c r="B796" s="7">
        <v>46089.174826388888</v>
      </c>
      <c r="C796" s="7">
        <v>46089.196574074071</v>
      </c>
      <c r="D796" s="8">
        <v>46089</v>
      </c>
      <c r="E796" s="9">
        <v>0.19657407407066785</v>
      </c>
      <c r="F796" s="10" t="s">
        <v>977</v>
      </c>
      <c r="G796" s="10" t="s">
        <v>21</v>
      </c>
      <c r="H796" s="10" t="s">
        <v>41</v>
      </c>
      <c r="I796" s="10" t="s">
        <v>23</v>
      </c>
      <c r="J796" s="11">
        <v>1.77</v>
      </c>
      <c r="K796" s="12"/>
      <c r="L796" s="12"/>
      <c r="M796" s="12"/>
      <c r="N796" s="12"/>
      <c r="O796" s="12"/>
      <c r="P796" s="12"/>
      <c r="Q796" s="12"/>
      <c r="R796" s="12"/>
      <c r="S796" s="12"/>
    </row>
    <row r="797" spans="1:19" ht="14.25" customHeight="1" x14ac:dyDescent="0.2">
      <c r="A797" s="1" t="s">
        <v>95</v>
      </c>
      <c r="B797" s="7">
        <v>46089.158564814818</v>
      </c>
      <c r="C797" s="7">
        <v>46089.196817129632</v>
      </c>
      <c r="D797" s="8">
        <v>46089</v>
      </c>
      <c r="E797" s="9">
        <v>0.19681712963210884</v>
      </c>
      <c r="F797" s="10" t="s">
        <v>978</v>
      </c>
      <c r="G797" s="10" t="s">
        <v>44</v>
      </c>
      <c r="H797" s="10" t="s">
        <v>45</v>
      </c>
      <c r="I797" s="10" t="s">
        <v>23</v>
      </c>
      <c r="J797" s="11">
        <v>0.18</v>
      </c>
      <c r="K797" s="12"/>
      <c r="L797" s="12"/>
      <c r="M797" s="12"/>
      <c r="N797" s="12"/>
      <c r="O797" s="12"/>
      <c r="P797" s="12"/>
      <c r="Q797" s="12"/>
      <c r="R797" s="12"/>
      <c r="S797" s="12"/>
    </row>
    <row r="798" spans="1:19" ht="14.25" customHeight="1" x14ac:dyDescent="0.2">
      <c r="A798" s="1" t="s">
        <v>24</v>
      </c>
      <c r="B798" s="7">
        <v>46089.174375000002</v>
      </c>
      <c r="C798" s="7">
        <v>46089.227893518517</v>
      </c>
      <c r="D798" s="8">
        <v>46089</v>
      </c>
      <c r="E798" s="9">
        <v>0.22789351851679385</v>
      </c>
      <c r="F798" s="10" t="s">
        <v>979</v>
      </c>
      <c r="G798" s="10" t="s">
        <v>21</v>
      </c>
      <c r="H798" s="10" t="s">
        <v>22</v>
      </c>
      <c r="I798" s="10" t="s">
        <v>23</v>
      </c>
      <c r="J798" s="11">
        <v>0.83</v>
      </c>
      <c r="K798" s="12"/>
      <c r="L798" s="12">
        <f>SUM(J798:J802)</f>
        <v>4.59</v>
      </c>
      <c r="M798" s="13">
        <f>L798*65</f>
        <v>298.34999999999997</v>
      </c>
      <c r="N798" s="14">
        <f>MAX(500,M798)</f>
        <v>500</v>
      </c>
      <c r="O798" s="12"/>
      <c r="P798" s="12"/>
      <c r="Q798" s="12"/>
      <c r="R798" s="12"/>
      <c r="S798" s="12"/>
    </row>
    <row r="799" spans="1:19" ht="14.25" customHeight="1" x14ac:dyDescent="0.2">
      <c r="A799" s="1" t="s">
        <v>46</v>
      </c>
      <c r="B799" s="7">
        <v>46089.20585648148</v>
      </c>
      <c r="C799" s="7">
        <v>46089.232048611113</v>
      </c>
      <c r="D799" s="8">
        <v>46089</v>
      </c>
      <c r="E799" s="9">
        <v>0.23204861111298669</v>
      </c>
      <c r="F799" s="10" t="s">
        <v>980</v>
      </c>
      <c r="G799" s="10" t="s">
        <v>21</v>
      </c>
      <c r="H799" s="10" t="s">
        <v>22</v>
      </c>
      <c r="I799" s="10" t="s">
        <v>23</v>
      </c>
      <c r="J799" s="11">
        <v>0.83</v>
      </c>
      <c r="K799" s="12"/>
      <c r="L799" s="12"/>
      <c r="M799" s="12"/>
      <c r="N799" s="12"/>
      <c r="O799" s="12"/>
      <c r="P799" s="12"/>
      <c r="Q799" s="12"/>
      <c r="R799" s="12"/>
      <c r="S799" s="12"/>
    </row>
    <row r="800" spans="1:19" ht="14.25" customHeight="1" x14ac:dyDescent="0.2">
      <c r="A800" s="1" t="s">
        <v>46</v>
      </c>
      <c r="B800" s="7">
        <v>46089.209837962961</v>
      </c>
      <c r="C800" s="7">
        <v>46089.232303240744</v>
      </c>
      <c r="D800" s="8">
        <v>46089</v>
      </c>
      <c r="E800" s="9">
        <v>0.23230324074393138</v>
      </c>
      <c r="F800" s="10" t="s">
        <v>981</v>
      </c>
      <c r="G800" s="10" t="s">
        <v>21</v>
      </c>
      <c r="H800" s="10" t="s">
        <v>52</v>
      </c>
      <c r="I800" s="10" t="s">
        <v>23</v>
      </c>
      <c r="J800" s="11">
        <v>0.98</v>
      </c>
      <c r="K800" s="12"/>
      <c r="L800" s="12"/>
      <c r="M800" s="12"/>
      <c r="N800" s="12"/>
      <c r="O800" s="12"/>
      <c r="P800" s="12"/>
      <c r="Q800" s="12"/>
      <c r="R800" s="12"/>
      <c r="S800" s="12"/>
    </row>
    <row r="801" spans="1:19" ht="14.25" customHeight="1" x14ac:dyDescent="0.2">
      <c r="A801" s="1" t="s">
        <v>95</v>
      </c>
      <c r="B801" s="7">
        <v>46089.17769675926</v>
      </c>
      <c r="C801" s="7">
        <v>46089.232708333337</v>
      </c>
      <c r="D801" s="8">
        <v>46089</v>
      </c>
      <c r="E801" s="9">
        <v>0.23270833333663177</v>
      </c>
      <c r="F801" s="10" t="s">
        <v>982</v>
      </c>
      <c r="G801" s="10" t="s">
        <v>21</v>
      </c>
      <c r="H801" s="10" t="s">
        <v>97</v>
      </c>
      <c r="I801" s="10" t="s">
        <v>23</v>
      </c>
      <c r="J801" s="11">
        <v>1.77</v>
      </c>
      <c r="K801" s="12"/>
      <c r="L801" s="12"/>
      <c r="M801" s="12"/>
      <c r="N801" s="12"/>
      <c r="O801" s="12"/>
      <c r="P801" s="12"/>
      <c r="Q801" s="12"/>
      <c r="R801" s="12"/>
      <c r="S801" s="12"/>
    </row>
    <row r="802" spans="1:19" ht="14.25" customHeight="1" x14ac:dyDescent="0.2">
      <c r="A802" s="1" t="s">
        <v>42</v>
      </c>
      <c r="B802" s="7">
        <v>46089.225069444445</v>
      </c>
      <c r="C802" s="7">
        <v>46089.2499537037</v>
      </c>
      <c r="D802" s="8">
        <v>46089</v>
      </c>
      <c r="E802" s="9">
        <v>0.24995370370015735</v>
      </c>
      <c r="F802" s="10" t="s">
        <v>983</v>
      </c>
      <c r="G802" s="10" t="s">
        <v>44</v>
      </c>
      <c r="H802" s="10" t="s">
        <v>50</v>
      </c>
      <c r="I802" s="10" t="s">
        <v>23</v>
      </c>
      <c r="J802" s="11">
        <v>0.18</v>
      </c>
      <c r="K802" s="12"/>
      <c r="L802" s="12"/>
      <c r="M802" s="12"/>
      <c r="N802" s="12"/>
      <c r="O802" s="12"/>
      <c r="P802" s="12"/>
      <c r="Q802" s="12"/>
      <c r="R802" s="12"/>
      <c r="S802" s="12"/>
    </row>
    <row r="803" spans="1:19" ht="14.25" customHeight="1" x14ac:dyDescent="0.2">
      <c r="A803" s="1" t="s">
        <v>42</v>
      </c>
      <c r="B803" s="7">
        <v>46089.222256944442</v>
      </c>
      <c r="C803" s="7">
        <v>46089.250752314816</v>
      </c>
      <c r="D803" s="8">
        <v>46089</v>
      </c>
      <c r="E803" s="9">
        <v>0.25075231481605442</v>
      </c>
      <c r="F803" s="10" t="s">
        <v>984</v>
      </c>
      <c r="G803" s="10" t="s">
        <v>44</v>
      </c>
      <c r="H803" s="10" t="s">
        <v>50</v>
      </c>
      <c r="I803" s="10" t="s">
        <v>23</v>
      </c>
      <c r="J803" s="11">
        <v>0.18</v>
      </c>
      <c r="K803" s="12"/>
      <c r="L803" s="12">
        <f>SUM(J803:J804)</f>
        <v>0.36</v>
      </c>
      <c r="M803" s="13">
        <f>L803*65</f>
        <v>23.4</v>
      </c>
      <c r="N803" s="14">
        <f>MAX(500,M803)</f>
        <v>500</v>
      </c>
      <c r="O803" s="12"/>
      <c r="P803" s="12"/>
      <c r="Q803" s="12"/>
      <c r="R803" s="12"/>
      <c r="S803" s="12"/>
    </row>
    <row r="804" spans="1:19" ht="14.25" customHeight="1" x14ac:dyDescent="0.2">
      <c r="A804" s="1" t="s">
        <v>42</v>
      </c>
      <c r="B804" s="7">
        <v>46089.228217592594</v>
      </c>
      <c r="C804" s="7">
        <v>46089.251273148147</v>
      </c>
      <c r="D804" s="8">
        <v>46089</v>
      </c>
      <c r="E804" s="9">
        <v>0.2512731481474475</v>
      </c>
      <c r="F804" s="10" t="s">
        <v>985</v>
      </c>
      <c r="G804" s="10" t="s">
        <v>44</v>
      </c>
      <c r="H804" s="10" t="s">
        <v>140</v>
      </c>
      <c r="I804" s="10" t="s">
        <v>23</v>
      </c>
      <c r="J804" s="11">
        <v>0.18</v>
      </c>
      <c r="K804" s="12"/>
      <c r="L804" s="12"/>
      <c r="M804" s="12"/>
      <c r="N804" s="12"/>
      <c r="O804" s="12"/>
      <c r="P804" s="12"/>
      <c r="Q804" s="12"/>
      <c r="R804" s="12"/>
      <c r="S804" s="12"/>
    </row>
    <row r="805" spans="1:19" ht="14.25" customHeight="1" x14ac:dyDescent="0.2">
      <c r="A805" s="1" t="s">
        <v>19</v>
      </c>
      <c r="B805" s="19">
        <v>46089.866099537037</v>
      </c>
      <c r="C805" s="19">
        <v>46089.885914351849</v>
      </c>
      <c r="D805" s="20">
        <v>46089</v>
      </c>
      <c r="E805" s="21">
        <v>0.88591435184935108</v>
      </c>
      <c r="F805" s="1" t="s">
        <v>986</v>
      </c>
      <c r="G805" s="1" t="s">
        <v>21</v>
      </c>
      <c r="H805" s="1" t="s">
        <v>52</v>
      </c>
      <c r="I805" s="1" t="s">
        <v>166</v>
      </c>
      <c r="J805" s="12">
        <v>0.98</v>
      </c>
      <c r="K805" s="12">
        <f>SUM(J805:J823)</f>
        <v>22.859999999999996</v>
      </c>
      <c r="L805" s="12">
        <f>SUM(J805:J808)</f>
        <v>4.9499999999999993</v>
      </c>
      <c r="M805" s="13">
        <f>L805*65</f>
        <v>321.74999999999994</v>
      </c>
      <c r="N805" s="14">
        <f>MAX(500,M805)</f>
        <v>500</v>
      </c>
      <c r="O805" s="12"/>
      <c r="P805" s="12"/>
      <c r="Q805" s="12"/>
      <c r="R805" s="12"/>
      <c r="S805" s="12"/>
    </row>
    <row r="806" spans="1:19" ht="14.25" customHeight="1" x14ac:dyDescent="0.2">
      <c r="A806" s="1" t="s">
        <v>46</v>
      </c>
      <c r="B806" s="19">
        <v>46089.873101851852</v>
      </c>
      <c r="C806" s="19">
        <v>46089.891111111108</v>
      </c>
      <c r="D806" s="20">
        <v>46089</v>
      </c>
      <c r="E806" s="21">
        <v>0.89111111110833008</v>
      </c>
      <c r="F806" s="1" t="s">
        <v>987</v>
      </c>
      <c r="G806" s="1" t="s">
        <v>21</v>
      </c>
      <c r="H806" s="1" t="s">
        <v>101</v>
      </c>
      <c r="I806" s="1" t="s">
        <v>166</v>
      </c>
      <c r="J806" s="12">
        <v>1.7</v>
      </c>
      <c r="K806" s="12"/>
      <c r="L806" s="12"/>
      <c r="M806" s="12"/>
      <c r="N806" s="12"/>
      <c r="O806" s="12"/>
      <c r="P806" s="12"/>
      <c r="Q806" s="12"/>
      <c r="R806" s="12"/>
      <c r="S806" s="12"/>
    </row>
    <row r="807" spans="1:19" ht="14.25" customHeight="1" x14ac:dyDescent="0.2">
      <c r="A807" s="1" t="s">
        <v>33</v>
      </c>
      <c r="B807" s="19">
        <v>46089.885520833333</v>
      </c>
      <c r="C807" s="19">
        <v>46089.907581018517</v>
      </c>
      <c r="D807" s="20">
        <v>46089</v>
      </c>
      <c r="E807" s="21">
        <v>0.90758101851679385</v>
      </c>
      <c r="F807" s="1" t="s">
        <v>988</v>
      </c>
      <c r="G807" s="1" t="s">
        <v>21</v>
      </c>
      <c r="H807" s="1" t="s">
        <v>54</v>
      </c>
      <c r="I807" s="1" t="s">
        <v>166</v>
      </c>
      <c r="J807" s="12">
        <v>0.83</v>
      </c>
      <c r="K807" s="12"/>
      <c r="L807" s="12"/>
      <c r="M807" s="12"/>
      <c r="N807" s="12"/>
      <c r="O807" s="12"/>
      <c r="P807" s="12"/>
      <c r="Q807" s="12"/>
      <c r="R807" s="12"/>
      <c r="S807" s="12"/>
    </row>
    <row r="808" spans="1:19" ht="14.25" customHeight="1" x14ac:dyDescent="0.2">
      <c r="A808" s="1" t="s">
        <v>19</v>
      </c>
      <c r="B808" s="19">
        <v>46089.853101851855</v>
      </c>
      <c r="C808" s="19">
        <v>46089.914409722223</v>
      </c>
      <c r="D808" s="20">
        <v>46089</v>
      </c>
      <c r="E808" s="21">
        <v>0.91440972222335404</v>
      </c>
      <c r="F808" s="1" t="s">
        <v>989</v>
      </c>
      <c r="G808" s="1" t="s">
        <v>180</v>
      </c>
      <c r="H808" s="1" t="s">
        <v>504</v>
      </c>
      <c r="I808" s="1" t="s">
        <v>166</v>
      </c>
      <c r="J808" s="12">
        <v>1.44</v>
      </c>
      <c r="K808" s="12"/>
      <c r="L808" s="12"/>
      <c r="M808" s="12"/>
      <c r="N808" s="12"/>
      <c r="O808" s="12"/>
      <c r="P808" s="12"/>
      <c r="Q808" s="12"/>
      <c r="R808" s="12"/>
      <c r="S808" s="12"/>
    </row>
    <row r="809" spans="1:19" ht="14.25" customHeight="1" x14ac:dyDescent="0.2">
      <c r="A809" s="1" t="s">
        <v>24</v>
      </c>
      <c r="B809" s="19">
        <v>46089.856979166667</v>
      </c>
      <c r="C809" s="19">
        <v>46089.919537037036</v>
      </c>
      <c r="D809" s="20">
        <v>46089</v>
      </c>
      <c r="E809" s="21">
        <v>0.91953703703620704</v>
      </c>
      <c r="F809" s="1" t="s">
        <v>990</v>
      </c>
      <c r="G809" s="1" t="s">
        <v>21</v>
      </c>
      <c r="H809" s="1" t="s">
        <v>22</v>
      </c>
      <c r="I809" s="1" t="s">
        <v>166</v>
      </c>
      <c r="J809" s="12">
        <v>0.83</v>
      </c>
      <c r="K809" s="12"/>
      <c r="L809" s="12">
        <f>SUM(J809:J812)</f>
        <v>3.04</v>
      </c>
      <c r="M809" s="13">
        <f>L809*65</f>
        <v>197.6</v>
      </c>
      <c r="N809" s="14">
        <f>MAX(500,M809)</f>
        <v>500</v>
      </c>
      <c r="O809" s="12"/>
      <c r="P809" s="12"/>
      <c r="Q809" s="12"/>
      <c r="R809" s="12"/>
      <c r="S809" s="12"/>
    </row>
    <row r="810" spans="1:19" ht="14.25" customHeight="1" x14ac:dyDescent="0.2">
      <c r="A810" s="1" t="s">
        <v>24</v>
      </c>
      <c r="B810" s="19">
        <v>46089.895231481481</v>
      </c>
      <c r="C810" s="19">
        <v>46089.92391203704</v>
      </c>
      <c r="D810" s="20">
        <v>46089</v>
      </c>
      <c r="E810" s="21">
        <v>0.92391203704028158</v>
      </c>
      <c r="F810" s="1" t="s">
        <v>991</v>
      </c>
      <c r="G810" s="1" t="s">
        <v>26</v>
      </c>
      <c r="H810" s="1" t="s">
        <v>948</v>
      </c>
      <c r="I810" s="1" t="s">
        <v>166</v>
      </c>
      <c r="J810" s="12">
        <v>0.75</v>
      </c>
      <c r="K810" s="12"/>
      <c r="L810" s="12"/>
      <c r="M810" s="12"/>
      <c r="N810" s="12"/>
      <c r="O810" s="12"/>
      <c r="P810" s="12"/>
      <c r="Q810" s="12"/>
      <c r="R810" s="12"/>
      <c r="S810" s="12"/>
    </row>
    <row r="811" spans="1:19" ht="14.25" customHeight="1" x14ac:dyDescent="0.2">
      <c r="A811" s="1" t="s">
        <v>42</v>
      </c>
      <c r="B811" s="19">
        <v>46089.883622685185</v>
      </c>
      <c r="C811" s="19">
        <v>46089.9297337963</v>
      </c>
      <c r="D811" s="20">
        <v>46089</v>
      </c>
      <c r="E811" s="21">
        <v>0.92973379629984265</v>
      </c>
      <c r="F811" s="1" t="s">
        <v>992</v>
      </c>
      <c r="G811" s="1" t="s">
        <v>26</v>
      </c>
      <c r="H811" s="1" t="s">
        <v>56</v>
      </c>
      <c r="I811" s="1" t="s">
        <v>166</v>
      </c>
      <c r="J811" s="12">
        <v>0.73</v>
      </c>
      <c r="K811" s="12"/>
      <c r="L811" s="12"/>
      <c r="M811" s="12"/>
      <c r="N811" s="12"/>
      <c r="O811" s="12"/>
      <c r="P811" s="12"/>
      <c r="Q811" s="12"/>
      <c r="R811" s="12"/>
      <c r="S811" s="12"/>
    </row>
    <row r="812" spans="1:19" ht="14.25" customHeight="1" x14ac:dyDescent="0.2">
      <c r="A812" s="1" t="s">
        <v>42</v>
      </c>
      <c r="B812" s="19">
        <v>46089.895104166666</v>
      </c>
      <c r="C812" s="19">
        <v>46089.943888888891</v>
      </c>
      <c r="D812" s="20">
        <v>46089</v>
      </c>
      <c r="E812" s="21">
        <v>0.94388888889079681</v>
      </c>
      <c r="F812" s="1" t="s">
        <v>993</v>
      </c>
      <c r="G812" s="1" t="s">
        <v>26</v>
      </c>
      <c r="H812" s="1" t="s">
        <v>56</v>
      </c>
      <c r="I812" s="1" t="s">
        <v>166</v>
      </c>
      <c r="J812" s="12">
        <v>0.73</v>
      </c>
      <c r="K812" s="12"/>
      <c r="L812" s="12"/>
      <c r="M812" s="12"/>
      <c r="N812" s="12"/>
      <c r="O812" s="12"/>
      <c r="P812" s="12"/>
      <c r="Q812" s="12"/>
      <c r="R812" s="12"/>
      <c r="S812" s="12"/>
    </row>
    <row r="813" spans="1:19" ht="14.25" customHeight="1" x14ac:dyDescent="0.2">
      <c r="A813" s="1" t="s">
        <v>42</v>
      </c>
      <c r="B813" s="19">
        <v>46089.950057870374</v>
      </c>
      <c r="C813" s="19">
        <v>46089.972395833334</v>
      </c>
      <c r="D813" s="20">
        <v>46089</v>
      </c>
      <c r="E813" s="21">
        <v>0.97239583333430346</v>
      </c>
      <c r="F813" s="1" t="s">
        <v>994</v>
      </c>
      <c r="G813" s="1" t="s">
        <v>21</v>
      </c>
      <c r="H813" s="1" t="s">
        <v>97</v>
      </c>
      <c r="I813" s="1" t="s">
        <v>166</v>
      </c>
      <c r="J813" s="12">
        <v>1.77</v>
      </c>
      <c r="K813" s="12"/>
      <c r="L813" s="12">
        <f>SUM(J813)</f>
        <v>1.77</v>
      </c>
      <c r="M813" s="13">
        <f t="shared" ref="M813:M814" si="10">L813*65</f>
        <v>115.05</v>
      </c>
      <c r="N813" s="14">
        <f t="shared" ref="N813:N814" si="11">MAX(500,M813)</f>
        <v>500</v>
      </c>
      <c r="O813" s="12"/>
      <c r="P813" s="12"/>
      <c r="Q813" s="12"/>
      <c r="R813" s="12"/>
      <c r="S813" s="12"/>
    </row>
    <row r="814" spans="1:19" ht="14.25" customHeight="1" x14ac:dyDescent="0.2">
      <c r="A814" s="1" t="s">
        <v>95</v>
      </c>
      <c r="B814" s="19">
        <v>46089.993009259262</v>
      </c>
      <c r="C814" s="19">
        <v>46090.005416666667</v>
      </c>
      <c r="D814" s="20">
        <v>46090</v>
      </c>
      <c r="E814" s="21">
        <v>5.4166666668606922E-3</v>
      </c>
      <c r="F814" s="1" t="s">
        <v>995</v>
      </c>
      <c r="G814" s="1" t="s">
        <v>21</v>
      </c>
      <c r="H814" s="1" t="s">
        <v>154</v>
      </c>
      <c r="I814" s="1" t="s">
        <v>166</v>
      </c>
      <c r="J814" s="12">
        <v>1.77</v>
      </c>
      <c r="K814" s="12"/>
      <c r="L814" s="12">
        <f>SUM(J814:J817)</f>
        <v>5.15</v>
      </c>
      <c r="M814" s="13">
        <f t="shared" si="10"/>
        <v>334.75</v>
      </c>
      <c r="N814" s="14">
        <f t="shared" si="11"/>
        <v>500</v>
      </c>
      <c r="O814" s="12"/>
      <c r="P814" s="12"/>
      <c r="Q814" s="12"/>
      <c r="R814" s="12"/>
      <c r="S814" s="12"/>
    </row>
    <row r="815" spans="1:19" ht="14.25" customHeight="1" x14ac:dyDescent="0.2">
      <c r="A815" s="1" t="s">
        <v>57</v>
      </c>
      <c r="B815" s="19">
        <v>46089.981550925928</v>
      </c>
      <c r="C815" s="19">
        <v>46090.013113425928</v>
      </c>
      <c r="D815" s="20">
        <v>46090</v>
      </c>
      <c r="E815" s="21">
        <v>1.3113425928167999E-2</v>
      </c>
      <c r="F815" s="1" t="s">
        <v>996</v>
      </c>
      <c r="G815" s="1" t="s">
        <v>21</v>
      </c>
      <c r="H815" s="1" t="s">
        <v>303</v>
      </c>
      <c r="I815" s="1" t="s">
        <v>166</v>
      </c>
      <c r="J815" s="12">
        <v>1.77</v>
      </c>
      <c r="K815" s="12"/>
      <c r="L815" s="12"/>
      <c r="M815" s="12"/>
      <c r="N815" s="12"/>
      <c r="O815" s="12"/>
      <c r="P815" s="12"/>
      <c r="Q815" s="12"/>
      <c r="R815" s="12"/>
      <c r="S815" s="12"/>
    </row>
    <row r="816" spans="1:19" ht="14.25" customHeight="1" x14ac:dyDescent="0.2">
      <c r="A816" s="1" t="s">
        <v>42</v>
      </c>
      <c r="B816" s="19">
        <v>46089.996111111112</v>
      </c>
      <c r="C816" s="19">
        <v>46090.026250000003</v>
      </c>
      <c r="D816" s="20">
        <v>46090</v>
      </c>
      <c r="E816" s="21">
        <v>2.6250000002619345E-2</v>
      </c>
      <c r="F816" s="1" t="s">
        <v>997</v>
      </c>
      <c r="G816" s="1" t="s">
        <v>26</v>
      </c>
      <c r="H816" s="1" t="s">
        <v>125</v>
      </c>
      <c r="I816" s="1" t="s">
        <v>166</v>
      </c>
      <c r="J816" s="12">
        <v>0.63</v>
      </c>
      <c r="K816" s="12"/>
      <c r="L816" s="12"/>
      <c r="M816" s="12"/>
      <c r="N816" s="12"/>
      <c r="O816" s="12"/>
      <c r="P816" s="12"/>
      <c r="Q816" s="12"/>
      <c r="R816" s="12"/>
      <c r="S816" s="12"/>
    </row>
    <row r="817" spans="1:19" ht="14.25" customHeight="1" x14ac:dyDescent="0.2">
      <c r="A817" s="1" t="s">
        <v>95</v>
      </c>
      <c r="B817" s="19">
        <v>46090.014374999999</v>
      </c>
      <c r="C817" s="19">
        <v>46090.035219907404</v>
      </c>
      <c r="D817" s="20">
        <v>46090</v>
      </c>
      <c r="E817" s="21">
        <v>3.5219907404098194E-2</v>
      </c>
      <c r="F817" s="1" t="s">
        <v>998</v>
      </c>
      <c r="G817" s="1" t="s">
        <v>21</v>
      </c>
      <c r="H817" s="1" t="s">
        <v>52</v>
      </c>
      <c r="I817" s="1" t="s">
        <v>166</v>
      </c>
      <c r="J817" s="12">
        <v>0.98</v>
      </c>
      <c r="K817" s="12"/>
      <c r="L817" s="12"/>
      <c r="M817" s="12"/>
      <c r="N817" s="12"/>
      <c r="O817" s="12"/>
      <c r="P817" s="12"/>
      <c r="Q817" s="12"/>
      <c r="R817" s="12"/>
      <c r="S817" s="12"/>
    </row>
    <row r="818" spans="1:19" ht="14.25" customHeight="1" x14ac:dyDescent="0.2">
      <c r="A818" s="1" t="s">
        <v>95</v>
      </c>
      <c r="B818" s="19">
        <v>46090.026122685187</v>
      </c>
      <c r="C818" s="19">
        <v>46090.047268518516</v>
      </c>
      <c r="D818" s="20">
        <v>46090</v>
      </c>
      <c r="E818" s="21">
        <v>4.7268518515920732E-2</v>
      </c>
      <c r="F818" s="1" t="s">
        <v>999</v>
      </c>
      <c r="G818" s="1" t="s">
        <v>21</v>
      </c>
      <c r="H818" s="1" t="s">
        <v>108</v>
      </c>
      <c r="I818" s="1" t="s">
        <v>166</v>
      </c>
      <c r="J818" s="12">
        <v>1.7</v>
      </c>
      <c r="K818" s="12"/>
      <c r="L818" s="12">
        <f>SUM(J818:J820)</f>
        <v>3.65</v>
      </c>
      <c r="M818" s="13">
        <f>L818*65</f>
        <v>237.25</v>
      </c>
      <c r="N818" s="14">
        <f>MAX(500,M818)</f>
        <v>500</v>
      </c>
      <c r="O818" s="12"/>
      <c r="P818" s="12"/>
      <c r="Q818" s="12"/>
      <c r="R818" s="12"/>
      <c r="S818" s="12"/>
    </row>
    <row r="819" spans="1:19" ht="14.25" customHeight="1" x14ac:dyDescent="0.2">
      <c r="A819" s="1" t="s">
        <v>95</v>
      </c>
      <c r="B819" s="19">
        <v>46090.017071759263</v>
      </c>
      <c r="C819" s="19">
        <v>46090.051620370374</v>
      </c>
      <c r="D819" s="20">
        <v>46090</v>
      </c>
      <c r="E819" s="21">
        <v>5.1620370373711921E-2</v>
      </c>
      <c r="F819" s="1" t="s">
        <v>1000</v>
      </c>
      <c r="G819" s="1" t="s">
        <v>26</v>
      </c>
      <c r="H819" s="1" t="s">
        <v>128</v>
      </c>
      <c r="I819" s="1" t="s">
        <v>166</v>
      </c>
      <c r="J819" s="12">
        <v>0.97</v>
      </c>
      <c r="K819" s="12"/>
      <c r="L819" s="12"/>
      <c r="M819" s="12"/>
      <c r="N819" s="12"/>
      <c r="O819" s="12"/>
      <c r="P819" s="12"/>
      <c r="Q819" s="12"/>
      <c r="R819" s="12"/>
      <c r="S819" s="12"/>
    </row>
    <row r="820" spans="1:19" ht="14.25" customHeight="1" x14ac:dyDescent="0.2">
      <c r="A820" s="1" t="s">
        <v>24</v>
      </c>
      <c r="B820" s="19">
        <v>46090.017905092594</v>
      </c>
      <c r="C820" s="19">
        <v>46090.074745370373</v>
      </c>
      <c r="D820" s="20">
        <v>46090</v>
      </c>
      <c r="E820" s="21">
        <v>7.4745370373420883E-2</v>
      </c>
      <c r="F820" s="1" t="s">
        <v>1001</v>
      </c>
      <c r="G820" s="1" t="s">
        <v>21</v>
      </c>
      <c r="H820" s="1" t="s">
        <v>1002</v>
      </c>
      <c r="I820" s="1" t="s">
        <v>166</v>
      </c>
      <c r="J820" s="12">
        <v>0.98</v>
      </c>
      <c r="K820" s="12"/>
      <c r="L820" s="12"/>
      <c r="M820" s="12"/>
      <c r="N820" s="12"/>
      <c r="O820" s="12"/>
      <c r="P820" s="12"/>
      <c r="Q820" s="12"/>
      <c r="R820" s="12"/>
      <c r="S820" s="12"/>
    </row>
    <row r="821" spans="1:19" ht="14.25" customHeight="1" x14ac:dyDescent="0.2">
      <c r="A821" s="1" t="s">
        <v>95</v>
      </c>
      <c r="B821" s="19">
        <v>46090.085578703707</v>
      </c>
      <c r="C821" s="19">
        <v>46090.101423611108</v>
      </c>
      <c r="D821" s="20">
        <v>46090</v>
      </c>
      <c r="E821" s="21">
        <v>0.101423611107748</v>
      </c>
      <c r="F821" s="1" t="s">
        <v>1003</v>
      </c>
      <c r="G821" s="1" t="s">
        <v>21</v>
      </c>
      <c r="H821" s="1" t="s">
        <v>97</v>
      </c>
      <c r="I821" s="1" t="s">
        <v>166</v>
      </c>
      <c r="J821" s="12">
        <v>1.77</v>
      </c>
      <c r="K821" s="12"/>
      <c r="L821" s="12">
        <f>SUM(J821:J823)</f>
        <v>4.3</v>
      </c>
      <c r="M821" s="13">
        <f>L821*65</f>
        <v>279.5</v>
      </c>
      <c r="N821" s="14">
        <f>MAX(500,M821)</f>
        <v>500</v>
      </c>
      <c r="O821" s="12"/>
      <c r="P821" s="12"/>
      <c r="Q821" s="12"/>
      <c r="R821" s="12"/>
      <c r="S821" s="12"/>
    </row>
    <row r="822" spans="1:19" ht="14.25" customHeight="1" x14ac:dyDescent="0.2">
      <c r="A822" s="1" t="s">
        <v>33</v>
      </c>
      <c r="B822" s="19">
        <v>46090.080601851849</v>
      </c>
      <c r="C822" s="19">
        <v>46090.118078703701</v>
      </c>
      <c r="D822" s="20">
        <v>46090</v>
      </c>
      <c r="E822" s="21">
        <v>0.11807870370103046</v>
      </c>
      <c r="F822" s="1" t="s">
        <v>1004</v>
      </c>
      <c r="G822" s="1" t="s">
        <v>21</v>
      </c>
      <c r="H822" s="1" t="s">
        <v>101</v>
      </c>
      <c r="I822" s="1" t="s">
        <v>166</v>
      </c>
      <c r="J822" s="12">
        <v>1.7</v>
      </c>
      <c r="K822" s="12"/>
      <c r="L822" s="12"/>
      <c r="M822" s="12"/>
      <c r="N822" s="12"/>
      <c r="O822" s="12"/>
      <c r="P822" s="12"/>
      <c r="Q822" s="12"/>
      <c r="R822" s="12"/>
      <c r="S822" s="12"/>
    </row>
    <row r="823" spans="1:19" ht="14.25" customHeight="1" x14ac:dyDescent="0.2">
      <c r="A823" s="1" t="s">
        <v>19</v>
      </c>
      <c r="B823" s="19">
        <v>46090.097141203703</v>
      </c>
      <c r="C823" s="19">
        <v>46090.120555555557</v>
      </c>
      <c r="D823" s="20">
        <v>46090</v>
      </c>
      <c r="E823" s="21">
        <v>0.12055555555707542</v>
      </c>
      <c r="F823" s="1" t="s">
        <v>1005</v>
      </c>
      <c r="G823" s="1" t="s">
        <v>21</v>
      </c>
      <c r="H823" s="1" t="s">
        <v>22</v>
      </c>
      <c r="I823" s="1" t="s">
        <v>166</v>
      </c>
      <c r="J823" s="12">
        <v>0.83</v>
      </c>
      <c r="K823" s="12"/>
      <c r="L823" s="12"/>
      <c r="M823" s="12"/>
      <c r="N823" s="12"/>
      <c r="O823" s="12"/>
      <c r="P823" s="12"/>
      <c r="Q823" s="12"/>
      <c r="R823" s="12"/>
      <c r="S823" s="12"/>
    </row>
    <row r="824" spans="1:19" ht="14.25" customHeight="1" x14ac:dyDescent="0.2">
      <c r="A824" s="1" t="s">
        <v>19</v>
      </c>
      <c r="B824" s="7">
        <v>46089.859583333331</v>
      </c>
      <c r="C824" s="7">
        <v>46089.879074074073</v>
      </c>
      <c r="D824" s="8">
        <v>46089</v>
      </c>
      <c r="E824" s="9">
        <v>0.87907407407328719</v>
      </c>
      <c r="F824" s="10" t="s">
        <v>1006</v>
      </c>
      <c r="G824" s="10" t="s">
        <v>21</v>
      </c>
      <c r="H824" s="10" t="s">
        <v>1007</v>
      </c>
      <c r="I824" s="10" t="s">
        <v>23</v>
      </c>
      <c r="J824" s="11">
        <v>2.9</v>
      </c>
      <c r="K824" s="12">
        <f>SUM(J824:J902)</f>
        <v>91.710000000000008</v>
      </c>
      <c r="L824" s="12">
        <f>SUM(J824:J838)</f>
        <v>19.489999999999998</v>
      </c>
      <c r="M824" s="13">
        <f>L824*65</f>
        <v>1266.8499999999999</v>
      </c>
      <c r="N824" s="14">
        <f>MAX(500,M824)</f>
        <v>1266.8499999999999</v>
      </c>
      <c r="O824" s="12"/>
      <c r="P824" s="12"/>
      <c r="Q824" s="12"/>
      <c r="R824" s="12"/>
      <c r="S824" s="12"/>
    </row>
    <row r="825" spans="1:19" ht="14.25" customHeight="1" x14ac:dyDescent="0.2">
      <c r="A825" s="1" t="s">
        <v>19</v>
      </c>
      <c r="B825" s="7">
        <v>46089.866099537037</v>
      </c>
      <c r="C825" s="7">
        <v>46089.887083333335</v>
      </c>
      <c r="D825" s="8">
        <v>46089</v>
      </c>
      <c r="E825" s="9">
        <v>0.88708333333488554</v>
      </c>
      <c r="F825" s="10" t="s">
        <v>1008</v>
      </c>
      <c r="G825" s="10" t="s">
        <v>21</v>
      </c>
      <c r="H825" s="10" t="s">
        <v>409</v>
      </c>
      <c r="I825" s="10" t="s">
        <v>23</v>
      </c>
      <c r="J825" s="11">
        <v>2.9</v>
      </c>
      <c r="K825" s="12"/>
      <c r="L825" s="12"/>
      <c r="M825" s="12"/>
      <c r="N825" s="12"/>
      <c r="O825" s="12"/>
      <c r="P825" s="12"/>
      <c r="Q825" s="12"/>
      <c r="R825" s="12"/>
      <c r="S825" s="12"/>
    </row>
    <row r="826" spans="1:19" ht="14.25" customHeight="1" x14ac:dyDescent="0.2">
      <c r="A826" s="1" t="s">
        <v>24</v>
      </c>
      <c r="B826" s="7">
        <v>46089.828969907408</v>
      </c>
      <c r="C826" s="7">
        <v>46089.887476851851</v>
      </c>
      <c r="D826" s="8">
        <v>46089</v>
      </c>
      <c r="E826" s="9">
        <v>0.88747685185080627</v>
      </c>
      <c r="F826" s="10" t="s">
        <v>1009</v>
      </c>
      <c r="G826" s="10" t="s">
        <v>21</v>
      </c>
      <c r="H826" s="10" t="s">
        <v>22</v>
      </c>
      <c r="I826" s="10" t="s">
        <v>23</v>
      </c>
      <c r="J826" s="11">
        <v>0.83</v>
      </c>
      <c r="K826" s="12"/>
      <c r="L826" s="12"/>
      <c r="M826" s="12"/>
      <c r="N826" s="12"/>
      <c r="O826" s="12"/>
      <c r="P826" s="12"/>
      <c r="Q826" s="12"/>
      <c r="R826" s="12"/>
      <c r="S826" s="12"/>
    </row>
    <row r="827" spans="1:19" ht="14.25" customHeight="1" x14ac:dyDescent="0.2">
      <c r="A827" s="1" t="s">
        <v>24</v>
      </c>
      <c r="B827" s="7">
        <v>46089.833796296298</v>
      </c>
      <c r="C827" s="7">
        <v>46089.887881944444</v>
      </c>
      <c r="D827" s="8">
        <v>46089</v>
      </c>
      <c r="E827" s="9">
        <v>0.88788194444350665</v>
      </c>
      <c r="F827" s="10" t="s">
        <v>1010</v>
      </c>
      <c r="G827" s="10" t="s">
        <v>21</v>
      </c>
      <c r="H827" s="10" t="s">
        <v>41</v>
      </c>
      <c r="I827" s="10" t="s">
        <v>23</v>
      </c>
      <c r="J827" s="11">
        <v>1.77</v>
      </c>
      <c r="K827" s="12"/>
      <c r="L827" s="12"/>
      <c r="M827" s="12"/>
      <c r="N827" s="12"/>
      <c r="O827" s="12"/>
      <c r="P827" s="12"/>
      <c r="Q827" s="12"/>
      <c r="R827" s="12"/>
      <c r="S827" s="12"/>
    </row>
    <row r="828" spans="1:19" ht="14.25" customHeight="1" x14ac:dyDescent="0.2">
      <c r="A828" s="1" t="s">
        <v>33</v>
      </c>
      <c r="B828" s="7">
        <v>46089.882893518516</v>
      </c>
      <c r="C828" s="7">
        <v>46089.89806712963</v>
      </c>
      <c r="D828" s="8">
        <v>46089</v>
      </c>
      <c r="E828" s="9">
        <v>0.89806712963036261</v>
      </c>
      <c r="F828" s="10" t="s">
        <v>1011</v>
      </c>
      <c r="G828" s="10" t="s">
        <v>44</v>
      </c>
      <c r="H828" s="10" t="s">
        <v>185</v>
      </c>
      <c r="I828" s="10" t="s">
        <v>23</v>
      </c>
      <c r="J828" s="11">
        <v>0.18</v>
      </c>
      <c r="K828" s="12"/>
      <c r="L828" s="12"/>
      <c r="M828" s="12"/>
      <c r="N828" s="12"/>
      <c r="O828" s="12"/>
      <c r="P828" s="12"/>
      <c r="Q828" s="12"/>
      <c r="R828" s="12"/>
      <c r="S828" s="12"/>
    </row>
    <row r="829" spans="1:19" ht="14.25" customHeight="1" x14ac:dyDescent="0.2">
      <c r="A829" s="1" t="s">
        <v>28</v>
      </c>
      <c r="B829" s="7">
        <v>46089.839467592596</v>
      </c>
      <c r="C829" s="7">
        <v>46089.898368055554</v>
      </c>
      <c r="D829" s="8">
        <v>46089</v>
      </c>
      <c r="E829" s="9">
        <v>0.898368055553874</v>
      </c>
      <c r="F829" s="10" t="s">
        <v>1012</v>
      </c>
      <c r="G829" s="10" t="s">
        <v>21</v>
      </c>
      <c r="H829" s="10" t="s">
        <v>22</v>
      </c>
      <c r="I829" s="10" t="s">
        <v>23</v>
      </c>
      <c r="J829" s="11">
        <v>0.83</v>
      </c>
      <c r="K829" s="12"/>
      <c r="L829" s="12"/>
      <c r="M829" s="12"/>
      <c r="N829" s="12"/>
      <c r="O829" s="12"/>
      <c r="P829" s="12"/>
      <c r="Q829" s="12"/>
      <c r="R829" s="12"/>
      <c r="S829" s="12"/>
    </row>
    <row r="830" spans="1:19" ht="14.25" customHeight="1" x14ac:dyDescent="0.2">
      <c r="A830" s="1" t="s">
        <v>28</v>
      </c>
      <c r="B830" s="7">
        <v>46089.840983796297</v>
      </c>
      <c r="C830" s="7">
        <v>46089.898587962962</v>
      </c>
      <c r="D830" s="8">
        <v>46089</v>
      </c>
      <c r="E830" s="9">
        <v>0.89858796296175569</v>
      </c>
      <c r="F830" s="10" t="s">
        <v>1013</v>
      </c>
      <c r="G830" s="10" t="s">
        <v>21</v>
      </c>
      <c r="H830" s="10" t="s">
        <v>52</v>
      </c>
      <c r="I830" s="10" t="s">
        <v>23</v>
      </c>
      <c r="J830" s="11">
        <v>0.98</v>
      </c>
      <c r="K830" s="12"/>
      <c r="L830" s="12"/>
      <c r="M830" s="12"/>
      <c r="N830" s="12"/>
      <c r="O830" s="12"/>
      <c r="P830" s="12"/>
      <c r="Q830" s="12"/>
      <c r="R830" s="12"/>
      <c r="S830" s="12"/>
    </row>
    <row r="831" spans="1:19" ht="14.25" customHeight="1" x14ac:dyDescent="0.2">
      <c r="A831" s="1" t="s">
        <v>19</v>
      </c>
      <c r="B831" s="7">
        <v>46089.853101851855</v>
      </c>
      <c r="C831" s="7">
        <v>46089.908668981479</v>
      </c>
      <c r="D831" s="8">
        <v>46089</v>
      </c>
      <c r="E831" s="9">
        <v>0.90866898147942265</v>
      </c>
      <c r="F831" s="10" t="s">
        <v>1014</v>
      </c>
      <c r="G831" s="10" t="s">
        <v>180</v>
      </c>
      <c r="H831" s="10" t="s">
        <v>506</v>
      </c>
      <c r="I831" s="10" t="s">
        <v>23</v>
      </c>
      <c r="J831" s="11">
        <v>1.44</v>
      </c>
      <c r="K831" s="12"/>
      <c r="L831" s="12"/>
      <c r="M831" s="12"/>
      <c r="N831" s="12"/>
      <c r="O831" s="12"/>
      <c r="P831" s="12"/>
      <c r="Q831" s="12"/>
      <c r="R831" s="12"/>
      <c r="S831" s="12"/>
    </row>
    <row r="832" spans="1:19" ht="14.25" customHeight="1" x14ac:dyDescent="0.2">
      <c r="A832" s="1" t="s">
        <v>19</v>
      </c>
      <c r="B832" s="7">
        <v>46089.853101851855</v>
      </c>
      <c r="C832" s="7">
        <v>46089.909571759257</v>
      </c>
      <c r="D832" s="8">
        <v>46089</v>
      </c>
      <c r="E832" s="9">
        <v>0.90957175925723277</v>
      </c>
      <c r="F832" s="10" t="s">
        <v>1015</v>
      </c>
      <c r="G832" s="10" t="s">
        <v>180</v>
      </c>
      <c r="H832" s="10" t="s">
        <v>1016</v>
      </c>
      <c r="I832" s="10" t="s">
        <v>23</v>
      </c>
      <c r="J832" s="11">
        <v>1.44</v>
      </c>
      <c r="K832" s="12"/>
      <c r="L832" s="12"/>
      <c r="M832" s="12"/>
      <c r="N832" s="12"/>
      <c r="O832" s="12"/>
      <c r="P832" s="12"/>
      <c r="Q832" s="12"/>
      <c r="R832" s="12"/>
      <c r="S832" s="12"/>
    </row>
    <row r="833" spans="1:19" ht="14.25" customHeight="1" x14ac:dyDescent="0.2">
      <c r="A833" s="1" t="s">
        <v>19</v>
      </c>
      <c r="B833" s="7">
        <v>46089.898726851854</v>
      </c>
      <c r="C833" s="7">
        <v>46089.910312499997</v>
      </c>
      <c r="D833" s="8">
        <v>46089</v>
      </c>
      <c r="E833" s="9">
        <v>0.91031249999650754</v>
      </c>
      <c r="F833" s="10" t="s">
        <v>1017</v>
      </c>
      <c r="G833" s="10" t="s">
        <v>21</v>
      </c>
      <c r="H833" s="10" t="s">
        <v>22</v>
      </c>
      <c r="I833" s="10" t="s">
        <v>23</v>
      </c>
      <c r="J833" s="11">
        <v>0.83</v>
      </c>
      <c r="K833" s="12"/>
      <c r="L833" s="12"/>
      <c r="M833" s="12"/>
      <c r="N833" s="12"/>
      <c r="O833" s="12"/>
      <c r="P833" s="12"/>
      <c r="Q833" s="12"/>
      <c r="R833" s="12"/>
      <c r="S833" s="12"/>
    </row>
    <row r="834" spans="1:19" ht="14.25" customHeight="1" x14ac:dyDescent="0.2">
      <c r="A834" s="1" t="s">
        <v>19</v>
      </c>
      <c r="B834" s="7">
        <v>46089.886064814818</v>
      </c>
      <c r="C834" s="7">
        <v>46089.910902777781</v>
      </c>
      <c r="D834" s="8">
        <v>46089</v>
      </c>
      <c r="E834" s="9">
        <v>0.91090277778130258</v>
      </c>
      <c r="F834" s="10" t="s">
        <v>1018</v>
      </c>
      <c r="G834" s="10" t="s">
        <v>26</v>
      </c>
      <c r="H834" s="10" t="s">
        <v>1019</v>
      </c>
      <c r="I834" s="10" t="s">
        <v>23</v>
      </c>
      <c r="J834" s="11">
        <v>0.67</v>
      </c>
      <c r="K834" s="12"/>
      <c r="L834" s="12"/>
      <c r="M834" s="12"/>
      <c r="N834" s="12"/>
      <c r="O834" s="12"/>
      <c r="P834" s="12"/>
      <c r="Q834" s="12"/>
      <c r="R834" s="12"/>
      <c r="S834" s="12"/>
    </row>
    <row r="835" spans="1:19" ht="14.25" customHeight="1" x14ac:dyDescent="0.2">
      <c r="A835" s="1" t="s">
        <v>28</v>
      </c>
      <c r="B835" s="7">
        <v>46089.860324074078</v>
      </c>
      <c r="C835" s="7">
        <v>46089.911354166667</v>
      </c>
      <c r="D835" s="8">
        <v>46089</v>
      </c>
      <c r="E835" s="9">
        <v>0.91135416666656965</v>
      </c>
      <c r="F835" s="10" t="s">
        <v>1020</v>
      </c>
      <c r="G835" s="10" t="s">
        <v>21</v>
      </c>
      <c r="H835" s="10" t="s">
        <v>101</v>
      </c>
      <c r="I835" s="10" t="s">
        <v>23</v>
      </c>
      <c r="J835" s="11">
        <v>1.7</v>
      </c>
      <c r="K835" s="12"/>
      <c r="L835" s="12"/>
      <c r="M835" s="12"/>
      <c r="N835" s="12"/>
      <c r="O835" s="12"/>
      <c r="P835" s="12"/>
      <c r="Q835" s="12"/>
      <c r="R835" s="12"/>
      <c r="S835" s="12"/>
    </row>
    <row r="836" spans="1:19" ht="14.25" customHeight="1" x14ac:dyDescent="0.2">
      <c r="A836" s="1" t="s">
        <v>24</v>
      </c>
      <c r="B836" s="7">
        <v>46089.856979166667</v>
      </c>
      <c r="C836" s="7">
        <v>46089.915567129632</v>
      </c>
      <c r="D836" s="8">
        <v>46089</v>
      </c>
      <c r="E836" s="9">
        <v>0.91556712963210884</v>
      </c>
      <c r="F836" s="10" t="s">
        <v>1021</v>
      </c>
      <c r="G836" s="10" t="s">
        <v>21</v>
      </c>
      <c r="H836" s="10" t="s">
        <v>620</v>
      </c>
      <c r="I836" s="10" t="s">
        <v>23</v>
      </c>
      <c r="J836" s="11">
        <v>1.06</v>
      </c>
      <c r="K836" s="12"/>
      <c r="L836" s="12"/>
      <c r="M836" s="12"/>
      <c r="N836" s="12"/>
      <c r="O836" s="12"/>
      <c r="P836" s="12"/>
      <c r="Q836" s="12"/>
      <c r="R836" s="12"/>
      <c r="S836" s="12"/>
    </row>
    <row r="837" spans="1:19" ht="14.25" customHeight="1" x14ac:dyDescent="0.2">
      <c r="A837" s="1" t="s">
        <v>24</v>
      </c>
      <c r="B837" s="7">
        <v>46089.856979166667</v>
      </c>
      <c r="C837" s="7">
        <v>46089.915763888886</v>
      </c>
      <c r="D837" s="8">
        <v>46089</v>
      </c>
      <c r="E837" s="9">
        <v>0.91576388888643123</v>
      </c>
      <c r="F837" s="10" t="s">
        <v>1022</v>
      </c>
      <c r="G837" s="10" t="s">
        <v>21</v>
      </c>
      <c r="H837" s="10" t="s">
        <v>52</v>
      </c>
      <c r="I837" s="10" t="s">
        <v>23</v>
      </c>
      <c r="J837" s="11">
        <v>0.98</v>
      </c>
      <c r="K837" s="12"/>
      <c r="L837" s="12"/>
      <c r="M837" s="12"/>
      <c r="N837" s="12"/>
      <c r="O837" s="12"/>
      <c r="P837" s="12"/>
      <c r="Q837" s="12"/>
      <c r="R837" s="12"/>
      <c r="S837" s="12"/>
    </row>
    <row r="838" spans="1:19" ht="14.25" customHeight="1" x14ac:dyDescent="0.2">
      <c r="A838" s="1" t="s">
        <v>33</v>
      </c>
      <c r="B838" s="7">
        <v>46089.897465277776</v>
      </c>
      <c r="C838" s="7">
        <v>46089.916030092594</v>
      </c>
      <c r="D838" s="8">
        <v>46089</v>
      </c>
      <c r="E838" s="9">
        <v>0.91603009259415558</v>
      </c>
      <c r="F838" s="10" t="s">
        <v>1023</v>
      </c>
      <c r="G838" s="10" t="s">
        <v>21</v>
      </c>
      <c r="H838" s="10" t="s">
        <v>216</v>
      </c>
      <c r="I838" s="10" t="s">
        <v>23</v>
      </c>
      <c r="J838" s="11">
        <v>0.98</v>
      </c>
      <c r="K838" s="12"/>
      <c r="L838" s="12"/>
      <c r="M838" s="12"/>
      <c r="N838" s="12"/>
      <c r="O838" s="12"/>
      <c r="P838" s="12"/>
      <c r="Q838" s="12"/>
      <c r="R838" s="12"/>
      <c r="S838" s="12"/>
    </row>
    <row r="839" spans="1:19" ht="14.25" customHeight="1" x14ac:dyDescent="0.2">
      <c r="A839" s="1" t="s">
        <v>24</v>
      </c>
      <c r="B839" s="7">
        <v>46089.885462962964</v>
      </c>
      <c r="C839" s="7">
        <v>46089.919664351852</v>
      </c>
      <c r="D839" s="8">
        <v>46089</v>
      </c>
      <c r="E839" s="9">
        <v>0.91966435185167938</v>
      </c>
      <c r="F839" s="10" t="s">
        <v>1024</v>
      </c>
      <c r="G839" s="10" t="s">
        <v>26</v>
      </c>
      <c r="H839" s="10" t="s">
        <v>92</v>
      </c>
      <c r="I839" s="10" t="s">
        <v>23</v>
      </c>
      <c r="J839" s="11">
        <v>0.63</v>
      </c>
      <c r="K839" s="12"/>
      <c r="L839" s="12">
        <f>SUM(J839:J851)</f>
        <v>14.029999999999996</v>
      </c>
      <c r="M839" s="13">
        <f>L839*65</f>
        <v>911.9499999999997</v>
      </c>
      <c r="N839" s="14">
        <f>MAX(500,M839)</f>
        <v>911.9499999999997</v>
      </c>
      <c r="O839" s="12"/>
      <c r="P839" s="12"/>
      <c r="Q839" s="12"/>
      <c r="R839" s="12"/>
      <c r="S839" s="12"/>
    </row>
    <row r="840" spans="1:19" ht="14.25" customHeight="1" x14ac:dyDescent="0.2">
      <c r="A840" s="1" t="s">
        <v>42</v>
      </c>
      <c r="B840" s="7">
        <v>46089.877233796295</v>
      </c>
      <c r="C840" s="7">
        <v>46089.925428240742</v>
      </c>
      <c r="D840" s="8">
        <v>46089</v>
      </c>
      <c r="E840" s="9">
        <v>0.92542824074189411</v>
      </c>
      <c r="F840" s="10" t="s">
        <v>1025</v>
      </c>
      <c r="G840" s="10" t="s">
        <v>26</v>
      </c>
      <c r="H840" s="10" t="s">
        <v>78</v>
      </c>
      <c r="I840" s="10" t="s">
        <v>23</v>
      </c>
      <c r="J840" s="11">
        <v>0.56999999999999995</v>
      </c>
      <c r="K840" s="12"/>
      <c r="L840" s="12"/>
      <c r="M840" s="12"/>
      <c r="N840" s="12"/>
      <c r="O840" s="12"/>
      <c r="P840" s="12"/>
      <c r="Q840" s="12"/>
      <c r="R840" s="12"/>
      <c r="S840" s="12"/>
    </row>
    <row r="841" spans="1:19" ht="14.25" customHeight="1" x14ac:dyDescent="0.2">
      <c r="A841" s="1" t="s">
        <v>24</v>
      </c>
      <c r="B841" s="7">
        <v>46089.868344907409</v>
      </c>
      <c r="C841" s="7">
        <v>46089.925717592596</v>
      </c>
      <c r="D841" s="8">
        <v>46089</v>
      </c>
      <c r="E841" s="9">
        <v>0.92571759259590181</v>
      </c>
      <c r="F841" s="10" t="s">
        <v>1026</v>
      </c>
      <c r="G841" s="10" t="s">
        <v>21</v>
      </c>
      <c r="H841" s="10" t="s">
        <v>22</v>
      </c>
      <c r="I841" s="10" t="s">
        <v>23</v>
      </c>
      <c r="J841" s="11">
        <v>0.83</v>
      </c>
      <c r="K841" s="12"/>
      <c r="L841" s="12"/>
      <c r="M841" s="12"/>
      <c r="N841" s="12"/>
      <c r="O841" s="12"/>
      <c r="P841" s="12"/>
      <c r="Q841" s="12"/>
      <c r="R841" s="12"/>
      <c r="S841" s="12"/>
    </row>
    <row r="842" spans="1:19" ht="14.25" customHeight="1" x14ac:dyDescent="0.2">
      <c r="A842" s="1" t="s">
        <v>33</v>
      </c>
      <c r="B842" s="7">
        <v>46089.885520833333</v>
      </c>
      <c r="C842" s="7">
        <v>46089.930555555555</v>
      </c>
      <c r="D842" s="8">
        <v>46089</v>
      </c>
      <c r="E842" s="9">
        <v>0.93055555555474712</v>
      </c>
      <c r="F842" s="10" t="s">
        <v>1027</v>
      </c>
      <c r="G842" s="10" t="s">
        <v>21</v>
      </c>
      <c r="H842" s="10" t="s">
        <v>35</v>
      </c>
      <c r="I842" s="10" t="s">
        <v>23</v>
      </c>
      <c r="J842" s="11">
        <v>2.5</v>
      </c>
      <c r="K842" s="12"/>
      <c r="L842" s="12"/>
      <c r="M842" s="12"/>
      <c r="N842" s="12"/>
      <c r="O842" s="12"/>
      <c r="P842" s="12"/>
      <c r="Q842" s="12"/>
      <c r="R842" s="12"/>
      <c r="S842" s="12"/>
    </row>
    <row r="843" spans="1:19" ht="14.25" customHeight="1" x14ac:dyDescent="0.2">
      <c r="A843" s="1" t="s">
        <v>33</v>
      </c>
      <c r="B843" s="7">
        <v>46089.908043981479</v>
      </c>
      <c r="C843" s="7">
        <v>46089.931423611109</v>
      </c>
      <c r="D843" s="8">
        <v>46089</v>
      </c>
      <c r="E843" s="9">
        <v>0.93142361110949423</v>
      </c>
      <c r="F843" s="10" t="s">
        <v>1028</v>
      </c>
      <c r="G843" s="10" t="s">
        <v>44</v>
      </c>
      <c r="H843" s="10" t="s">
        <v>185</v>
      </c>
      <c r="I843" s="10" t="s">
        <v>23</v>
      </c>
      <c r="J843" s="11">
        <v>0.18</v>
      </c>
      <c r="K843" s="12"/>
      <c r="L843" s="12"/>
      <c r="M843" s="12"/>
      <c r="N843" s="12"/>
      <c r="O843" s="12"/>
      <c r="P843" s="12"/>
      <c r="Q843" s="12"/>
      <c r="R843" s="12"/>
      <c r="S843" s="12"/>
    </row>
    <row r="844" spans="1:19" ht="14.25" customHeight="1" x14ac:dyDescent="0.2">
      <c r="A844" s="1" t="s">
        <v>42</v>
      </c>
      <c r="B844" s="7">
        <v>46089.916851851849</v>
      </c>
      <c r="C844" s="7">
        <v>46089.931886574072</v>
      </c>
      <c r="D844" s="8">
        <v>46089</v>
      </c>
      <c r="E844" s="9">
        <v>0.93188657407154096</v>
      </c>
      <c r="F844" s="10" t="s">
        <v>1029</v>
      </c>
      <c r="G844" s="10" t="s">
        <v>44</v>
      </c>
      <c r="H844" s="10" t="s">
        <v>50</v>
      </c>
      <c r="I844" s="10" t="s">
        <v>23</v>
      </c>
      <c r="J844" s="11">
        <v>0.18</v>
      </c>
      <c r="K844" s="12"/>
      <c r="L844" s="12"/>
      <c r="M844" s="12"/>
      <c r="N844" s="12"/>
      <c r="O844" s="12"/>
      <c r="P844" s="12"/>
      <c r="Q844" s="12"/>
      <c r="R844" s="12"/>
      <c r="S844" s="12"/>
    </row>
    <row r="845" spans="1:19" ht="14.25" customHeight="1" x14ac:dyDescent="0.2">
      <c r="A845" s="1" t="s">
        <v>42</v>
      </c>
      <c r="B845" s="7">
        <v>46089.914398148147</v>
      </c>
      <c r="C845" s="7">
        <v>46089.932303240741</v>
      </c>
      <c r="D845" s="8">
        <v>46089</v>
      </c>
      <c r="E845" s="9">
        <v>0.932303240741021</v>
      </c>
      <c r="F845" s="10" t="s">
        <v>1030</v>
      </c>
      <c r="G845" s="10" t="s">
        <v>44</v>
      </c>
      <c r="H845" s="10" t="s">
        <v>50</v>
      </c>
      <c r="I845" s="10" t="s">
        <v>23</v>
      </c>
      <c r="J845" s="11">
        <v>0.18</v>
      </c>
      <c r="K845" s="12"/>
      <c r="L845" s="12"/>
      <c r="M845" s="12"/>
      <c r="N845" s="12"/>
      <c r="O845" s="12"/>
      <c r="P845" s="12"/>
      <c r="Q845" s="12"/>
      <c r="R845" s="12"/>
      <c r="S845" s="12"/>
    </row>
    <row r="846" spans="1:19" ht="14.25" customHeight="1" x14ac:dyDescent="0.2">
      <c r="A846" s="1" t="s">
        <v>42</v>
      </c>
      <c r="B846" s="7">
        <v>46089.91097222222</v>
      </c>
      <c r="C846" s="7">
        <v>46089.932824074072</v>
      </c>
      <c r="D846" s="8">
        <v>46089</v>
      </c>
      <c r="E846" s="9">
        <v>0.93282407407241408</v>
      </c>
      <c r="F846" s="10" t="s">
        <v>1031</v>
      </c>
      <c r="G846" s="10" t="s">
        <v>44</v>
      </c>
      <c r="H846" s="10" t="s">
        <v>140</v>
      </c>
      <c r="I846" s="10" t="s">
        <v>23</v>
      </c>
      <c r="J846" s="11">
        <v>0.18</v>
      </c>
      <c r="K846" s="12"/>
      <c r="L846" s="12"/>
      <c r="M846" s="12"/>
      <c r="N846" s="12"/>
      <c r="O846" s="12"/>
      <c r="P846" s="12"/>
      <c r="Q846" s="12"/>
      <c r="R846" s="12"/>
      <c r="S846" s="12"/>
    </row>
    <row r="847" spans="1:19" ht="14.25" customHeight="1" x14ac:dyDescent="0.2">
      <c r="A847" s="1" t="s">
        <v>28</v>
      </c>
      <c r="B847" s="7">
        <v>46089.883657407408</v>
      </c>
      <c r="C847" s="7">
        <v>46089.938391203701</v>
      </c>
      <c r="D847" s="8">
        <v>46089</v>
      </c>
      <c r="E847" s="9">
        <v>0.93839120370103046</v>
      </c>
      <c r="F847" s="10" t="s">
        <v>1032</v>
      </c>
      <c r="G847" s="10" t="s">
        <v>21</v>
      </c>
      <c r="H847" s="10" t="s">
        <v>41</v>
      </c>
      <c r="I847" s="10" t="s">
        <v>23</v>
      </c>
      <c r="J847" s="11">
        <v>1.77</v>
      </c>
      <c r="K847" s="12"/>
      <c r="L847" s="12"/>
      <c r="M847" s="12"/>
      <c r="N847" s="12"/>
      <c r="O847" s="12"/>
      <c r="P847" s="12"/>
      <c r="Q847" s="12"/>
      <c r="R847" s="12"/>
      <c r="S847" s="12"/>
    </row>
    <row r="848" spans="1:19" ht="14.25" customHeight="1" x14ac:dyDescent="0.2">
      <c r="A848" s="1" t="s">
        <v>19</v>
      </c>
      <c r="B848" s="7">
        <v>46089.926365740743</v>
      </c>
      <c r="C848" s="7">
        <v>46089.940081018518</v>
      </c>
      <c r="D848" s="8">
        <v>46089</v>
      </c>
      <c r="E848" s="9">
        <v>0.940081018517958</v>
      </c>
      <c r="F848" s="10" t="s">
        <v>1033</v>
      </c>
      <c r="G848" s="10" t="s">
        <v>21</v>
      </c>
      <c r="H848" s="10" t="s">
        <v>39</v>
      </c>
      <c r="I848" s="10" t="s">
        <v>23</v>
      </c>
      <c r="J848" s="11">
        <v>1.77</v>
      </c>
      <c r="K848" s="12"/>
      <c r="L848" s="12"/>
      <c r="M848" s="12"/>
      <c r="N848" s="12"/>
      <c r="O848" s="12"/>
      <c r="P848" s="12"/>
      <c r="Q848" s="12"/>
      <c r="R848" s="12"/>
      <c r="S848" s="12"/>
    </row>
    <row r="849" spans="1:19" ht="14.25" customHeight="1" x14ac:dyDescent="0.2">
      <c r="A849" s="1" t="s">
        <v>19</v>
      </c>
      <c r="B849" s="7">
        <v>46089.936099537037</v>
      </c>
      <c r="C849" s="7">
        <v>46089.944490740738</v>
      </c>
      <c r="D849" s="8">
        <v>46089</v>
      </c>
      <c r="E849" s="9">
        <v>0.94449074073781958</v>
      </c>
      <c r="F849" s="10" t="s">
        <v>1034</v>
      </c>
      <c r="G849" s="10" t="s">
        <v>21</v>
      </c>
      <c r="H849" s="10" t="s">
        <v>101</v>
      </c>
      <c r="I849" s="10" t="s">
        <v>23</v>
      </c>
      <c r="J849" s="11">
        <v>1.7</v>
      </c>
      <c r="K849" s="12"/>
      <c r="L849" s="12"/>
      <c r="M849" s="12"/>
      <c r="N849" s="12"/>
      <c r="O849" s="12"/>
      <c r="P849" s="12"/>
      <c r="Q849" s="12"/>
      <c r="R849" s="12"/>
      <c r="S849" s="12"/>
    </row>
    <row r="850" spans="1:19" ht="14.25" customHeight="1" x14ac:dyDescent="0.2">
      <c r="A850" s="1" t="s">
        <v>33</v>
      </c>
      <c r="B850" s="7">
        <v>46089.929236111115</v>
      </c>
      <c r="C850" s="7">
        <v>46089.945462962962</v>
      </c>
      <c r="D850" s="8">
        <v>46089</v>
      </c>
      <c r="E850" s="9">
        <v>0.94546296296175569</v>
      </c>
      <c r="F850" s="10" t="s">
        <v>1035</v>
      </c>
      <c r="G850" s="10" t="s">
        <v>21</v>
      </c>
      <c r="H850" s="10" t="s">
        <v>41</v>
      </c>
      <c r="I850" s="10" t="s">
        <v>23</v>
      </c>
      <c r="J850" s="11">
        <v>1.77</v>
      </c>
      <c r="K850" s="12"/>
      <c r="L850" s="12"/>
      <c r="M850" s="12"/>
      <c r="N850" s="12"/>
      <c r="O850" s="12"/>
      <c r="P850" s="12"/>
      <c r="Q850" s="12"/>
      <c r="R850" s="12"/>
      <c r="S850" s="12"/>
    </row>
    <row r="851" spans="1:19" ht="14.25" customHeight="1" x14ac:dyDescent="0.2">
      <c r="A851" s="1" t="s">
        <v>19</v>
      </c>
      <c r="B851" s="7">
        <v>46089.943067129629</v>
      </c>
      <c r="C851" s="7">
        <v>46089.955046296294</v>
      </c>
      <c r="D851" s="8">
        <v>46089</v>
      </c>
      <c r="E851" s="9">
        <v>0.95504629629431292</v>
      </c>
      <c r="F851" s="10" t="s">
        <v>1036</v>
      </c>
      <c r="G851" s="10" t="s">
        <v>21</v>
      </c>
      <c r="H851" s="10" t="s">
        <v>41</v>
      </c>
      <c r="I851" s="10" t="s">
        <v>23</v>
      </c>
      <c r="J851" s="11">
        <v>1.77</v>
      </c>
      <c r="K851" s="12"/>
      <c r="L851" s="12"/>
      <c r="M851" s="12"/>
      <c r="N851" s="12"/>
      <c r="O851" s="12"/>
      <c r="P851" s="12"/>
      <c r="Q851" s="12"/>
      <c r="R851" s="12"/>
      <c r="S851" s="12"/>
    </row>
    <row r="852" spans="1:19" ht="14.25" customHeight="1" x14ac:dyDescent="0.2">
      <c r="A852" s="1" t="s">
        <v>42</v>
      </c>
      <c r="B852" s="7">
        <v>46089.938969907409</v>
      </c>
      <c r="C852" s="7">
        <v>46089.967893518522</v>
      </c>
      <c r="D852" s="8">
        <v>46089</v>
      </c>
      <c r="E852" s="9">
        <v>0.96789351852203254</v>
      </c>
      <c r="F852" s="10" t="s">
        <v>1037</v>
      </c>
      <c r="G852" s="10" t="s">
        <v>26</v>
      </c>
      <c r="H852" s="10" t="s">
        <v>125</v>
      </c>
      <c r="I852" s="10" t="s">
        <v>23</v>
      </c>
      <c r="J852" s="11">
        <v>0.63</v>
      </c>
      <c r="K852" s="12"/>
      <c r="L852" s="12">
        <f>SUM(J852:J860)</f>
        <v>10.85</v>
      </c>
      <c r="M852" s="13">
        <f>L852*65</f>
        <v>705.25</v>
      </c>
      <c r="N852" s="14">
        <f>MAX(500,M852)</f>
        <v>705.25</v>
      </c>
      <c r="O852" s="12"/>
      <c r="P852" s="12"/>
      <c r="Q852" s="12"/>
      <c r="R852" s="12"/>
      <c r="S852" s="12"/>
    </row>
    <row r="853" spans="1:19" ht="14.25" customHeight="1" x14ac:dyDescent="0.2">
      <c r="A853" s="1" t="s">
        <v>19</v>
      </c>
      <c r="B853" s="7">
        <v>46089.954791666663</v>
      </c>
      <c r="C853" s="7">
        <v>46089.9684837963</v>
      </c>
      <c r="D853" s="8">
        <v>46089</v>
      </c>
      <c r="E853" s="9">
        <v>0.96848379629955161</v>
      </c>
      <c r="F853" s="10" t="s">
        <v>1038</v>
      </c>
      <c r="G853" s="10" t="s">
        <v>21</v>
      </c>
      <c r="H853" s="10" t="s">
        <v>41</v>
      </c>
      <c r="I853" s="10" t="s">
        <v>23</v>
      </c>
      <c r="J853" s="11">
        <v>1.77</v>
      </c>
      <c r="K853" s="12"/>
      <c r="L853" s="12"/>
      <c r="M853" s="12"/>
      <c r="N853" s="12"/>
      <c r="O853" s="12"/>
      <c r="P853" s="12"/>
      <c r="Q853" s="12"/>
      <c r="R853" s="12"/>
      <c r="S853" s="12"/>
    </row>
    <row r="854" spans="1:19" ht="14.25" customHeight="1" x14ac:dyDescent="0.2">
      <c r="A854" s="1" t="s">
        <v>24</v>
      </c>
      <c r="B854" s="7">
        <v>46089.911909722221</v>
      </c>
      <c r="C854" s="7">
        <v>46089.969861111109</v>
      </c>
      <c r="D854" s="8">
        <v>46089</v>
      </c>
      <c r="E854" s="9">
        <v>0.96986111110891216</v>
      </c>
      <c r="F854" s="10" t="s">
        <v>1039</v>
      </c>
      <c r="G854" s="10" t="s">
        <v>21</v>
      </c>
      <c r="H854" s="10" t="s">
        <v>101</v>
      </c>
      <c r="I854" s="10" t="s">
        <v>23</v>
      </c>
      <c r="J854" s="11">
        <v>1.7</v>
      </c>
      <c r="K854" s="12"/>
      <c r="L854" s="12"/>
      <c r="M854" s="12"/>
      <c r="N854" s="12"/>
      <c r="O854" s="12"/>
      <c r="P854" s="12"/>
      <c r="Q854" s="12"/>
      <c r="R854" s="12"/>
      <c r="S854" s="12"/>
    </row>
    <row r="855" spans="1:19" ht="14.25" customHeight="1" x14ac:dyDescent="0.2">
      <c r="A855" s="1" t="s">
        <v>19</v>
      </c>
      <c r="B855" s="7">
        <v>46089.936296296299</v>
      </c>
      <c r="C855" s="7">
        <v>46089.970509259256</v>
      </c>
      <c r="D855" s="8">
        <v>46089</v>
      </c>
      <c r="E855" s="9">
        <v>0.97050925925577758</v>
      </c>
      <c r="F855" s="10" t="s">
        <v>1040</v>
      </c>
      <c r="G855" s="10" t="s">
        <v>26</v>
      </c>
      <c r="H855" s="10" t="s">
        <v>205</v>
      </c>
      <c r="I855" s="10" t="s">
        <v>23</v>
      </c>
      <c r="J855" s="11">
        <v>0.57999999999999996</v>
      </c>
      <c r="K855" s="12"/>
      <c r="L855" s="12"/>
      <c r="M855" s="12"/>
      <c r="N855" s="12"/>
      <c r="O855" s="12"/>
      <c r="P855" s="12"/>
      <c r="Q855" s="12"/>
      <c r="R855" s="12"/>
      <c r="S855" s="12"/>
    </row>
    <row r="856" spans="1:19" ht="14.25" customHeight="1" x14ac:dyDescent="0.2">
      <c r="A856" s="1" t="s">
        <v>57</v>
      </c>
      <c r="B856" s="7">
        <v>46089.951145833336</v>
      </c>
      <c r="C856" s="7">
        <v>46089.988576388889</v>
      </c>
      <c r="D856" s="8">
        <v>46089</v>
      </c>
      <c r="E856" s="9">
        <v>0.98857638888875954</v>
      </c>
      <c r="F856" s="10" t="s">
        <v>1041</v>
      </c>
      <c r="G856" s="10" t="s">
        <v>26</v>
      </c>
      <c r="H856" s="10" t="s">
        <v>289</v>
      </c>
      <c r="I856" s="10" t="s">
        <v>23</v>
      </c>
      <c r="J856" s="11">
        <v>0.97</v>
      </c>
      <c r="K856" s="12"/>
      <c r="L856" s="12"/>
      <c r="M856" s="12"/>
      <c r="N856" s="12"/>
      <c r="O856" s="12"/>
      <c r="P856" s="12"/>
      <c r="Q856" s="12"/>
      <c r="R856" s="12"/>
      <c r="S856" s="12"/>
    </row>
    <row r="857" spans="1:19" ht="14.25" customHeight="1" x14ac:dyDescent="0.2">
      <c r="A857" s="1" t="s">
        <v>19</v>
      </c>
      <c r="B857" s="7">
        <v>46089.981782407405</v>
      </c>
      <c r="C857" s="7">
        <v>46089.989085648151</v>
      </c>
      <c r="D857" s="8">
        <v>46089</v>
      </c>
      <c r="E857" s="9">
        <v>0.98908564815064892</v>
      </c>
      <c r="F857" s="10" t="s">
        <v>1042</v>
      </c>
      <c r="G857" s="10" t="s">
        <v>21</v>
      </c>
      <c r="H857" s="10" t="s">
        <v>22</v>
      </c>
      <c r="I857" s="10" t="s">
        <v>23</v>
      </c>
      <c r="J857" s="11">
        <v>0.83</v>
      </c>
      <c r="K857" s="12"/>
      <c r="L857" s="12"/>
      <c r="M857" s="12"/>
      <c r="N857" s="12"/>
      <c r="O857" s="12"/>
      <c r="P857" s="12"/>
      <c r="Q857" s="12"/>
      <c r="R857" s="12"/>
      <c r="S857" s="12"/>
    </row>
    <row r="858" spans="1:19" ht="14.25" customHeight="1" x14ac:dyDescent="0.2">
      <c r="A858" s="1" t="s">
        <v>19</v>
      </c>
      <c r="B858" s="7">
        <v>46089.969918981478</v>
      </c>
      <c r="C858" s="7">
        <v>46089.999039351853</v>
      </c>
      <c r="D858" s="8">
        <v>46089</v>
      </c>
      <c r="E858" s="9">
        <v>0.99903935185284354</v>
      </c>
      <c r="F858" s="10" t="s">
        <v>1043</v>
      </c>
      <c r="G858" s="10" t="s">
        <v>21</v>
      </c>
      <c r="H858" s="10" t="s">
        <v>39</v>
      </c>
      <c r="I858" s="10" t="s">
        <v>23</v>
      </c>
      <c r="J858" s="11">
        <v>1.77</v>
      </c>
      <c r="K858" s="12"/>
      <c r="L858" s="12"/>
      <c r="M858" s="12"/>
      <c r="N858" s="12"/>
      <c r="O858" s="12"/>
      <c r="P858" s="12"/>
      <c r="Q858" s="12"/>
      <c r="R858" s="12"/>
      <c r="S858" s="12"/>
    </row>
    <row r="859" spans="1:19" ht="14.25" customHeight="1" x14ac:dyDescent="0.2">
      <c r="A859" s="1" t="s">
        <v>19</v>
      </c>
      <c r="B859" s="7">
        <v>46089.969918981478</v>
      </c>
      <c r="C859" s="7">
        <v>46089.999490740738</v>
      </c>
      <c r="D859" s="8">
        <v>46089</v>
      </c>
      <c r="E859" s="9">
        <v>0.99949074073811062</v>
      </c>
      <c r="F859" s="10" t="s">
        <v>1044</v>
      </c>
      <c r="G859" s="10" t="s">
        <v>21</v>
      </c>
      <c r="H859" s="10" t="s">
        <v>41</v>
      </c>
      <c r="I859" s="10" t="s">
        <v>23</v>
      </c>
      <c r="J859" s="11">
        <v>1.77</v>
      </c>
      <c r="K859" s="12"/>
      <c r="L859" s="12"/>
      <c r="M859" s="12"/>
      <c r="N859" s="12"/>
      <c r="O859" s="12"/>
      <c r="P859" s="12"/>
      <c r="Q859" s="12"/>
      <c r="R859" s="12"/>
      <c r="S859" s="12"/>
    </row>
    <row r="860" spans="1:19" ht="14.25" customHeight="1" x14ac:dyDescent="0.2">
      <c r="A860" s="1" t="s">
        <v>28</v>
      </c>
      <c r="B860" s="7">
        <v>46089.9377662037</v>
      </c>
      <c r="C860" s="7">
        <v>46089.999756944446</v>
      </c>
      <c r="D860" s="8">
        <v>46089</v>
      </c>
      <c r="E860" s="9">
        <v>0.99975694444583496</v>
      </c>
      <c r="F860" s="10" t="s">
        <v>1045</v>
      </c>
      <c r="G860" s="10" t="s">
        <v>21</v>
      </c>
      <c r="H860" s="10" t="s">
        <v>22</v>
      </c>
      <c r="I860" s="10" t="s">
        <v>23</v>
      </c>
      <c r="J860" s="11">
        <v>0.83</v>
      </c>
      <c r="K860" s="12"/>
      <c r="L860" s="12"/>
      <c r="M860" s="12"/>
      <c r="N860" s="12"/>
      <c r="O860" s="12"/>
      <c r="P860" s="12"/>
      <c r="Q860" s="12"/>
      <c r="R860" s="12"/>
      <c r="S860" s="12"/>
    </row>
    <row r="861" spans="1:19" ht="14.25" customHeight="1" x14ac:dyDescent="0.2">
      <c r="A861" s="1" t="s">
        <v>28</v>
      </c>
      <c r="B861" s="7">
        <v>46089.939212962963</v>
      </c>
      <c r="C861" s="7">
        <v>46090.000023148146</v>
      </c>
      <c r="D861" s="8">
        <v>46090</v>
      </c>
      <c r="E861" s="9">
        <v>2.314814628334716E-5</v>
      </c>
      <c r="F861" s="10" t="s">
        <v>1046</v>
      </c>
      <c r="G861" s="10" t="s">
        <v>21</v>
      </c>
      <c r="H861" s="10" t="s">
        <v>52</v>
      </c>
      <c r="I861" s="10" t="s">
        <v>23</v>
      </c>
      <c r="J861" s="11">
        <v>0.98</v>
      </c>
      <c r="K861" s="12"/>
      <c r="L861" s="12">
        <f>SUM(J861:J873)</f>
        <v>14.239999999999998</v>
      </c>
      <c r="M861" s="13">
        <f>L861*65</f>
        <v>925.59999999999991</v>
      </c>
      <c r="N861" s="14">
        <f>MAX(500,M861)</f>
        <v>925.59999999999991</v>
      </c>
      <c r="O861" s="12"/>
      <c r="P861" s="12"/>
      <c r="Q861" s="12"/>
      <c r="R861" s="12"/>
      <c r="S861" s="12"/>
    </row>
    <row r="862" spans="1:19" ht="14.25" customHeight="1" x14ac:dyDescent="0.2">
      <c r="A862" s="1" t="s">
        <v>24</v>
      </c>
      <c r="B862" s="7">
        <v>46089.985879629632</v>
      </c>
      <c r="C862" s="7">
        <v>46090.001898148148</v>
      </c>
      <c r="D862" s="8">
        <v>46090</v>
      </c>
      <c r="E862" s="9">
        <v>1.898148148029577E-3</v>
      </c>
      <c r="F862" s="10" t="s">
        <v>1047</v>
      </c>
      <c r="G862" s="10" t="s">
        <v>26</v>
      </c>
      <c r="H862" s="10" t="s">
        <v>205</v>
      </c>
      <c r="I862" s="10" t="s">
        <v>23</v>
      </c>
      <c r="J862" s="11">
        <v>0.57999999999999996</v>
      </c>
      <c r="K862" s="12"/>
      <c r="L862" s="12"/>
      <c r="M862" s="12"/>
      <c r="N862" s="12"/>
      <c r="O862" s="12"/>
      <c r="P862" s="12"/>
      <c r="Q862" s="12"/>
      <c r="R862" s="12"/>
      <c r="S862" s="12"/>
    </row>
    <row r="863" spans="1:19" ht="14.25" customHeight="1" x14ac:dyDescent="0.2">
      <c r="A863" s="1" t="s">
        <v>95</v>
      </c>
      <c r="B863" s="7">
        <v>46089.968807870369</v>
      </c>
      <c r="C863" s="7">
        <v>46090.002546296295</v>
      </c>
      <c r="D863" s="8">
        <v>46090</v>
      </c>
      <c r="E863" s="9">
        <v>2.5462962948950008E-3</v>
      </c>
      <c r="F863" s="10" t="s">
        <v>1048</v>
      </c>
      <c r="G863" s="10" t="s">
        <v>26</v>
      </c>
      <c r="H863" s="10" t="s">
        <v>56</v>
      </c>
      <c r="I863" s="10" t="s">
        <v>23</v>
      </c>
      <c r="J863" s="11">
        <v>0.73</v>
      </c>
      <c r="K863" s="12"/>
      <c r="L863" s="12"/>
      <c r="M863" s="12"/>
      <c r="N863" s="12"/>
      <c r="O863" s="12"/>
      <c r="P863" s="12"/>
      <c r="Q863" s="12"/>
      <c r="R863" s="12"/>
      <c r="S863" s="12"/>
    </row>
    <row r="864" spans="1:19" ht="14.25" customHeight="1" x14ac:dyDescent="0.2">
      <c r="A864" s="1" t="s">
        <v>95</v>
      </c>
      <c r="B864" s="7">
        <v>46089.913622685184</v>
      </c>
      <c r="C864" s="7">
        <v>46090.002847222226</v>
      </c>
      <c r="D864" s="8">
        <v>46090</v>
      </c>
      <c r="E864" s="9">
        <v>2.8472222256823443E-3</v>
      </c>
      <c r="F864" s="10" t="s">
        <v>1049</v>
      </c>
      <c r="G864" s="10" t="s">
        <v>26</v>
      </c>
      <c r="H864" s="10" t="s">
        <v>1050</v>
      </c>
      <c r="I864" s="10" t="s">
        <v>23</v>
      </c>
      <c r="J864" s="11">
        <v>0.5</v>
      </c>
      <c r="K864" s="12"/>
      <c r="L864" s="12"/>
      <c r="M864" s="12"/>
      <c r="N864" s="12"/>
      <c r="O864" s="12"/>
      <c r="P864" s="12"/>
      <c r="Q864" s="12"/>
      <c r="R864" s="12"/>
      <c r="S864" s="12"/>
    </row>
    <row r="865" spans="1:19" ht="14.25" customHeight="1" x14ac:dyDescent="0.2">
      <c r="A865" s="1" t="s">
        <v>63</v>
      </c>
      <c r="B865" s="7">
        <v>46089.988854166666</v>
      </c>
      <c r="C865" s="7">
        <v>46090.00304398148</v>
      </c>
      <c r="D865" s="8">
        <v>46090</v>
      </c>
      <c r="E865" s="9">
        <v>3.0439814800047316E-3</v>
      </c>
      <c r="F865" s="10" t="s">
        <v>1051</v>
      </c>
      <c r="G865" s="10" t="s">
        <v>21</v>
      </c>
      <c r="H865" s="10" t="s">
        <v>110</v>
      </c>
      <c r="I865" s="10" t="s">
        <v>23</v>
      </c>
      <c r="J865" s="11">
        <v>0.83</v>
      </c>
      <c r="K865" s="12"/>
      <c r="L865" s="12"/>
      <c r="M865" s="12"/>
      <c r="N865" s="12"/>
      <c r="O865" s="12"/>
      <c r="P865" s="12"/>
      <c r="Q865" s="12"/>
      <c r="R865" s="12"/>
      <c r="S865" s="12"/>
    </row>
    <row r="866" spans="1:19" ht="14.25" customHeight="1" x14ac:dyDescent="0.2">
      <c r="A866" s="1" t="s">
        <v>95</v>
      </c>
      <c r="B866" s="7">
        <v>46089.972754629627</v>
      </c>
      <c r="C866" s="7">
        <v>46090.003935185188</v>
      </c>
      <c r="D866" s="8">
        <v>46090</v>
      </c>
      <c r="E866" s="9">
        <v>3.9351851883111522E-3</v>
      </c>
      <c r="F866" s="10" t="s">
        <v>1052</v>
      </c>
      <c r="G866" s="10" t="s">
        <v>21</v>
      </c>
      <c r="H866" s="10" t="s">
        <v>97</v>
      </c>
      <c r="I866" s="10" t="s">
        <v>23</v>
      </c>
      <c r="J866" s="11">
        <v>1.77</v>
      </c>
      <c r="K866" s="12"/>
      <c r="L866" s="12"/>
      <c r="M866" s="12"/>
      <c r="N866" s="12"/>
      <c r="O866" s="12"/>
      <c r="P866" s="12"/>
      <c r="Q866" s="12"/>
      <c r="R866" s="12"/>
      <c r="S866" s="12"/>
    </row>
    <row r="867" spans="1:19" ht="14.25" customHeight="1" x14ac:dyDescent="0.2">
      <c r="A867" s="1" t="s">
        <v>95</v>
      </c>
      <c r="B867" s="7">
        <v>46089.972754629627</v>
      </c>
      <c r="C867" s="7">
        <v>46090.004479166666</v>
      </c>
      <c r="D867" s="8">
        <v>46090</v>
      </c>
      <c r="E867" s="9">
        <v>4.4791666659875773E-3</v>
      </c>
      <c r="F867" s="10" t="s">
        <v>1053</v>
      </c>
      <c r="G867" s="10" t="s">
        <v>21</v>
      </c>
      <c r="H867" s="10" t="s">
        <v>154</v>
      </c>
      <c r="I867" s="10" t="s">
        <v>23</v>
      </c>
      <c r="J867" s="11">
        <v>1.77</v>
      </c>
      <c r="K867" s="12"/>
      <c r="L867" s="12"/>
      <c r="M867" s="12"/>
      <c r="N867" s="12"/>
      <c r="O867" s="12"/>
      <c r="P867" s="12"/>
      <c r="Q867" s="12"/>
      <c r="R867" s="12"/>
      <c r="S867" s="12"/>
    </row>
    <row r="868" spans="1:19" ht="14.25" customHeight="1" x14ac:dyDescent="0.2">
      <c r="A868" s="1" t="s">
        <v>19</v>
      </c>
      <c r="B868" s="7">
        <v>46089.979629629626</v>
      </c>
      <c r="C868" s="7">
        <v>46090.004837962966</v>
      </c>
      <c r="D868" s="8">
        <v>46090</v>
      </c>
      <c r="E868" s="9">
        <v>4.8379629661212675E-3</v>
      </c>
      <c r="F868" s="10" t="s">
        <v>1054</v>
      </c>
      <c r="G868" s="10" t="s">
        <v>21</v>
      </c>
      <c r="H868" s="10" t="s">
        <v>39</v>
      </c>
      <c r="I868" s="10" t="s">
        <v>23</v>
      </c>
      <c r="J868" s="11">
        <v>1.77</v>
      </c>
      <c r="K868" s="12"/>
      <c r="L868" s="12"/>
      <c r="M868" s="12"/>
      <c r="N868" s="12"/>
      <c r="O868" s="12"/>
      <c r="P868" s="12"/>
      <c r="Q868" s="12"/>
      <c r="R868" s="12"/>
      <c r="S868" s="12"/>
    </row>
    <row r="869" spans="1:19" ht="14.25" customHeight="1" x14ac:dyDescent="0.2">
      <c r="A869" s="1" t="s">
        <v>95</v>
      </c>
      <c r="B869" s="7">
        <v>46089.9921412037</v>
      </c>
      <c r="C869" s="7">
        <v>46090.009884259256</v>
      </c>
      <c r="D869" s="8">
        <v>46090</v>
      </c>
      <c r="E869" s="9">
        <v>9.8842592560686171E-3</v>
      </c>
      <c r="F869" s="10" t="s">
        <v>1055</v>
      </c>
      <c r="G869" s="10" t="s">
        <v>21</v>
      </c>
      <c r="H869" s="10" t="s">
        <v>97</v>
      </c>
      <c r="I869" s="10" t="s">
        <v>23</v>
      </c>
      <c r="J869" s="11">
        <v>1.77</v>
      </c>
      <c r="K869" s="12"/>
      <c r="L869" s="12"/>
      <c r="M869" s="12"/>
      <c r="N869" s="12"/>
      <c r="O869" s="12"/>
      <c r="P869" s="12"/>
      <c r="Q869" s="12"/>
      <c r="R869" s="12"/>
      <c r="S869" s="12"/>
    </row>
    <row r="870" spans="1:19" ht="14.25" customHeight="1" x14ac:dyDescent="0.2">
      <c r="A870" s="1" t="s">
        <v>19</v>
      </c>
      <c r="B870" s="7">
        <v>46090.007002314815</v>
      </c>
      <c r="C870" s="7">
        <v>46090.014999999999</v>
      </c>
      <c r="D870" s="8">
        <v>46090</v>
      </c>
      <c r="E870" s="9">
        <v>1.4999999999417923E-2</v>
      </c>
      <c r="F870" s="10" t="s">
        <v>1056</v>
      </c>
      <c r="G870" s="10" t="s">
        <v>21</v>
      </c>
      <c r="H870" s="10" t="s">
        <v>101</v>
      </c>
      <c r="I870" s="10" t="s">
        <v>23</v>
      </c>
      <c r="J870" s="11">
        <v>1.7</v>
      </c>
      <c r="K870" s="12"/>
      <c r="L870" s="12"/>
      <c r="M870" s="12"/>
      <c r="N870" s="12"/>
      <c r="O870" s="12"/>
      <c r="P870" s="12"/>
      <c r="Q870" s="12"/>
      <c r="R870" s="12"/>
      <c r="S870" s="12"/>
    </row>
    <row r="871" spans="1:19" ht="14.25" customHeight="1" x14ac:dyDescent="0.2">
      <c r="A871" s="1" t="s">
        <v>95</v>
      </c>
      <c r="B871" s="7">
        <v>46089.996006944442</v>
      </c>
      <c r="C871" s="7">
        <v>46090.015347222223</v>
      </c>
      <c r="D871" s="8">
        <v>46090</v>
      </c>
      <c r="E871" s="9">
        <v>1.5347222222771961E-2</v>
      </c>
      <c r="F871" s="10" t="s">
        <v>1057</v>
      </c>
      <c r="G871" s="10" t="s">
        <v>44</v>
      </c>
      <c r="H871" s="10" t="s">
        <v>45</v>
      </c>
      <c r="I871" s="10" t="s">
        <v>23</v>
      </c>
      <c r="J871" s="11">
        <v>0.18</v>
      </c>
      <c r="K871" s="12"/>
      <c r="L871" s="12"/>
      <c r="M871" s="12"/>
      <c r="N871" s="12"/>
      <c r="O871" s="12"/>
      <c r="P871" s="12"/>
      <c r="Q871" s="12"/>
      <c r="R871" s="12"/>
      <c r="S871" s="12"/>
    </row>
    <row r="872" spans="1:19" ht="14.25" customHeight="1" x14ac:dyDescent="0.2">
      <c r="A872" s="1" t="s">
        <v>33</v>
      </c>
      <c r="B872" s="7">
        <v>46090.011203703703</v>
      </c>
      <c r="C872" s="7">
        <v>46090.0234837963</v>
      </c>
      <c r="D872" s="8">
        <v>46090</v>
      </c>
      <c r="E872" s="9">
        <v>2.3483796299842652E-2</v>
      </c>
      <c r="F872" s="10" t="s">
        <v>1058</v>
      </c>
      <c r="G872" s="10" t="s">
        <v>21</v>
      </c>
      <c r="H872" s="10" t="s">
        <v>22</v>
      </c>
      <c r="I872" s="10" t="s">
        <v>23</v>
      </c>
      <c r="J872" s="11">
        <v>0.83</v>
      </c>
      <c r="K872" s="12"/>
      <c r="L872" s="12"/>
      <c r="M872" s="12"/>
      <c r="N872" s="12"/>
      <c r="O872" s="12"/>
      <c r="P872" s="12"/>
      <c r="Q872" s="12"/>
      <c r="R872" s="12"/>
      <c r="S872" s="12"/>
    </row>
    <row r="873" spans="1:19" ht="14.25" customHeight="1" x14ac:dyDescent="0.2">
      <c r="A873" s="1" t="s">
        <v>24</v>
      </c>
      <c r="B873" s="7">
        <v>46089.983495370368</v>
      </c>
      <c r="C873" s="7">
        <v>46090.041168981479</v>
      </c>
      <c r="D873" s="8">
        <v>46090</v>
      </c>
      <c r="E873" s="9">
        <v>4.1168981479131617E-2</v>
      </c>
      <c r="F873" s="10" t="s">
        <v>1059</v>
      </c>
      <c r="G873" s="10" t="s">
        <v>21</v>
      </c>
      <c r="H873" s="10" t="s">
        <v>54</v>
      </c>
      <c r="I873" s="10" t="s">
        <v>23</v>
      </c>
      <c r="J873" s="11">
        <v>0.83</v>
      </c>
      <c r="K873" s="12"/>
      <c r="L873" s="12"/>
      <c r="M873" s="12"/>
      <c r="N873" s="12"/>
      <c r="O873" s="12"/>
      <c r="P873" s="12"/>
      <c r="Q873" s="12"/>
      <c r="R873" s="12"/>
      <c r="S873" s="12"/>
    </row>
    <row r="874" spans="1:19" ht="14.25" customHeight="1" x14ac:dyDescent="0.2">
      <c r="A874" s="1" t="s">
        <v>57</v>
      </c>
      <c r="B874" s="7">
        <v>46090.017800925925</v>
      </c>
      <c r="C874" s="7">
        <v>46090.041747685187</v>
      </c>
      <c r="D874" s="8">
        <v>46090</v>
      </c>
      <c r="E874" s="9">
        <v>4.1747685187146999E-2</v>
      </c>
      <c r="F874" s="10" t="s">
        <v>1060</v>
      </c>
      <c r="G874" s="10" t="s">
        <v>21</v>
      </c>
      <c r="H874" s="10" t="s">
        <v>303</v>
      </c>
      <c r="I874" s="10" t="s">
        <v>23</v>
      </c>
      <c r="J874" s="11">
        <v>1.77</v>
      </c>
      <c r="K874" s="12"/>
      <c r="L874" s="12">
        <f>SUM(J874:J889)</f>
        <v>18.299999999999997</v>
      </c>
      <c r="M874" s="13">
        <f>L874*65</f>
        <v>1189.4999999999998</v>
      </c>
      <c r="N874" s="14">
        <f>MAX(500,M874)</f>
        <v>1189.4999999999998</v>
      </c>
      <c r="O874" s="12"/>
      <c r="P874" s="12"/>
      <c r="Q874" s="12"/>
      <c r="R874" s="12"/>
      <c r="S874" s="12"/>
    </row>
    <row r="875" spans="1:19" ht="14.25" customHeight="1" x14ac:dyDescent="0.2">
      <c r="A875" s="1" t="s">
        <v>19</v>
      </c>
      <c r="B875" s="7">
        <v>46090.031689814816</v>
      </c>
      <c r="C875" s="7">
        <v>46090.042430555557</v>
      </c>
      <c r="D875" s="8">
        <v>46090</v>
      </c>
      <c r="E875" s="9">
        <v>4.2430555557075422E-2</v>
      </c>
      <c r="F875" s="10" t="s">
        <v>1061</v>
      </c>
      <c r="G875" s="10" t="s">
        <v>21</v>
      </c>
      <c r="H875" s="10" t="s">
        <v>22</v>
      </c>
      <c r="I875" s="10" t="s">
        <v>23</v>
      </c>
      <c r="J875" s="11">
        <v>0.83</v>
      </c>
      <c r="K875" s="12"/>
      <c r="L875" s="12"/>
      <c r="M875" s="12"/>
      <c r="N875" s="12"/>
      <c r="O875" s="12"/>
      <c r="P875" s="12"/>
      <c r="Q875" s="12"/>
      <c r="R875" s="12"/>
      <c r="S875" s="12"/>
    </row>
    <row r="876" spans="1:19" ht="14.25" customHeight="1" x14ac:dyDescent="0.2">
      <c r="A876" s="1" t="s">
        <v>24</v>
      </c>
      <c r="B876" s="7">
        <v>46090.02616898148</v>
      </c>
      <c r="C876" s="7">
        <v>46090.043032407404</v>
      </c>
      <c r="D876" s="8">
        <v>46090</v>
      </c>
      <c r="E876" s="9">
        <v>4.3032407404098194E-2</v>
      </c>
      <c r="F876" s="10" t="s">
        <v>1062</v>
      </c>
      <c r="G876" s="10" t="s">
        <v>26</v>
      </c>
      <c r="H876" s="10" t="s">
        <v>205</v>
      </c>
      <c r="I876" s="10" t="s">
        <v>23</v>
      </c>
      <c r="J876" s="11">
        <v>0.57999999999999996</v>
      </c>
      <c r="K876" s="12"/>
      <c r="L876" s="12"/>
      <c r="M876" s="12"/>
      <c r="N876" s="12"/>
      <c r="O876" s="12"/>
      <c r="P876" s="12"/>
      <c r="Q876" s="12"/>
      <c r="R876" s="12"/>
      <c r="S876" s="12"/>
    </row>
    <row r="877" spans="1:19" ht="14.25" customHeight="1" x14ac:dyDescent="0.2">
      <c r="A877" s="1" t="s">
        <v>24</v>
      </c>
      <c r="B877" s="7">
        <v>46089.988703703704</v>
      </c>
      <c r="C877" s="7">
        <v>46090.043680555558</v>
      </c>
      <c r="D877" s="8">
        <v>46090</v>
      </c>
      <c r="E877" s="9">
        <v>4.3680555558239575E-2</v>
      </c>
      <c r="F877" s="10" t="s">
        <v>1063</v>
      </c>
      <c r="G877" s="10" t="s">
        <v>21</v>
      </c>
      <c r="H877" s="10" t="s">
        <v>101</v>
      </c>
      <c r="I877" s="10" t="s">
        <v>23</v>
      </c>
      <c r="J877" s="11">
        <v>1.7</v>
      </c>
      <c r="K877" s="12"/>
      <c r="L877" s="12"/>
      <c r="M877" s="12"/>
      <c r="N877" s="12"/>
      <c r="O877" s="12"/>
      <c r="P877" s="12"/>
      <c r="Q877" s="12"/>
      <c r="R877" s="12"/>
      <c r="S877" s="12"/>
    </row>
    <row r="878" spans="1:19" ht="14.25" customHeight="1" x14ac:dyDescent="0.2">
      <c r="A878" s="1" t="s">
        <v>95</v>
      </c>
      <c r="B878" s="7">
        <v>46090.036111111112</v>
      </c>
      <c r="C878" s="7">
        <v>46090.043958333335</v>
      </c>
      <c r="D878" s="8">
        <v>46090</v>
      </c>
      <c r="E878" s="9">
        <v>4.3958333335467614E-2</v>
      </c>
      <c r="F878" s="10" t="s">
        <v>1064</v>
      </c>
      <c r="G878" s="10" t="s">
        <v>21</v>
      </c>
      <c r="H878" s="10" t="s">
        <v>110</v>
      </c>
      <c r="I878" s="10" t="s">
        <v>23</v>
      </c>
      <c r="J878" s="11">
        <v>0.83</v>
      </c>
      <c r="K878" s="12"/>
      <c r="L878" s="12"/>
      <c r="M878" s="12"/>
      <c r="N878" s="12"/>
      <c r="O878" s="12"/>
      <c r="P878" s="12"/>
      <c r="Q878" s="12"/>
      <c r="R878" s="12"/>
      <c r="S878" s="12"/>
    </row>
    <row r="879" spans="1:19" ht="14.25" customHeight="1" x14ac:dyDescent="0.2">
      <c r="A879" s="1" t="s">
        <v>95</v>
      </c>
      <c r="B879" s="7">
        <v>46090.037881944445</v>
      </c>
      <c r="C879" s="7">
        <v>46090.044560185182</v>
      </c>
      <c r="D879" s="8">
        <v>46090</v>
      </c>
      <c r="E879" s="9">
        <v>4.4560185182490386E-2</v>
      </c>
      <c r="F879" s="10" t="s">
        <v>1065</v>
      </c>
      <c r="G879" s="10" t="s">
        <v>21</v>
      </c>
      <c r="H879" s="10" t="s">
        <v>52</v>
      </c>
      <c r="I879" s="10" t="s">
        <v>23</v>
      </c>
      <c r="J879" s="11">
        <v>0.98</v>
      </c>
      <c r="K879" s="12"/>
      <c r="L879" s="12"/>
      <c r="M879" s="12"/>
      <c r="N879" s="12"/>
      <c r="O879" s="12"/>
      <c r="P879" s="12"/>
      <c r="Q879" s="12"/>
      <c r="R879" s="12"/>
      <c r="S879" s="12"/>
    </row>
    <row r="880" spans="1:19" ht="14.25" customHeight="1" x14ac:dyDescent="0.2">
      <c r="A880" s="1" t="s">
        <v>95</v>
      </c>
      <c r="B880" s="7">
        <v>46090.040092592593</v>
      </c>
      <c r="C880" s="7">
        <v>46090.047743055555</v>
      </c>
      <c r="D880" s="8">
        <v>46090</v>
      </c>
      <c r="E880" s="9">
        <v>4.7743055554747116E-2</v>
      </c>
      <c r="F880" s="10" t="s">
        <v>1066</v>
      </c>
      <c r="G880" s="10" t="s">
        <v>21</v>
      </c>
      <c r="H880" s="10" t="s">
        <v>108</v>
      </c>
      <c r="I880" s="10" t="s">
        <v>23</v>
      </c>
      <c r="J880" s="11">
        <v>1.7</v>
      </c>
      <c r="K880" s="12"/>
      <c r="L880" s="12"/>
      <c r="M880" s="12"/>
      <c r="N880" s="12"/>
      <c r="O880" s="12"/>
      <c r="P880" s="12"/>
      <c r="Q880" s="12"/>
      <c r="R880" s="12"/>
      <c r="S880" s="12"/>
    </row>
    <row r="881" spans="1:19" ht="14.25" customHeight="1" x14ac:dyDescent="0.2">
      <c r="A881" s="1" t="s">
        <v>95</v>
      </c>
      <c r="B881" s="7">
        <v>46090.001701388886</v>
      </c>
      <c r="C881" s="7">
        <v>46090.050706018519</v>
      </c>
      <c r="D881" s="8">
        <v>46090</v>
      </c>
      <c r="E881" s="9">
        <v>5.0706018519122154E-2</v>
      </c>
      <c r="F881" s="10" t="s">
        <v>1067</v>
      </c>
      <c r="G881" s="10" t="s">
        <v>44</v>
      </c>
      <c r="H881" s="10" t="s">
        <v>45</v>
      </c>
      <c r="I881" s="10" t="s">
        <v>23</v>
      </c>
      <c r="J881" s="11">
        <v>0.18</v>
      </c>
      <c r="K881" s="12"/>
      <c r="L881" s="12"/>
      <c r="M881" s="12"/>
      <c r="N881" s="12"/>
      <c r="O881" s="12"/>
      <c r="P881" s="12"/>
      <c r="Q881" s="12"/>
      <c r="R881" s="12"/>
      <c r="S881" s="12"/>
    </row>
    <row r="882" spans="1:19" ht="14.25" customHeight="1" x14ac:dyDescent="0.2">
      <c r="A882" s="1" t="s">
        <v>33</v>
      </c>
      <c r="B882" s="7">
        <v>46090.023182870369</v>
      </c>
      <c r="C882" s="7">
        <v>46090.063506944447</v>
      </c>
      <c r="D882" s="8">
        <v>46090</v>
      </c>
      <c r="E882" s="9">
        <v>6.3506944446999114E-2</v>
      </c>
      <c r="F882" s="10" t="s">
        <v>1068</v>
      </c>
      <c r="G882" s="10" t="s">
        <v>26</v>
      </c>
      <c r="H882" s="10" t="s">
        <v>128</v>
      </c>
      <c r="I882" s="10" t="s">
        <v>23</v>
      </c>
      <c r="J882" s="11">
        <v>0.97</v>
      </c>
      <c r="K882" s="12"/>
      <c r="L882" s="12"/>
      <c r="M882" s="12"/>
      <c r="N882" s="12"/>
      <c r="O882" s="12"/>
      <c r="P882" s="12"/>
      <c r="Q882" s="12"/>
      <c r="R882" s="12"/>
      <c r="S882" s="12"/>
    </row>
    <row r="883" spans="1:19" ht="14.25" customHeight="1" x14ac:dyDescent="0.2">
      <c r="A883" s="1" t="s">
        <v>24</v>
      </c>
      <c r="B883" s="7">
        <v>46090.013425925928</v>
      </c>
      <c r="C883" s="7">
        <v>46090.070636574077</v>
      </c>
      <c r="D883" s="8">
        <v>46090</v>
      </c>
      <c r="E883" s="9">
        <v>7.0636574077070691E-2</v>
      </c>
      <c r="F883" s="10" t="s">
        <v>1069</v>
      </c>
      <c r="G883" s="10" t="s">
        <v>21</v>
      </c>
      <c r="H883" s="10" t="s">
        <v>41</v>
      </c>
      <c r="I883" s="10" t="s">
        <v>23</v>
      </c>
      <c r="J883" s="11">
        <v>1.77</v>
      </c>
      <c r="K883" s="12"/>
      <c r="L883" s="12"/>
      <c r="M883" s="12"/>
      <c r="N883" s="12"/>
      <c r="O883" s="12"/>
      <c r="P883" s="12"/>
      <c r="Q883" s="12"/>
      <c r="R883" s="12"/>
      <c r="S883" s="12"/>
    </row>
    <row r="884" spans="1:19" ht="14.25" customHeight="1" x14ac:dyDescent="0.2">
      <c r="A884" s="1" t="s">
        <v>42</v>
      </c>
      <c r="B884" s="7">
        <v>46090.041585648149</v>
      </c>
      <c r="C884" s="7">
        <v>46090.074108796296</v>
      </c>
      <c r="D884" s="8">
        <v>46090</v>
      </c>
      <c r="E884" s="9">
        <v>7.4108796296059154E-2</v>
      </c>
      <c r="F884" s="10" t="s">
        <v>1070</v>
      </c>
      <c r="G884" s="10" t="s">
        <v>26</v>
      </c>
      <c r="H884" s="10" t="s">
        <v>172</v>
      </c>
      <c r="I884" s="10" t="s">
        <v>23</v>
      </c>
      <c r="J884" s="11">
        <v>0.67</v>
      </c>
      <c r="K884" s="12"/>
      <c r="L884" s="12"/>
      <c r="M884" s="12"/>
      <c r="N884" s="12"/>
      <c r="O884" s="12"/>
      <c r="P884" s="12"/>
      <c r="Q884" s="12"/>
      <c r="R884" s="12"/>
      <c r="S884" s="12"/>
    </row>
    <row r="885" spans="1:19" ht="14.25" customHeight="1" x14ac:dyDescent="0.2">
      <c r="A885" s="1" t="s">
        <v>33</v>
      </c>
      <c r="B885" s="7">
        <v>46090.063750000001</v>
      </c>
      <c r="C885" s="7">
        <v>46090.078159722223</v>
      </c>
      <c r="D885" s="8">
        <v>46090</v>
      </c>
      <c r="E885" s="9">
        <v>7.8159722223063E-2</v>
      </c>
      <c r="F885" s="10" t="s">
        <v>1071</v>
      </c>
      <c r="G885" s="10" t="s">
        <v>21</v>
      </c>
      <c r="H885" s="10" t="s">
        <v>22</v>
      </c>
      <c r="I885" s="10" t="s">
        <v>23</v>
      </c>
      <c r="J885" s="11">
        <v>0.83</v>
      </c>
      <c r="K885" s="12"/>
      <c r="L885" s="12"/>
      <c r="M885" s="12"/>
      <c r="N885" s="12"/>
      <c r="O885" s="12"/>
      <c r="P885" s="12"/>
      <c r="Q885" s="12"/>
      <c r="R885" s="12"/>
      <c r="S885" s="12"/>
    </row>
    <row r="886" spans="1:19" ht="14.25" customHeight="1" x14ac:dyDescent="0.2">
      <c r="A886" s="1" t="s">
        <v>95</v>
      </c>
      <c r="B886" s="7">
        <v>46090.067291666666</v>
      </c>
      <c r="C886" s="7">
        <v>46090.078877314816</v>
      </c>
      <c r="D886" s="8">
        <v>46090</v>
      </c>
      <c r="E886" s="9">
        <v>7.8877314816054422E-2</v>
      </c>
      <c r="F886" s="10" t="s">
        <v>1072</v>
      </c>
      <c r="G886" s="10" t="s">
        <v>44</v>
      </c>
      <c r="H886" s="10" t="s">
        <v>45</v>
      </c>
      <c r="I886" s="10" t="s">
        <v>23</v>
      </c>
      <c r="J886" s="11">
        <v>0.18</v>
      </c>
      <c r="K886" s="12"/>
      <c r="L886" s="12"/>
      <c r="M886" s="12"/>
      <c r="N886" s="12"/>
      <c r="O886" s="12"/>
      <c r="P886" s="12"/>
      <c r="Q886" s="12"/>
      <c r="R886" s="12"/>
      <c r="S886" s="12"/>
    </row>
    <row r="887" spans="1:19" ht="14.25" customHeight="1" x14ac:dyDescent="0.2">
      <c r="A887" s="1" t="s">
        <v>19</v>
      </c>
      <c r="B887" s="7">
        <v>46090.066493055558</v>
      </c>
      <c r="C887" s="7">
        <v>46090.079409722224</v>
      </c>
      <c r="D887" s="8">
        <v>46090</v>
      </c>
      <c r="E887" s="9">
        <v>7.9409722224227153E-2</v>
      </c>
      <c r="F887" s="10" t="s">
        <v>1073</v>
      </c>
      <c r="G887" s="10" t="s">
        <v>21</v>
      </c>
      <c r="H887" s="10" t="s">
        <v>41</v>
      </c>
      <c r="I887" s="10" t="s">
        <v>23</v>
      </c>
      <c r="J887" s="11">
        <v>1.77</v>
      </c>
      <c r="K887" s="12"/>
      <c r="L887" s="12"/>
      <c r="M887" s="12"/>
      <c r="N887" s="12"/>
      <c r="O887" s="12"/>
      <c r="P887" s="12"/>
      <c r="Q887" s="12"/>
      <c r="R887" s="12"/>
      <c r="S887" s="12"/>
    </row>
    <row r="888" spans="1:19" ht="14.25" customHeight="1" x14ac:dyDescent="0.2">
      <c r="A888" s="1" t="s">
        <v>19</v>
      </c>
      <c r="B888" s="7">
        <v>46090.066481481481</v>
      </c>
      <c r="C888" s="7">
        <v>46090.079837962963</v>
      </c>
      <c r="D888" s="8">
        <v>46090</v>
      </c>
      <c r="E888" s="9">
        <v>7.9837962963210884E-2</v>
      </c>
      <c r="F888" s="10" t="s">
        <v>1074</v>
      </c>
      <c r="G888" s="10" t="s">
        <v>21</v>
      </c>
      <c r="H888" s="10" t="s">
        <v>39</v>
      </c>
      <c r="I888" s="10" t="s">
        <v>23</v>
      </c>
      <c r="J888" s="11">
        <v>1.77</v>
      </c>
      <c r="K888" s="12"/>
      <c r="L888" s="12"/>
      <c r="M888" s="12"/>
      <c r="N888" s="12"/>
      <c r="O888" s="12"/>
      <c r="P888" s="12"/>
      <c r="Q888" s="12"/>
      <c r="R888" s="12"/>
      <c r="S888" s="12"/>
    </row>
    <row r="889" spans="1:19" ht="14.25" customHeight="1" x14ac:dyDescent="0.2">
      <c r="A889" s="1" t="s">
        <v>95</v>
      </c>
      <c r="B889" s="7">
        <v>46090.059814814813</v>
      </c>
      <c r="C889" s="7">
        <v>46090.082870370374</v>
      </c>
      <c r="D889" s="8">
        <v>46090</v>
      </c>
      <c r="E889" s="9">
        <v>8.2870370373711921E-2</v>
      </c>
      <c r="F889" s="10" t="s">
        <v>1075</v>
      </c>
      <c r="G889" s="10" t="s">
        <v>21</v>
      </c>
      <c r="H889" s="10" t="s">
        <v>97</v>
      </c>
      <c r="I889" s="10" t="s">
        <v>23</v>
      </c>
      <c r="J889" s="11">
        <v>1.77</v>
      </c>
      <c r="K889" s="12"/>
      <c r="L889" s="12"/>
      <c r="M889" s="12"/>
      <c r="N889" s="12"/>
      <c r="O889" s="12"/>
      <c r="P889" s="12"/>
      <c r="Q889" s="12"/>
      <c r="R889" s="12"/>
      <c r="S889" s="12"/>
    </row>
    <row r="890" spans="1:19" ht="14.25" customHeight="1" x14ac:dyDescent="0.2">
      <c r="A890" s="1" t="s">
        <v>95</v>
      </c>
      <c r="B890" s="7">
        <v>46090.090775462966</v>
      </c>
      <c r="C890" s="7">
        <v>46090.092060185183</v>
      </c>
      <c r="D890" s="8">
        <v>46090</v>
      </c>
      <c r="E890" s="9">
        <v>9.2060185183072463E-2</v>
      </c>
      <c r="F890" s="10" t="s">
        <v>1076</v>
      </c>
      <c r="G890" s="10" t="s">
        <v>21</v>
      </c>
      <c r="H890" s="10" t="s">
        <v>110</v>
      </c>
      <c r="I890" s="10" t="s">
        <v>23</v>
      </c>
      <c r="J890" s="11">
        <v>0.83</v>
      </c>
      <c r="K890" s="12"/>
      <c r="L890" s="12">
        <f>SUM(J890:J902)</f>
        <v>14.799999999999999</v>
      </c>
      <c r="M890" s="13">
        <f>L890*65</f>
        <v>961.99999999999989</v>
      </c>
      <c r="N890" s="14">
        <f>MAX(500,M890)</f>
        <v>961.99999999999989</v>
      </c>
      <c r="O890" s="12"/>
      <c r="P890" s="12"/>
      <c r="Q890" s="12"/>
      <c r="R890" s="12"/>
      <c r="S890" s="12"/>
    </row>
    <row r="891" spans="1:19" ht="14.25" customHeight="1" x14ac:dyDescent="0.2">
      <c r="A891" s="1" t="s">
        <v>95</v>
      </c>
      <c r="B891" s="7">
        <v>46090.070474537039</v>
      </c>
      <c r="C891" s="7">
        <v>46090.099756944444</v>
      </c>
      <c r="D891" s="8">
        <v>46090</v>
      </c>
      <c r="E891" s="9">
        <v>9.9756944444379769E-2</v>
      </c>
      <c r="F891" s="10" t="s">
        <v>1077</v>
      </c>
      <c r="G891" s="10" t="s">
        <v>21</v>
      </c>
      <c r="H891" s="10" t="s">
        <v>110</v>
      </c>
      <c r="I891" s="10" t="s">
        <v>23</v>
      </c>
      <c r="J891" s="11">
        <v>0.83</v>
      </c>
      <c r="K891" s="12"/>
      <c r="L891" s="12"/>
      <c r="M891" s="12"/>
      <c r="N891" s="12"/>
      <c r="O891" s="12"/>
      <c r="P891" s="12"/>
      <c r="Q891" s="12"/>
      <c r="R891" s="12"/>
      <c r="S891" s="12"/>
    </row>
    <row r="892" spans="1:19" ht="14.25" customHeight="1" x14ac:dyDescent="0.2">
      <c r="A892" s="1" t="s">
        <v>95</v>
      </c>
      <c r="B892" s="7">
        <v>46090.070474537039</v>
      </c>
      <c r="C892" s="7">
        <v>46090.099942129629</v>
      </c>
      <c r="D892" s="8">
        <v>46090</v>
      </c>
      <c r="E892" s="9">
        <v>9.9942129629198462E-2</v>
      </c>
      <c r="F892" s="10" t="s">
        <v>1078</v>
      </c>
      <c r="G892" s="10" t="s">
        <v>21</v>
      </c>
      <c r="H892" s="10" t="s">
        <v>52</v>
      </c>
      <c r="I892" s="10" t="s">
        <v>23</v>
      </c>
      <c r="J892" s="11">
        <v>0.98</v>
      </c>
      <c r="K892" s="12"/>
      <c r="L892" s="12"/>
      <c r="M892" s="12"/>
      <c r="N892" s="12"/>
      <c r="O892" s="12"/>
      <c r="P892" s="12"/>
      <c r="Q892" s="12"/>
      <c r="R892" s="12"/>
      <c r="S892" s="12"/>
    </row>
    <row r="893" spans="1:19" ht="14.25" customHeight="1" x14ac:dyDescent="0.2">
      <c r="A893" s="1" t="s">
        <v>19</v>
      </c>
      <c r="B893" s="7">
        <v>46090.073171296295</v>
      </c>
      <c r="C893" s="7">
        <v>46090.100405092591</v>
      </c>
      <c r="D893" s="8">
        <v>46090</v>
      </c>
      <c r="E893" s="9">
        <v>0.10040509259124519</v>
      </c>
      <c r="F893" s="10" t="s">
        <v>1079</v>
      </c>
      <c r="G893" s="10" t="s">
        <v>21</v>
      </c>
      <c r="H893" s="10" t="s">
        <v>1080</v>
      </c>
      <c r="I893" s="10" t="s">
        <v>23</v>
      </c>
      <c r="J893" s="11">
        <v>1.1299999999999999</v>
      </c>
      <c r="K893" s="12"/>
      <c r="L893" s="12"/>
      <c r="M893" s="12"/>
      <c r="N893" s="12"/>
      <c r="O893" s="12"/>
      <c r="P893" s="12"/>
      <c r="Q893" s="12"/>
      <c r="R893" s="12"/>
      <c r="S893" s="12"/>
    </row>
    <row r="894" spans="1:19" ht="14.25" customHeight="1" x14ac:dyDescent="0.2">
      <c r="A894" s="1" t="s">
        <v>19</v>
      </c>
      <c r="B894" s="7">
        <v>46090.073171296295</v>
      </c>
      <c r="C894" s="7">
        <v>46090.100694444445</v>
      </c>
      <c r="D894" s="8">
        <v>46090</v>
      </c>
      <c r="E894" s="9">
        <v>0.10069444444525288</v>
      </c>
      <c r="F894" s="10" t="s">
        <v>1081</v>
      </c>
      <c r="G894" s="10" t="s">
        <v>21</v>
      </c>
      <c r="H894" s="10" t="s">
        <v>1082</v>
      </c>
      <c r="I894" s="10" t="s">
        <v>23</v>
      </c>
      <c r="J894" s="11">
        <v>1.19</v>
      </c>
      <c r="K894" s="12"/>
      <c r="L894" s="12"/>
      <c r="M894" s="12"/>
      <c r="N894" s="12"/>
      <c r="O894" s="12"/>
      <c r="P894" s="12"/>
      <c r="Q894" s="12"/>
      <c r="R894" s="12"/>
      <c r="S894" s="12"/>
    </row>
    <row r="895" spans="1:19" ht="14.25" customHeight="1" x14ac:dyDescent="0.2">
      <c r="A895" s="1" t="s">
        <v>19</v>
      </c>
      <c r="B895" s="7">
        <v>46090.073171296295</v>
      </c>
      <c r="C895" s="7">
        <v>46090.101122685184</v>
      </c>
      <c r="D895" s="8">
        <v>46090</v>
      </c>
      <c r="E895" s="9">
        <v>0.10112268518423662</v>
      </c>
      <c r="F895" s="10" t="s">
        <v>1083</v>
      </c>
      <c r="G895" s="10" t="s">
        <v>21</v>
      </c>
      <c r="H895" s="10" t="s">
        <v>41</v>
      </c>
      <c r="I895" s="10" t="s">
        <v>23</v>
      </c>
      <c r="J895" s="11">
        <v>1.77</v>
      </c>
      <c r="K895" s="12"/>
      <c r="L895" s="12"/>
      <c r="M895" s="12"/>
      <c r="N895" s="12"/>
      <c r="O895" s="12"/>
      <c r="P895" s="12"/>
      <c r="Q895" s="12"/>
      <c r="R895" s="12"/>
      <c r="S895" s="12"/>
    </row>
    <row r="896" spans="1:19" ht="14.25" customHeight="1" x14ac:dyDescent="0.2">
      <c r="A896" s="1" t="s">
        <v>33</v>
      </c>
      <c r="B896" s="7">
        <v>46090.080601851849</v>
      </c>
      <c r="C896" s="7">
        <v>46090.101712962962</v>
      </c>
      <c r="D896" s="8">
        <v>46090</v>
      </c>
      <c r="E896" s="9">
        <v>0.10171296296175569</v>
      </c>
      <c r="F896" s="10" t="s">
        <v>1084</v>
      </c>
      <c r="G896" s="10" t="s">
        <v>21</v>
      </c>
      <c r="H896" s="10" t="s">
        <v>22</v>
      </c>
      <c r="I896" s="10" t="s">
        <v>23</v>
      </c>
      <c r="J896" s="11">
        <v>0.83</v>
      </c>
      <c r="K896" s="12"/>
      <c r="L896" s="12"/>
      <c r="M896" s="12"/>
      <c r="N896" s="12"/>
      <c r="O896" s="12"/>
      <c r="P896" s="12"/>
      <c r="Q896" s="12"/>
      <c r="R896" s="12"/>
      <c r="S896" s="12"/>
    </row>
    <row r="897" spans="1:19" ht="14.25" customHeight="1" x14ac:dyDescent="0.2">
      <c r="A897" s="1" t="s">
        <v>95</v>
      </c>
      <c r="B897" s="7">
        <v>46090.089965277781</v>
      </c>
      <c r="C897" s="7">
        <v>46090.10428240741</v>
      </c>
      <c r="D897" s="8">
        <v>46090</v>
      </c>
      <c r="E897" s="9">
        <v>0.10428240741021</v>
      </c>
      <c r="F897" s="10" t="s">
        <v>1085</v>
      </c>
      <c r="G897" s="10" t="s">
        <v>21</v>
      </c>
      <c r="H897" s="10" t="s">
        <v>97</v>
      </c>
      <c r="I897" s="10" t="s">
        <v>23</v>
      </c>
      <c r="J897" s="11">
        <v>1.77</v>
      </c>
      <c r="K897" s="12"/>
      <c r="L897" s="12"/>
      <c r="M897" s="12"/>
      <c r="N897" s="12"/>
      <c r="O897" s="12"/>
      <c r="P897" s="12"/>
      <c r="Q897" s="12"/>
      <c r="R897" s="12"/>
      <c r="S897" s="12"/>
    </row>
    <row r="898" spans="1:19" ht="14.25" customHeight="1" x14ac:dyDescent="0.2">
      <c r="A898" s="1" t="s">
        <v>42</v>
      </c>
      <c r="B898" s="7">
        <v>46090.09306712963</v>
      </c>
      <c r="C898" s="7">
        <v>46090.106249999997</v>
      </c>
      <c r="D898" s="8">
        <v>46090</v>
      </c>
      <c r="E898" s="9">
        <v>0.10624999999708962</v>
      </c>
      <c r="F898" s="10" t="s">
        <v>1086</v>
      </c>
      <c r="G898" s="10" t="s">
        <v>44</v>
      </c>
      <c r="H898" s="10" t="s">
        <v>140</v>
      </c>
      <c r="I898" s="10" t="s">
        <v>23</v>
      </c>
      <c r="J898" s="11">
        <v>0.18</v>
      </c>
      <c r="K898" s="12"/>
      <c r="L898" s="12"/>
      <c r="M898" s="12"/>
      <c r="N898" s="12"/>
      <c r="O898" s="12"/>
      <c r="P898" s="12"/>
      <c r="Q898" s="12"/>
      <c r="R898" s="12"/>
      <c r="S898" s="12"/>
    </row>
    <row r="899" spans="1:19" ht="14.25" customHeight="1" x14ac:dyDescent="0.2">
      <c r="A899" s="1" t="s">
        <v>95</v>
      </c>
      <c r="B899" s="7">
        <v>46090.094780092593</v>
      </c>
      <c r="C899" s="7">
        <v>46090.11109953704</v>
      </c>
      <c r="D899" s="8">
        <v>46090</v>
      </c>
      <c r="E899" s="9">
        <v>0.11109953703999054</v>
      </c>
      <c r="F899" s="10" t="s">
        <v>1087</v>
      </c>
      <c r="G899" s="10" t="s">
        <v>21</v>
      </c>
      <c r="H899" s="10" t="s">
        <v>105</v>
      </c>
      <c r="I899" s="10" t="s">
        <v>23</v>
      </c>
      <c r="J899" s="11">
        <v>2.5</v>
      </c>
      <c r="K899" s="12"/>
      <c r="L899" s="12"/>
      <c r="M899" s="12"/>
      <c r="N899" s="12"/>
      <c r="O899" s="12"/>
      <c r="P899" s="12"/>
      <c r="Q899" s="12"/>
      <c r="R899" s="12"/>
      <c r="S899" s="12"/>
    </row>
    <row r="900" spans="1:19" ht="14.25" customHeight="1" x14ac:dyDescent="0.2">
      <c r="A900" s="1" t="s">
        <v>95</v>
      </c>
      <c r="B900" s="7">
        <v>46090.095173611109</v>
      </c>
      <c r="C900" s="7">
        <v>46090.11136574074</v>
      </c>
      <c r="D900" s="8">
        <v>46090</v>
      </c>
      <c r="E900" s="9">
        <v>0.11136574074043892</v>
      </c>
      <c r="F900" s="10" t="s">
        <v>1088</v>
      </c>
      <c r="G900" s="10" t="s">
        <v>21</v>
      </c>
      <c r="H900" s="10" t="s">
        <v>110</v>
      </c>
      <c r="I900" s="10" t="s">
        <v>23</v>
      </c>
      <c r="J900" s="11">
        <v>0.83</v>
      </c>
      <c r="K900" s="12"/>
      <c r="L900" s="12"/>
      <c r="M900" s="12"/>
      <c r="N900" s="12"/>
      <c r="O900" s="12"/>
      <c r="P900" s="12"/>
      <c r="Q900" s="12"/>
      <c r="R900" s="12"/>
      <c r="S900" s="12"/>
    </row>
    <row r="901" spans="1:19" ht="14.25" customHeight="1" x14ac:dyDescent="0.2">
      <c r="A901" s="1" t="s">
        <v>95</v>
      </c>
      <c r="B901" s="7">
        <v>46090.079340277778</v>
      </c>
      <c r="C901" s="7">
        <v>46090.111701388887</v>
      </c>
      <c r="D901" s="8">
        <v>46090</v>
      </c>
      <c r="E901" s="9">
        <v>0.11170138888701331</v>
      </c>
      <c r="F901" s="10" t="s">
        <v>1089</v>
      </c>
      <c r="G901" s="10" t="s">
        <v>21</v>
      </c>
      <c r="H901" s="10" t="s">
        <v>52</v>
      </c>
      <c r="I901" s="10" t="s">
        <v>23</v>
      </c>
      <c r="J901" s="11">
        <v>0.98</v>
      </c>
      <c r="K901" s="12"/>
      <c r="L901" s="12"/>
      <c r="M901" s="12"/>
      <c r="N901" s="12"/>
      <c r="O901" s="12"/>
      <c r="P901" s="12"/>
      <c r="Q901" s="12"/>
      <c r="R901" s="12"/>
      <c r="S901" s="12"/>
    </row>
    <row r="902" spans="1:19" ht="14.25" customHeight="1" x14ac:dyDescent="0.2">
      <c r="A902" s="1" t="s">
        <v>19</v>
      </c>
      <c r="B902" s="7">
        <v>46090.101805555554</v>
      </c>
      <c r="C902" s="7">
        <v>46090.121053240742</v>
      </c>
      <c r="D902" s="8">
        <v>46090</v>
      </c>
      <c r="E902" s="9">
        <v>0.12105324074218515</v>
      </c>
      <c r="F902" s="10" t="s">
        <v>1090</v>
      </c>
      <c r="G902" s="10" t="s">
        <v>21</v>
      </c>
      <c r="H902" s="10" t="s">
        <v>216</v>
      </c>
      <c r="I902" s="10" t="s">
        <v>23</v>
      </c>
      <c r="J902" s="11">
        <v>0.98</v>
      </c>
      <c r="K902" s="12"/>
      <c r="L902" s="12"/>
      <c r="M902" s="12"/>
      <c r="N902" s="12"/>
      <c r="O902" s="12"/>
      <c r="P902" s="12"/>
      <c r="Q902" s="12"/>
      <c r="R902" s="12"/>
      <c r="S902" s="12"/>
    </row>
    <row r="903" spans="1:19" ht="14.25" customHeight="1" x14ac:dyDescent="0.2">
      <c r="A903" s="1" t="s">
        <v>95</v>
      </c>
      <c r="B903" s="7">
        <v>46090.11550925926</v>
      </c>
      <c r="C903" s="7">
        <v>46090.130231481482</v>
      </c>
      <c r="D903" s="8">
        <v>46090</v>
      </c>
      <c r="E903" s="9">
        <v>0.130231481482042</v>
      </c>
      <c r="F903" s="10" t="s">
        <v>1091</v>
      </c>
      <c r="G903" s="10" t="s">
        <v>21</v>
      </c>
      <c r="H903" s="10" t="s">
        <v>108</v>
      </c>
      <c r="I903" s="10" t="s">
        <v>23</v>
      </c>
      <c r="J903" s="11">
        <v>1.7</v>
      </c>
      <c r="K903" s="12">
        <f>SUM(J903:J926)</f>
        <v>32.43</v>
      </c>
      <c r="L903" s="12">
        <f>SUM(J903)</f>
        <v>1.7</v>
      </c>
      <c r="M903" s="13">
        <f t="shared" ref="M903:M904" si="12">L903*65</f>
        <v>110.5</v>
      </c>
      <c r="N903" s="14">
        <f t="shared" ref="N903:N904" si="13">MAX(500,M903)</f>
        <v>500</v>
      </c>
      <c r="O903" s="12"/>
      <c r="P903" s="12"/>
      <c r="Q903" s="12"/>
      <c r="R903" s="12"/>
      <c r="S903" s="12"/>
    </row>
    <row r="904" spans="1:19" ht="14.25" customHeight="1" x14ac:dyDescent="0.2">
      <c r="A904" s="1" t="s">
        <v>28</v>
      </c>
      <c r="B904" s="7">
        <v>46090.128136574072</v>
      </c>
      <c r="C904" s="7">
        <v>46090.181238425925</v>
      </c>
      <c r="D904" s="8">
        <v>46090</v>
      </c>
      <c r="E904" s="9">
        <v>0.18123842592467554</v>
      </c>
      <c r="F904" s="10" t="s">
        <v>1092</v>
      </c>
      <c r="G904" s="10" t="s">
        <v>21</v>
      </c>
      <c r="H904" s="10" t="s">
        <v>41</v>
      </c>
      <c r="I904" s="10" t="s">
        <v>23</v>
      </c>
      <c r="J904" s="11">
        <v>1.77</v>
      </c>
      <c r="K904" s="12"/>
      <c r="L904" s="12">
        <f>SUM(J904:J910)</f>
        <v>8.3699999999999992</v>
      </c>
      <c r="M904" s="13">
        <f t="shared" si="12"/>
        <v>544.04999999999995</v>
      </c>
      <c r="N904" s="14">
        <f t="shared" si="13"/>
        <v>544.04999999999995</v>
      </c>
      <c r="O904" s="12"/>
      <c r="P904" s="12"/>
      <c r="Q904" s="12"/>
      <c r="R904" s="12"/>
      <c r="S904" s="12"/>
    </row>
    <row r="905" spans="1:19" ht="14.25" customHeight="1" x14ac:dyDescent="0.2">
      <c r="A905" s="1" t="s">
        <v>63</v>
      </c>
      <c r="B905" s="7">
        <v>46090.156944444447</v>
      </c>
      <c r="C905" s="7">
        <v>46090.184201388889</v>
      </c>
      <c r="D905" s="8">
        <v>46090</v>
      </c>
      <c r="E905" s="9">
        <v>0.18420138888905058</v>
      </c>
      <c r="F905" s="10" t="s">
        <v>1093</v>
      </c>
      <c r="G905" s="10" t="s">
        <v>21</v>
      </c>
      <c r="H905" s="10" t="s">
        <v>65</v>
      </c>
      <c r="I905" s="10" t="s">
        <v>23</v>
      </c>
      <c r="J905" s="11">
        <v>1.1299999999999999</v>
      </c>
      <c r="K905" s="12"/>
      <c r="L905" s="12"/>
      <c r="M905" s="12"/>
      <c r="N905" s="12"/>
      <c r="O905" s="12"/>
      <c r="P905" s="12"/>
      <c r="Q905" s="12"/>
      <c r="R905" s="12"/>
      <c r="S905" s="12"/>
    </row>
    <row r="906" spans="1:19" ht="14.25" customHeight="1" x14ac:dyDescent="0.2">
      <c r="A906" s="1" t="s">
        <v>19</v>
      </c>
      <c r="B906" s="7">
        <v>46090.188472222224</v>
      </c>
      <c r="C906" s="7">
        <v>46090.200162037036</v>
      </c>
      <c r="D906" s="8">
        <v>46090</v>
      </c>
      <c r="E906" s="9">
        <v>0.20016203703562496</v>
      </c>
      <c r="F906" s="10" t="s">
        <v>1094</v>
      </c>
      <c r="G906" s="10" t="s">
        <v>21</v>
      </c>
      <c r="H906" s="10" t="s">
        <v>598</v>
      </c>
      <c r="I906" s="10" t="s">
        <v>23</v>
      </c>
      <c r="J906" s="11">
        <v>0.98</v>
      </c>
      <c r="K906" s="12"/>
      <c r="L906" s="12"/>
      <c r="M906" s="12"/>
      <c r="N906" s="12"/>
      <c r="O906" s="12"/>
      <c r="P906" s="12"/>
      <c r="Q906" s="12"/>
      <c r="R906" s="12"/>
      <c r="S906" s="12"/>
    </row>
    <row r="907" spans="1:19" ht="14.25" customHeight="1" x14ac:dyDescent="0.2">
      <c r="A907" s="1" t="s">
        <v>95</v>
      </c>
      <c r="B907" s="7">
        <v>46090.174537037034</v>
      </c>
      <c r="C907" s="7">
        <v>46090.200578703705</v>
      </c>
      <c r="D907" s="8">
        <v>46090</v>
      </c>
      <c r="E907" s="9">
        <v>0.200578703705105</v>
      </c>
      <c r="F907" s="10" t="s">
        <v>1095</v>
      </c>
      <c r="G907" s="10" t="s">
        <v>21</v>
      </c>
      <c r="H907" s="10" t="s">
        <v>110</v>
      </c>
      <c r="I907" s="10" t="s">
        <v>23</v>
      </c>
      <c r="J907" s="11">
        <v>0.83</v>
      </c>
      <c r="K907" s="12"/>
      <c r="L907" s="12"/>
      <c r="M907" s="12"/>
      <c r="N907" s="12"/>
      <c r="O907" s="12"/>
      <c r="P907" s="12"/>
      <c r="Q907" s="12"/>
      <c r="R907" s="12"/>
      <c r="S907" s="12"/>
    </row>
    <row r="908" spans="1:19" ht="14.25" customHeight="1" x14ac:dyDescent="0.2">
      <c r="A908" s="1" t="s">
        <v>95</v>
      </c>
      <c r="B908" s="7">
        <v>46090.174537037034</v>
      </c>
      <c r="C908" s="7">
        <v>46090.20076388889</v>
      </c>
      <c r="D908" s="8">
        <v>46090</v>
      </c>
      <c r="E908" s="9">
        <v>0.20076388888992369</v>
      </c>
      <c r="F908" s="10" t="s">
        <v>1096</v>
      </c>
      <c r="G908" s="10" t="s">
        <v>21</v>
      </c>
      <c r="H908" s="10" t="s">
        <v>52</v>
      </c>
      <c r="I908" s="10" t="s">
        <v>23</v>
      </c>
      <c r="J908" s="11">
        <v>0.98</v>
      </c>
      <c r="K908" s="12"/>
      <c r="L908" s="12"/>
      <c r="M908" s="12"/>
      <c r="N908" s="12"/>
      <c r="O908" s="12"/>
      <c r="P908" s="12"/>
      <c r="Q908" s="12"/>
      <c r="R908" s="12"/>
      <c r="S908" s="12"/>
    </row>
    <row r="909" spans="1:19" ht="14.25" customHeight="1" x14ac:dyDescent="0.2">
      <c r="A909" s="1" t="s">
        <v>95</v>
      </c>
      <c r="B909" s="7">
        <v>46090.187685185185</v>
      </c>
      <c r="C909" s="7">
        <v>46090.201331018521</v>
      </c>
      <c r="D909" s="8">
        <v>46090</v>
      </c>
      <c r="E909" s="9">
        <v>0.20133101852115942</v>
      </c>
      <c r="F909" s="10" t="s">
        <v>1097</v>
      </c>
      <c r="G909" s="10" t="s">
        <v>21</v>
      </c>
      <c r="H909" s="10" t="s">
        <v>108</v>
      </c>
      <c r="I909" s="10" t="s">
        <v>23</v>
      </c>
      <c r="J909" s="11">
        <v>1.7</v>
      </c>
      <c r="K909" s="12"/>
      <c r="L909" s="12"/>
      <c r="M909" s="12"/>
      <c r="N909" s="12"/>
      <c r="O909" s="12"/>
      <c r="P909" s="12"/>
      <c r="Q909" s="12"/>
      <c r="R909" s="12"/>
      <c r="S909" s="12"/>
    </row>
    <row r="910" spans="1:19" ht="14.25" customHeight="1" x14ac:dyDescent="0.2">
      <c r="A910" s="1" t="s">
        <v>19</v>
      </c>
      <c r="B910" s="7">
        <v>46090.18849537037</v>
      </c>
      <c r="C910" s="7">
        <v>46090.202256944445</v>
      </c>
      <c r="D910" s="8">
        <v>46090</v>
      </c>
      <c r="E910" s="9">
        <v>0.20225694444525288</v>
      </c>
      <c r="F910" s="10" t="s">
        <v>1098</v>
      </c>
      <c r="G910" s="10" t="s">
        <v>21</v>
      </c>
      <c r="H910" s="10" t="s">
        <v>216</v>
      </c>
      <c r="I910" s="10" t="s">
        <v>23</v>
      </c>
      <c r="J910" s="11">
        <v>0.98</v>
      </c>
      <c r="K910" s="12"/>
      <c r="L910" s="12"/>
      <c r="M910" s="12"/>
      <c r="N910" s="12"/>
      <c r="O910" s="12"/>
      <c r="P910" s="12"/>
      <c r="Q910" s="12"/>
      <c r="R910" s="12"/>
      <c r="S910" s="12"/>
    </row>
    <row r="911" spans="1:19" ht="14.25" customHeight="1" x14ac:dyDescent="0.2">
      <c r="A911" s="1" t="s">
        <v>95</v>
      </c>
      <c r="B911" s="7">
        <v>46090.172743055555</v>
      </c>
      <c r="C911" s="7">
        <v>46090.209861111114</v>
      </c>
      <c r="D911" s="8">
        <v>46090</v>
      </c>
      <c r="E911" s="9">
        <v>0.20986111111415084</v>
      </c>
      <c r="F911" s="10" t="s">
        <v>1099</v>
      </c>
      <c r="G911" s="10" t="s">
        <v>21</v>
      </c>
      <c r="H911" s="10" t="s">
        <v>110</v>
      </c>
      <c r="I911" s="10" t="s">
        <v>23</v>
      </c>
      <c r="J911" s="11">
        <v>0.83</v>
      </c>
      <c r="K911" s="12"/>
      <c r="L911" s="12">
        <f>SUM(J911:J926)</f>
        <v>22.36</v>
      </c>
      <c r="M911" s="13">
        <f>L911*65</f>
        <v>1453.3999999999999</v>
      </c>
      <c r="N911" s="14">
        <f>MAX(500,M911)</f>
        <v>1453.3999999999999</v>
      </c>
      <c r="O911" s="12"/>
      <c r="P911" s="12"/>
      <c r="Q911" s="12"/>
      <c r="R911" s="12"/>
      <c r="S911" s="12"/>
    </row>
    <row r="912" spans="1:19" ht="14.25" customHeight="1" x14ac:dyDescent="0.2">
      <c r="A912" s="1" t="s">
        <v>28</v>
      </c>
      <c r="B912" s="7">
        <v>46090.159675925926</v>
      </c>
      <c r="C912" s="7">
        <v>46090.215428240743</v>
      </c>
      <c r="D912" s="8">
        <v>46090</v>
      </c>
      <c r="E912" s="9">
        <v>0.21542824074276723</v>
      </c>
      <c r="F912" s="10" t="s">
        <v>1100</v>
      </c>
      <c r="G912" s="10" t="s">
        <v>21</v>
      </c>
      <c r="H912" s="10" t="s">
        <v>71</v>
      </c>
      <c r="I912" s="10" t="s">
        <v>23</v>
      </c>
      <c r="J912" s="11">
        <v>1.05</v>
      </c>
      <c r="K912" s="12"/>
      <c r="L912" s="12"/>
      <c r="M912" s="12"/>
      <c r="N912" s="12"/>
      <c r="O912" s="12"/>
      <c r="P912" s="12"/>
      <c r="Q912" s="12"/>
      <c r="R912" s="12"/>
      <c r="S912" s="12"/>
    </row>
    <row r="913" spans="1:19" ht="14.25" customHeight="1" x14ac:dyDescent="0.2">
      <c r="A913" s="1" t="s">
        <v>95</v>
      </c>
      <c r="B913" s="7">
        <v>46090.142974537041</v>
      </c>
      <c r="C913" s="7">
        <v>46090.216562499998</v>
      </c>
      <c r="D913" s="8">
        <v>46090</v>
      </c>
      <c r="E913" s="9">
        <v>0.21656249999796273</v>
      </c>
      <c r="F913" s="10" t="s">
        <v>1101</v>
      </c>
      <c r="G913" s="10" t="s">
        <v>21</v>
      </c>
      <c r="H913" s="10" t="s">
        <v>216</v>
      </c>
      <c r="I913" s="10" t="s">
        <v>23</v>
      </c>
      <c r="J913" s="11">
        <v>0.98</v>
      </c>
      <c r="K913" s="12"/>
      <c r="L913" s="12"/>
      <c r="M913" s="12"/>
      <c r="N913" s="12"/>
      <c r="O913" s="12"/>
      <c r="P913" s="12"/>
      <c r="Q913" s="12"/>
      <c r="R913" s="12"/>
      <c r="S913" s="12"/>
    </row>
    <row r="914" spans="1:19" ht="14.25" customHeight="1" x14ac:dyDescent="0.2">
      <c r="A914" s="1" t="s">
        <v>95</v>
      </c>
      <c r="B914" s="7">
        <v>46090.200115740743</v>
      </c>
      <c r="C914" s="7">
        <v>46090.216967592591</v>
      </c>
      <c r="D914" s="8">
        <v>46090</v>
      </c>
      <c r="E914" s="9">
        <v>0.21696759259066312</v>
      </c>
      <c r="F914" s="10" t="s">
        <v>1102</v>
      </c>
      <c r="G914" s="10" t="s">
        <v>21</v>
      </c>
      <c r="H914" s="10" t="s">
        <v>97</v>
      </c>
      <c r="I914" s="10" t="s">
        <v>23</v>
      </c>
      <c r="J914" s="11">
        <v>1.77</v>
      </c>
      <c r="K914" s="12"/>
      <c r="L914" s="12"/>
      <c r="M914" s="12"/>
      <c r="N914" s="12"/>
      <c r="O914" s="12"/>
      <c r="P914" s="12"/>
      <c r="Q914" s="12"/>
      <c r="R914" s="12"/>
      <c r="S914" s="12"/>
    </row>
    <row r="915" spans="1:19" ht="14.25" customHeight="1" x14ac:dyDescent="0.2">
      <c r="A915" s="1" t="s">
        <v>42</v>
      </c>
      <c r="B915" s="7">
        <v>46090.158425925925</v>
      </c>
      <c r="C915" s="7">
        <v>46090.221643518518</v>
      </c>
      <c r="D915" s="8">
        <v>46090</v>
      </c>
      <c r="E915" s="9">
        <v>0.22164351851824904</v>
      </c>
      <c r="F915" s="10" t="s">
        <v>1103</v>
      </c>
      <c r="G915" s="10" t="s">
        <v>26</v>
      </c>
      <c r="H915" s="10" t="s">
        <v>76</v>
      </c>
      <c r="I915" s="10" t="s">
        <v>23</v>
      </c>
      <c r="J915" s="11">
        <v>0.75</v>
      </c>
      <c r="K915" s="12"/>
      <c r="L915" s="12"/>
      <c r="M915" s="12"/>
      <c r="N915" s="12"/>
      <c r="O915" s="12"/>
      <c r="P915" s="12"/>
      <c r="Q915" s="12"/>
      <c r="R915" s="12"/>
      <c r="S915" s="12"/>
    </row>
    <row r="916" spans="1:19" ht="14.25" customHeight="1" x14ac:dyDescent="0.2">
      <c r="A916" s="1" t="s">
        <v>95</v>
      </c>
      <c r="B916" s="7">
        <v>46090.207453703704</v>
      </c>
      <c r="C916" s="7">
        <v>46090.222743055558</v>
      </c>
      <c r="D916" s="8">
        <v>46090</v>
      </c>
      <c r="E916" s="9">
        <v>0.2227430555576575</v>
      </c>
      <c r="F916" s="10" t="s">
        <v>1104</v>
      </c>
      <c r="G916" s="10" t="s">
        <v>21</v>
      </c>
      <c r="H916" s="10" t="s">
        <v>97</v>
      </c>
      <c r="I916" s="10" t="s">
        <v>23</v>
      </c>
      <c r="J916" s="11">
        <v>1.77</v>
      </c>
      <c r="K916" s="12"/>
      <c r="L916" s="12"/>
      <c r="M916" s="12"/>
      <c r="N916" s="12"/>
      <c r="O916" s="12"/>
      <c r="P916" s="12"/>
      <c r="Q916" s="12"/>
      <c r="R916" s="12"/>
      <c r="S916" s="12"/>
    </row>
    <row r="917" spans="1:19" ht="14.25" customHeight="1" x14ac:dyDescent="0.2">
      <c r="A917" s="1" t="s">
        <v>95</v>
      </c>
      <c r="B917" s="7">
        <v>46090.216053240743</v>
      </c>
      <c r="C917" s="7">
        <v>46090.22351851852</v>
      </c>
      <c r="D917" s="8">
        <v>46090</v>
      </c>
      <c r="E917" s="9">
        <v>0.22351851851999527</v>
      </c>
      <c r="F917" s="10" t="s">
        <v>1105</v>
      </c>
      <c r="G917" s="10" t="s">
        <v>21</v>
      </c>
      <c r="H917" s="10" t="s">
        <v>97</v>
      </c>
      <c r="I917" s="10" t="s">
        <v>23</v>
      </c>
      <c r="J917" s="11">
        <v>1.77</v>
      </c>
      <c r="K917" s="12"/>
      <c r="L917" s="12"/>
      <c r="M917" s="12"/>
      <c r="N917" s="12"/>
      <c r="O917" s="12"/>
      <c r="P917" s="12"/>
      <c r="Q917" s="12"/>
      <c r="R917" s="12"/>
      <c r="S917" s="12"/>
    </row>
    <row r="918" spans="1:19" ht="14.25" customHeight="1" x14ac:dyDescent="0.2">
      <c r="A918" s="1" t="s">
        <v>42</v>
      </c>
      <c r="B918" s="7">
        <v>46090.178715277776</v>
      </c>
      <c r="C918" s="7">
        <v>46090.223877314813</v>
      </c>
      <c r="D918" s="8">
        <v>46090</v>
      </c>
      <c r="E918" s="9">
        <v>0.223877314812853</v>
      </c>
      <c r="F918" s="10" t="s">
        <v>1106</v>
      </c>
      <c r="G918" s="10" t="s">
        <v>26</v>
      </c>
      <c r="H918" s="10" t="s">
        <v>76</v>
      </c>
      <c r="I918" s="10" t="s">
        <v>23</v>
      </c>
      <c r="J918" s="11">
        <v>0.75</v>
      </c>
      <c r="K918" s="12"/>
      <c r="L918" s="12"/>
      <c r="M918" s="12"/>
      <c r="N918" s="12"/>
      <c r="O918" s="12"/>
      <c r="P918" s="12"/>
      <c r="Q918" s="12"/>
      <c r="R918" s="12"/>
      <c r="S918" s="12"/>
    </row>
    <row r="919" spans="1:19" ht="14.25" customHeight="1" x14ac:dyDescent="0.2">
      <c r="A919" s="1" t="s">
        <v>57</v>
      </c>
      <c r="B919" s="7">
        <v>46090.193402777775</v>
      </c>
      <c r="C919" s="7">
        <v>46090.224780092591</v>
      </c>
      <c r="D919" s="8">
        <v>46090</v>
      </c>
      <c r="E919" s="9">
        <v>0.22478009259066312</v>
      </c>
      <c r="F919" s="10" t="s">
        <v>1107</v>
      </c>
      <c r="G919" s="10" t="s">
        <v>26</v>
      </c>
      <c r="H919" s="10" t="s">
        <v>289</v>
      </c>
      <c r="I919" s="10" t="s">
        <v>23</v>
      </c>
      <c r="J919" s="11">
        <v>0.97</v>
      </c>
      <c r="K919" s="12"/>
      <c r="L919" s="12"/>
      <c r="M919" s="12"/>
      <c r="N919" s="12"/>
      <c r="O919" s="12"/>
      <c r="P919" s="12"/>
      <c r="Q919" s="12"/>
      <c r="R919" s="12"/>
      <c r="S919" s="12"/>
    </row>
    <row r="920" spans="1:19" ht="14.25" customHeight="1" x14ac:dyDescent="0.2">
      <c r="A920" s="1" t="s">
        <v>28</v>
      </c>
      <c r="B920" s="7">
        <v>46090.171296296299</v>
      </c>
      <c r="C920" s="7">
        <v>46090.225069444445</v>
      </c>
      <c r="D920" s="8">
        <v>46090</v>
      </c>
      <c r="E920" s="9">
        <v>0.22506944444467081</v>
      </c>
      <c r="F920" s="10" t="s">
        <v>1108</v>
      </c>
      <c r="G920" s="10" t="s">
        <v>21</v>
      </c>
      <c r="H920" s="10" t="s">
        <v>41</v>
      </c>
      <c r="I920" s="10" t="s">
        <v>23</v>
      </c>
      <c r="J920" s="11">
        <v>1.77</v>
      </c>
      <c r="K920" s="12"/>
      <c r="L920" s="12"/>
      <c r="M920" s="12"/>
      <c r="N920" s="12"/>
      <c r="O920" s="12"/>
      <c r="P920" s="12"/>
      <c r="Q920" s="12"/>
      <c r="R920" s="12"/>
      <c r="S920" s="12"/>
    </row>
    <row r="921" spans="1:19" ht="14.25" customHeight="1" x14ac:dyDescent="0.2">
      <c r="A921" s="1" t="s">
        <v>95</v>
      </c>
      <c r="B921" s="7">
        <v>46090.22451388889</v>
      </c>
      <c r="C921" s="7">
        <v>46090.225335648145</v>
      </c>
      <c r="D921" s="8">
        <v>46090</v>
      </c>
      <c r="E921" s="9">
        <v>0.22533564814511919</v>
      </c>
      <c r="F921" s="10" t="s">
        <v>1109</v>
      </c>
      <c r="G921" s="10" t="s">
        <v>21</v>
      </c>
      <c r="H921" s="10" t="s">
        <v>97</v>
      </c>
      <c r="I921" s="10" t="s">
        <v>23</v>
      </c>
      <c r="J921" s="11">
        <v>1.77</v>
      </c>
      <c r="K921" s="12"/>
      <c r="L921" s="12"/>
      <c r="M921" s="12"/>
      <c r="N921" s="12"/>
      <c r="O921" s="12"/>
      <c r="P921" s="12"/>
      <c r="Q921" s="12"/>
      <c r="R921" s="12"/>
      <c r="S921" s="12"/>
    </row>
    <row r="922" spans="1:19" ht="14.25" customHeight="1" x14ac:dyDescent="0.2">
      <c r="A922" s="1" t="s">
        <v>95</v>
      </c>
      <c r="B922" s="7">
        <v>46090.225208333337</v>
      </c>
      <c r="C922" s="7">
        <v>46090.239675925928</v>
      </c>
      <c r="D922" s="8">
        <v>46090</v>
      </c>
      <c r="E922" s="9">
        <v>0.239675925928168</v>
      </c>
      <c r="F922" s="10" t="s">
        <v>1110</v>
      </c>
      <c r="G922" s="10" t="s">
        <v>21</v>
      </c>
      <c r="H922" s="10" t="s">
        <v>813</v>
      </c>
      <c r="I922" s="10" t="s">
        <v>23</v>
      </c>
      <c r="J922" s="11">
        <v>1.1000000000000001</v>
      </c>
      <c r="K922" s="12"/>
      <c r="L922" s="12"/>
      <c r="M922" s="12"/>
      <c r="N922" s="12"/>
      <c r="O922" s="12"/>
      <c r="P922" s="12"/>
      <c r="Q922" s="12"/>
      <c r="R922" s="12"/>
      <c r="S922" s="12"/>
    </row>
    <row r="923" spans="1:19" ht="14.25" customHeight="1" x14ac:dyDescent="0.2">
      <c r="A923" s="1" t="s">
        <v>95</v>
      </c>
      <c r="B923" s="7">
        <v>46090.227048611108</v>
      </c>
      <c r="C923" s="7">
        <v>46090.240960648145</v>
      </c>
      <c r="D923" s="8">
        <v>46090</v>
      </c>
      <c r="E923" s="9">
        <v>0.24096064814511919</v>
      </c>
      <c r="F923" s="10" t="s">
        <v>1111</v>
      </c>
      <c r="G923" s="10" t="s">
        <v>21</v>
      </c>
      <c r="H923" s="10" t="s">
        <v>97</v>
      </c>
      <c r="I923" s="10" t="s">
        <v>23</v>
      </c>
      <c r="J923" s="11">
        <v>1.77</v>
      </c>
      <c r="K923" s="12"/>
      <c r="L923" s="12"/>
      <c r="M923" s="12"/>
      <c r="N923" s="12"/>
      <c r="O923" s="12"/>
      <c r="P923" s="12"/>
      <c r="Q923" s="12"/>
      <c r="R923" s="12"/>
      <c r="S923" s="12"/>
    </row>
    <row r="924" spans="1:19" ht="14.25" customHeight="1" x14ac:dyDescent="0.2">
      <c r="A924" s="1" t="s">
        <v>28</v>
      </c>
      <c r="B924" s="7">
        <v>46090.187673611108</v>
      </c>
      <c r="C924" s="7">
        <v>46090.243773148148</v>
      </c>
      <c r="D924" s="8">
        <v>46090</v>
      </c>
      <c r="E924" s="9">
        <v>0.24377314814773854</v>
      </c>
      <c r="F924" s="10" t="s">
        <v>1112</v>
      </c>
      <c r="G924" s="10" t="s">
        <v>21</v>
      </c>
      <c r="H924" s="10" t="s">
        <v>41</v>
      </c>
      <c r="I924" s="10" t="s">
        <v>23</v>
      </c>
      <c r="J924" s="11">
        <v>1.77</v>
      </c>
      <c r="K924" s="12"/>
      <c r="L924" s="12"/>
      <c r="M924" s="12"/>
      <c r="N924" s="12"/>
      <c r="O924" s="12"/>
      <c r="P924" s="12"/>
      <c r="Q924" s="12"/>
      <c r="R924" s="12"/>
      <c r="S924" s="12"/>
    </row>
    <row r="925" spans="1:19" ht="14.25" customHeight="1" x14ac:dyDescent="0.2">
      <c r="A925" s="1" t="s">
        <v>95</v>
      </c>
      <c r="B925" s="7">
        <v>46090.221122685187</v>
      </c>
      <c r="C925" s="7">
        <v>46090.244120370371</v>
      </c>
      <c r="D925" s="8">
        <v>46090</v>
      </c>
      <c r="E925" s="9">
        <v>0.24412037037109258</v>
      </c>
      <c r="F925" s="10" t="s">
        <v>1113</v>
      </c>
      <c r="G925" s="10" t="s">
        <v>21</v>
      </c>
      <c r="H925" s="10" t="s">
        <v>154</v>
      </c>
      <c r="I925" s="10" t="s">
        <v>23</v>
      </c>
      <c r="J925" s="11">
        <v>1.77</v>
      </c>
      <c r="K925" s="12"/>
      <c r="L925" s="12"/>
      <c r="M925" s="12"/>
      <c r="N925" s="12"/>
      <c r="O925" s="12"/>
      <c r="P925" s="12"/>
      <c r="Q925" s="12"/>
      <c r="R925" s="12"/>
      <c r="S925" s="12"/>
    </row>
    <row r="926" spans="1:19" ht="14.25" customHeight="1" x14ac:dyDescent="0.2">
      <c r="A926" s="1" t="s">
        <v>95</v>
      </c>
      <c r="B926" s="7">
        <v>46090.243923611109</v>
      </c>
      <c r="C926" s="7">
        <v>46090.248831018522</v>
      </c>
      <c r="D926" s="8">
        <v>46090</v>
      </c>
      <c r="E926" s="9">
        <v>0.2488310185217415</v>
      </c>
      <c r="F926" s="10" t="s">
        <v>1114</v>
      </c>
      <c r="G926" s="10" t="s">
        <v>21</v>
      </c>
      <c r="H926" s="10" t="s">
        <v>97</v>
      </c>
      <c r="I926" s="10" t="s">
        <v>23</v>
      </c>
      <c r="J926" s="11">
        <v>1.77</v>
      </c>
      <c r="K926" s="12"/>
      <c r="L926" s="12"/>
      <c r="M926" s="12"/>
      <c r="N926" s="12"/>
      <c r="O926" s="12"/>
      <c r="P926" s="12"/>
      <c r="Q926" s="12"/>
      <c r="R926" s="12"/>
      <c r="S926" s="12"/>
    </row>
    <row r="927" spans="1:19" ht="14.25" customHeight="1" x14ac:dyDescent="0.2">
      <c r="A927" s="1" t="s">
        <v>28</v>
      </c>
      <c r="B927" s="19">
        <v>46090.86791666667</v>
      </c>
      <c r="C927" s="19">
        <v>46090.885347222225</v>
      </c>
      <c r="D927" s="20">
        <v>46090</v>
      </c>
      <c r="E927" s="21">
        <v>0.88534722222539131</v>
      </c>
      <c r="F927" s="1" t="s">
        <v>1115</v>
      </c>
      <c r="G927" s="1" t="s">
        <v>21</v>
      </c>
      <c r="H927" s="1" t="s">
        <v>1116</v>
      </c>
      <c r="I927" s="1" t="s">
        <v>166</v>
      </c>
      <c r="J927" s="12">
        <v>0.83</v>
      </c>
      <c r="K927" s="12">
        <f>SUM(J927:J949)</f>
        <v>31.47</v>
      </c>
      <c r="L927" s="12">
        <f>SUM(J927:J929)</f>
        <v>3.36</v>
      </c>
      <c r="M927" s="13">
        <f>L927*65</f>
        <v>218.4</v>
      </c>
      <c r="N927" s="14">
        <f>MAX(500,M927)</f>
        <v>500</v>
      </c>
      <c r="O927" s="12"/>
      <c r="P927" s="12"/>
      <c r="Q927" s="12"/>
      <c r="R927" s="12"/>
      <c r="S927" s="12"/>
    </row>
    <row r="928" spans="1:19" ht="14.25" customHeight="1" x14ac:dyDescent="0.2">
      <c r="A928" s="1" t="s">
        <v>42</v>
      </c>
      <c r="B928" s="19">
        <v>46090.861064814817</v>
      </c>
      <c r="C928" s="19">
        <v>46090.899826388886</v>
      </c>
      <c r="D928" s="20">
        <v>46090</v>
      </c>
      <c r="E928" s="21">
        <v>0.89982638888614019</v>
      </c>
      <c r="F928" s="1" t="s">
        <v>1117</v>
      </c>
      <c r="G928" s="1" t="s">
        <v>21</v>
      </c>
      <c r="H928" s="1" t="s">
        <v>108</v>
      </c>
      <c r="I928" s="1" t="s">
        <v>166</v>
      </c>
      <c r="J928" s="12">
        <v>1.7</v>
      </c>
      <c r="K928" s="12"/>
      <c r="L928" s="12"/>
      <c r="M928" s="12"/>
      <c r="N928" s="12"/>
      <c r="O928" s="12"/>
      <c r="P928" s="12"/>
      <c r="Q928" s="12"/>
      <c r="R928" s="12"/>
      <c r="S928" s="12"/>
    </row>
    <row r="929" spans="1:19" ht="14.25" customHeight="1" x14ac:dyDescent="0.2">
      <c r="A929" s="1" t="s">
        <v>19</v>
      </c>
      <c r="B929" s="19">
        <v>46090.898564814815</v>
      </c>
      <c r="C929" s="19">
        <v>46090.90902777778</v>
      </c>
      <c r="D929" s="20">
        <v>46090</v>
      </c>
      <c r="E929" s="21">
        <v>0.90902777777955635</v>
      </c>
      <c r="F929" s="1" t="s">
        <v>1118</v>
      </c>
      <c r="G929" s="1" t="s">
        <v>21</v>
      </c>
      <c r="H929" s="1" t="s">
        <v>22</v>
      </c>
      <c r="I929" s="1" t="s">
        <v>166</v>
      </c>
      <c r="J929" s="12">
        <v>0.83</v>
      </c>
      <c r="K929" s="12"/>
      <c r="L929" s="12"/>
      <c r="M929" s="12"/>
      <c r="N929" s="12"/>
      <c r="O929" s="12"/>
      <c r="P929" s="12"/>
      <c r="Q929" s="12"/>
      <c r="R929" s="12"/>
      <c r="S929" s="12"/>
    </row>
    <row r="930" spans="1:19" ht="14.25" customHeight="1" x14ac:dyDescent="0.2">
      <c r="A930" s="1" t="s">
        <v>57</v>
      </c>
      <c r="B930" s="19">
        <v>46090.873206018521</v>
      </c>
      <c r="C930" s="19">
        <v>46090.930914351855</v>
      </c>
      <c r="D930" s="20">
        <v>46090</v>
      </c>
      <c r="E930" s="21">
        <v>0.93091435185488081</v>
      </c>
      <c r="F930" s="1" t="s">
        <v>1119</v>
      </c>
      <c r="G930" s="1" t="s">
        <v>21</v>
      </c>
      <c r="H930" s="1" t="s">
        <v>712</v>
      </c>
      <c r="I930" s="1" t="s">
        <v>166</v>
      </c>
      <c r="J930" s="12">
        <v>1.77</v>
      </c>
      <c r="K930" s="12"/>
      <c r="L930" s="12">
        <f>SUM(J930:J932)</f>
        <v>2.6799999999999997</v>
      </c>
      <c r="M930" s="13">
        <f>L930*65</f>
        <v>174.2</v>
      </c>
      <c r="N930" s="14">
        <f>MAX(500,M930)</f>
        <v>500</v>
      </c>
      <c r="O930" s="12"/>
      <c r="P930" s="12"/>
      <c r="Q930" s="12"/>
      <c r="R930" s="12"/>
      <c r="S930" s="12"/>
    </row>
    <row r="931" spans="1:19" ht="14.25" customHeight="1" x14ac:dyDescent="0.2">
      <c r="A931" s="1" t="s">
        <v>42</v>
      </c>
      <c r="B931" s="19">
        <v>46090.919930555552</v>
      </c>
      <c r="C931" s="19">
        <v>46090.931643518517</v>
      </c>
      <c r="D931" s="20">
        <v>46090</v>
      </c>
      <c r="E931" s="21">
        <v>0.93164351851737592</v>
      </c>
      <c r="F931" s="1" t="s">
        <v>1120</v>
      </c>
      <c r="G931" s="1" t="s">
        <v>44</v>
      </c>
      <c r="H931" s="1" t="s">
        <v>50</v>
      </c>
      <c r="I931" s="1" t="s">
        <v>166</v>
      </c>
      <c r="J931" s="12">
        <v>0.18</v>
      </c>
      <c r="K931" s="12"/>
      <c r="L931" s="12"/>
      <c r="M931" s="12"/>
      <c r="N931" s="12"/>
      <c r="O931" s="12"/>
      <c r="P931" s="12"/>
      <c r="Q931" s="12"/>
      <c r="R931" s="12"/>
      <c r="S931" s="12"/>
    </row>
    <row r="932" spans="1:19" ht="14.25" customHeight="1" x14ac:dyDescent="0.2">
      <c r="A932" s="1" t="s">
        <v>24</v>
      </c>
      <c r="B932" s="19">
        <v>46090.922407407408</v>
      </c>
      <c r="C932" s="19">
        <v>46090.946550925924</v>
      </c>
      <c r="D932" s="20">
        <v>46090</v>
      </c>
      <c r="E932" s="21">
        <v>0.9465509259243845</v>
      </c>
      <c r="F932" s="1" t="s">
        <v>1121</v>
      </c>
      <c r="G932" s="1" t="s">
        <v>26</v>
      </c>
      <c r="H932" s="1" t="s">
        <v>56</v>
      </c>
      <c r="I932" s="1" t="s">
        <v>166</v>
      </c>
      <c r="J932" s="12">
        <v>0.73</v>
      </c>
      <c r="K932" s="12"/>
      <c r="L932" s="12"/>
      <c r="M932" s="12"/>
      <c r="N932" s="12"/>
      <c r="O932" s="12"/>
      <c r="P932" s="12"/>
      <c r="Q932" s="12"/>
      <c r="R932" s="12"/>
      <c r="S932" s="12"/>
    </row>
    <row r="933" spans="1:19" ht="14.25" customHeight="1" x14ac:dyDescent="0.2">
      <c r="A933" s="1" t="s">
        <v>28</v>
      </c>
      <c r="B933" s="19">
        <v>46090.937719907408</v>
      </c>
      <c r="C933" s="19">
        <v>46090.961504629631</v>
      </c>
      <c r="D933" s="20">
        <v>46090</v>
      </c>
      <c r="E933" s="21">
        <v>0.96150462963123573</v>
      </c>
      <c r="F933" s="1" t="s">
        <v>1122</v>
      </c>
      <c r="G933" s="1" t="s">
        <v>21</v>
      </c>
      <c r="H933" s="1" t="s">
        <v>101</v>
      </c>
      <c r="I933" s="1" t="s">
        <v>166</v>
      </c>
      <c r="J933" s="12">
        <v>1.7</v>
      </c>
      <c r="K933" s="12"/>
      <c r="L933" s="12">
        <f>SUM(J933:J935)</f>
        <v>5.17</v>
      </c>
      <c r="M933" s="13">
        <f>L933*65</f>
        <v>336.05</v>
      </c>
      <c r="N933" s="14">
        <f>MAX(500,M933)</f>
        <v>500</v>
      </c>
      <c r="O933" s="12"/>
      <c r="P933" s="12"/>
      <c r="Q933" s="12"/>
      <c r="R933" s="12"/>
      <c r="S933" s="12"/>
    </row>
    <row r="934" spans="1:19" ht="14.25" customHeight="1" x14ac:dyDescent="0.2">
      <c r="A934" s="1" t="s">
        <v>33</v>
      </c>
      <c r="B934" s="19">
        <v>46090.951724537037</v>
      </c>
      <c r="C934" s="19">
        <v>46090.973622685182</v>
      </c>
      <c r="D934" s="20">
        <v>46090</v>
      </c>
      <c r="E934" s="21">
        <v>0.97362268518190831</v>
      </c>
      <c r="F934" s="1" t="s">
        <v>1123</v>
      </c>
      <c r="G934" s="1" t="s">
        <v>21</v>
      </c>
      <c r="H934" s="1" t="s">
        <v>101</v>
      </c>
      <c r="I934" s="1" t="s">
        <v>166</v>
      </c>
      <c r="J934" s="12">
        <v>1.7</v>
      </c>
      <c r="K934" s="12"/>
      <c r="L934" s="12"/>
      <c r="M934" s="12"/>
      <c r="N934" s="12"/>
      <c r="O934" s="12"/>
      <c r="P934" s="12"/>
      <c r="Q934" s="12"/>
      <c r="R934" s="12"/>
      <c r="S934" s="12"/>
    </row>
    <row r="935" spans="1:19" ht="14.25" customHeight="1" x14ac:dyDescent="0.2">
      <c r="A935" s="1" t="s">
        <v>95</v>
      </c>
      <c r="B935" s="19">
        <v>46090.952986111108</v>
      </c>
      <c r="C935" s="19">
        <v>46090.981365740743</v>
      </c>
      <c r="D935" s="20">
        <v>46090</v>
      </c>
      <c r="E935" s="21">
        <v>0.98136574074305827</v>
      </c>
      <c r="F935" s="1" t="s">
        <v>1124</v>
      </c>
      <c r="G935" s="1" t="s">
        <v>21</v>
      </c>
      <c r="H935" s="1" t="s">
        <v>97</v>
      </c>
      <c r="I935" s="1" t="s">
        <v>166</v>
      </c>
      <c r="J935" s="12">
        <v>1.77</v>
      </c>
      <c r="K935" s="12"/>
      <c r="L935" s="12"/>
      <c r="M935" s="12"/>
      <c r="N935" s="12"/>
      <c r="O935" s="12"/>
      <c r="P935" s="12"/>
      <c r="Q935" s="12"/>
      <c r="R935" s="12"/>
      <c r="S935" s="12"/>
    </row>
    <row r="936" spans="1:19" ht="14.25" customHeight="1" x14ac:dyDescent="0.2">
      <c r="A936" s="1" t="s">
        <v>24</v>
      </c>
      <c r="B936" s="19">
        <v>46090.977569444447</v>
      </c>
      <c r="C936" s="19">
        <v>46091.004999999997</v>
      </c>
      <c r="D936" s="20">
        <v>46091</v>
      </c>
      <c r="E936" s="21">
        <v>4.9999999973806553E-3</v>
      </c>
      <c r="F936" s="1" t="s">
        <v>1125</v>
      </c>
      <c r="G936" s="1" t="s">
        <v>21</v>
      </c>
      <c r="H936" s="1" t="s">
        <v>101</v>
      </c>
      <c r="I936" s="1" t="s">
        <v>166</v>
      </c>
      <c r="J936" s="12">
        <v>1.7</v>
      </c>
      <c r="K936" s="12"/>
      <c r="L936" s="12">
        <f>SUM(J936:J939)</f>
        <v>6</v>
      </c>
      <c r="M936" s="13">
        <f>L936*65</f>
        <v>390</v>
      </c>
      <c r="N936" s="14">
        <f>MAX(500,M936)</f>
        <v>500</v>
      </c>
      <c r="O936" s="12"/>
      <c r="P936" s="12"/>
      <c r="Q936" s="12"/>
      <c r="R936" s="12"/>
      <c r="S936" s="12"/>
    </row>
    <row r="937" spans="1:19" ht="14.25" customHeight="1" x14ac:dyDescent="0.2">
      <c r="A937" s="1" t="s">
        <v>19</v>
      </c>
      <c r="B937" s="19">
        <v>46090.996446759258</v>
      </c>
      <c r="C937" s="19">
        <v>46091.016747685186</v>
      </c>
      <c r="D937" s="20">
        <v>46091</v>
      </c>
      <c r="E937" s="21">
        <v>1.6747685185691807E-2</v>
      </c>
      <c r="F937" s="1" t="s">
        <v>1126</v>
      </c>
      <c r="G937" s="1" t="s">
        <v>21</v>
      </c>
      <c r="H937" s="1" t="s">
        <v>101</v>
      </c>
      <c r="I937" s="1" t="s">
        <v>166</v>
      </c>
      <c r="J937" s="12">
        <v>1.7</v>
      </c>
      <c r="K937" s="12"/>
      <c r="L937" s="12"/>
      <c r="M937" s="12"/>
      <c r="N937" s="12"/>
      <c r="O937" s="12"/>
      <c r="P937" s="12"/>
      <c r="Q937" s="12"/>
      <c r="R937" s="12"/>
      <c r="S937" s="12"/>
    </row>
    <row r="938" spans="1:19" ht="14.25" customHeight="1" x14ac:dyDescent="0.2">
      <c r="A938" s="1" t="s">
        <v>19</v>
      </c>
      <c r="B938" s="19">
        <v>46091.005567129629</v>
      </c>
      <c r="C938" s="19">
        <v>46091.036712962959</v>
      </c>
      <c r="D938" s="20">
        <v>46091</v>
      </c>
      <c r="E938" s="21">
        <v>3.6712962959427387E-2</v>
      </c>
      <c r="F938" s="1" t="s">
        <v>1127</v>
      </c>
      <c r="G938" s="1" t="s">
        <v>21</v>
      </c>
      <c r="H938" s="1" t="s">
        <v>276</v>
      </c>
      <c r="I938" s="1" t="s">
        <v>166</v>
      </c>
      <c r="J938" s="12">
        <v>1.77</v>
      </c>
      <c r="K938" s="12"/>
      <c r="L938" s="12"/>
      <c r="M938" s="12"/>
      <c r="N938" s="12"/>
      <c r="O938" s="12"/>
      <c r="P938" s="12"/>
      <c r="Q938" s="12"/>
      <c r="R938" s="12"/>
      <c r="S938" s="12"/>
    </row>
    <row r="939" spans="1:19" ht="14.25" customHeight="1" x14ac:dyDescent="0.2">
      <c r="A939" s="1" t="s">
        <v>95</v>
      </c>
      <c r="B939" s="19">
        <v>46091.03696759259</v>
      </c>
      <c r="C939" s="19">
        <v>46091.04078703704</v>
      </c>
      <c r="D939" s="20">
        <v>46091</v>
      </c>
      <c r="E939" s="21">
        <v>4.0787037039990537E-2</v>
      </c>
      <c r="F939" s="1" t="s">
        <v>1128</v>
      </c>
      <c r="G939" s="1" t="s">
        <v>21</v>
      </c>
      <c r="H939" s="1" t="s">
        <v>110</v>
      </c>
      <c r="I939" s="1" t="s">
        <v>166</v>
      </c>
      <c r="J939" s="12">
        <v>0.83</v>
      </c>
      <c r="K939" s="12"/>
      <c r="L939" s="12"/>
      <c r="M939" s="12"/>
      <c r="N939" s="12"/>
      <c r="O939" s="12"/>
      <c r="P939" s="12"/>
      <c r="Q939" s="12"/>
      <c r="R939" s="12"/>
      <c r="S939" s="12"/>
    </row>
    <row r="940" spans="1:19" ht="14.25" customHeight="1" x14ac:dyDescent="0.2">
      <c r="A940" s="1" t="s">
        <v>95</v>
      </c>
      <c r="B940" s="19">
        <v>46091.004027777781</v>
      </c>
      <c r="C940" s="19">
        <v>46091.05505787037</v>
      </c>
      <c r="D940" s="20">
        <v>46091</v>
      </c>
      <c r="E940" s="21">
        <v>5.5057870369637385E-2</v>
      </c>
      <c r="F940" s="1" t="s">
        <v>1129</v>
      </c>
      <c r="G940" s="1" t="s">
        <v>21</v>
      </c>
      <c r="H940" s="1" t="s">
        <v>97</v>
      </c>
      <c r="I940" s="1" t="s">
        <v>166</v>
      </c>
      <c r="J940" s="12">
        <v>1.77</v>
      </c>
      <c r="K940" s="12"/>
      <c r="L940" s="12">
        <f>SUM(J940:J944)</f>
        <v>4.43</v>
      </c>
      <c r="M940" s="13">
        <f>L940*65</f>
        <v>287.95</v>
      </c>
      <c r="N940" s="14">
        <f>MAX(500,M940)</f>
        <v>500</v>
      </c>
      <c r="O940" s="12"/>
      <c r="P940" s="12"/>
      <c r="Q940" s="12"/>
      <c r="R940" s="12"/>
      <c r="S940" s="12"/>
    </row>
    <row r="941" spans="1:19" ht="14.25" customHeight="1" x14ac:dyDescent="0.2">
      <c r="A941" s="1" t="s">
        <v>24</v>
      </c>
      <c r="B941" s="19">
        <v>46091.04283564815</v>
      </c>
      <c r="C941" s="19">
        <v>46091.065439814818</v>
      </c>
      <c r="D941" s="20">
        <v>46091</v>
      </c>
      <c r="E941" s="21">
        <v>6.5439814818091691E-2</v>
      </c>
      <c r="F941" s="1" t="s">
        <v>1130</v>
      </c>
      <c r="G941" s="1" t="s">
        <v>26</v>
      </c>
      <c r="H941" s="1" t="s">
        <v>80</v>
      </c>
      <c r="I941" s="1" t="s">
        <v>166</v>
      </c>
      <c r="J941" s="12">
        <v>0.56999999999999995</v>
      </c>
      <c r="K941" s="12"/>
      <c r="L941" s="12"/>
      <c r="M941" s="12"/>
      <c r="N941" s="12"/>
      <c r="O941" s="12"/>
      <c r="P941" s="12"/>
      <c r="Q941" s="12"/>
      <c r="R941" s="12"/>
      <c r="S941" s="12"/>
    </row>
    <row r="942" spans="1:19" ht="14.25" customHeight="1" x14ac:dyDescent="0.2">
      <c r="A942" s="1" t="s">
        <v>95</v>
      </c>
      <c r="B942" s="19">
        <v>46091.036550925928</v>
      </c>
      <c r="C942" s="19">
        <v>46091.076388888891</v>
      </c>
      <c r="D942" s="20">
        <v>46091</v>
      </c>
      <c r="E942" s="21">
        <v>7.6388888890505768E-2</v>
      </c>
      <c r="F942" s="1" t="s">
        <v>1131</v>
      </c>
      <c r="G942" s="1" t="s">
        <v>21</v>
      </c>
      <c r="H942" s="1" t="s">
        <v>598</v>
      </c>
      <c r="I942" s="1" t="s">
        <v>166</v>
      </c>
      <c r="J942" s="12">
        <v>0.98</v>
      </c>
      <c r="K942" s="12"/>
      <c r="L942" s="12"/>
      <c r="M942" s="12"/>
      <c r="N942" s="12"/>
      <c r="O942" s="12"/>
      <c r="P942" s="12"/>
      <c r="Q942" s="12"/>
      <c r="R942" s="12"/>
      <c r="S942" s="12"/>
    </row>
    <row r="943" spans="1:19" ht="14.25" customHeight="1" x14ac:dyDescent="0.2">
      <c r="A943" s="1" t="s">
        <v>24</v>
      </c>
      <c r="B943" s="19">
        <v>46091.067812499998</v>
      </c>
      <c r="C943" s="19">
        <v>46091.079629629632</v>
      </c>
      <c r="D943" s="20">
        <v>46091</v>
      </c>
      <c r="E943" s="21">
        <v>7.9629629632108845E-2</v>
      </c>
      <c r="F943" s="1" t="s">
        <v>1132</v>
      </c>
      <c r="G943" s="1" t="s">
        <v>26</v>
      </c>
      <c r="H943" s="1" t="s">
        <v>1133</v>
      </c>
      <c r="I943" s="1" t="s">
        <v>166</v>
      </c>
      <c r="J943" s="12">
        <v>0.44</v>
      </c>
      <c r="K943" s="12"/>
      <c r="L943" s="12"/>
      <c r="M943" s="12"/>
      <c r="N943" s="12"/>
      <c r="O943" s="12"/>
      <c r="P943" s="12"/>
      <c r="Q943" s="12"/>
      <c r="R943" s="12"/>
      <c r="S943" s="12"/>
    </row>
    <row r="944" spans="1:19" ht="14.25" customHeight="1" x14ac:dyDescent="0.2">
      <c r="A944" s="1" t="s">
        <v>28</v>
      </c>
      <c r="B944" s="19">
        <v>46091.060659722221</v>
      </c>
      <c r="C944" s="19">
        <v>46091.080983796295</v>
      </c>
      <c r="D944" s="20">
        <v>46091</v>
      </c>
      <c r="E944" s="21">
        <v>8.0983796295186039E-2</v>
      </c>
      <c r="F944" s="1" t="s">
        <v>1134</v>
      </c>
      <c r="G944" s="1" t="s">
        <v>26</v>
      </c>
      <c r="H944" s="1" t="s">
        <v>1019</v>
      </c>
      <c r="I944" s="1" t="s">
        <v>166</v>
      </c>
      <c r="J944" s="12">
        <v>0.67</v>
      </c>
      <c r="K944" s="12"/>
      <c r="L944" s="12"/>
      <c r="M944" s="12"/>
      <c r="N944" s="12"/>
      <c r="O944" s="12"/>
      <c r="P944" s="12"/>
      <c r="Q944" s="12"/>
      <c r="R944" s="12"/>
      <c r="S944" s="12"/>
    </row>
    <row r="945" spans="1:19" ht="14.25" customHeight="1" x14ac:dyDescent="0.2">
      <c r="A945" s="1" t="s">
        <v>95</v>
      </c>
      <c r="B945" s="19">
        <v>46091.048807870371</v>
      </c>
      <c r="C945" s="19">
        <v>46091.094872685186</v>
      </c>
      <c r="D945" s="20">
        <v>46091</v>
      </c>
      <c r="E945" s="21">
        <v>9.4872685185691807E-2</v>
      </c>
      <c r="F945" s="1" t="s">
        <v>1135</v>
      </c>
      <c r="G945" s="1" t="s">
        <v>21</v>
      </c>
      <c r="H945" s="1" t="s">
        <v>97</v>
      </c>
      <c r="I945" s="1" t="s">
        <v>166</v>
      </c>
      <c r="J945" s="12">
        <v>1.77</v>
      </c>
      <c r="K945" s="12"/>
      <c r="L945" s="12">
        <f>SUM(J945:J948)</f>
        <v>8.0599999999999987</v>
      </c>
      <c r="M945" s="13">
        <f>L945*65</f>
        <v>523.89999999999986</v>
      </c>
      <c r="N945" s="14">
        <f>MAX(500,M945)</f>
        <v>523.89999999999986</v>
      </c>
      <c r="O945" s="12"/>
      <c r="P945" s="12"/>
      <c r="Q945" s="12"/>
      <c r="R945" s="12"/>
      <c r="S945" s="12"/>
    </row>
    <row r="946" spans="1:19" ht="14.25" customHeight="1" x14ac:dyDescent="0.2">
      <c r="A946" s="1" t="s">
        <v>33</v>
      </c>
      <c r="B946" s="19">
        <v>46091.067106481481</v>
      </c>
      <c r="C946" s="19">
        <v>46091.100347222222</v>
      </c>
      <c r="D946" s="20">
        <v>46091</v>
      </c>
      <c r="E946" s="21">
        <v>0.10034722222189885</v>
      </c>
      <c r="F946" s="1" t="s">
        <v>1136</v>
      </c>
      <c r="G946" s="1" t="s">
        <v>21</v>
      </c>
      <c r="H946" s="1" t="s">
        <v>467</v>
      </c>
      <c r="I946" s="1" t="s">
        <v>166</v>
      </c>
      <c r="J946" s="12">
        <v>2.75</v>
      </c>
      <c r="K946" s="12"/>
      <c r="L946" s="12"/>
      <c r="M946" s="12"/>
      <c r="N946" s="12"/>
      <c r="O946" s="12"/>
      <c r="P946" s="12"/>
      <c r="Q946" s="12"/>
      <c r="R946" s="12"/>
      <c r="S946" s="12"/>
    </row>
    <row r="947" spans="1:19" ht="14.25" customHeight="1" x14ac:dyDescent="0.2">
      <c r="A947" s="1" t="s">
        <v>19</v>
      </c>
      <c r="B947" s="19">
        <v>46091.083425925928</v>
      </c>
      <c r="C947" s="19">
        <v>46091.110659722224</v>
      </c>
      <c r="D947" s="20">
        <v>46091</v>
      </c>
      <c r="E947" s="21">
        <v>0.11065972222422715</v>
      </c>
      <c r="F947" s="1" t="s">
        <v>1137</v>
      </c>
      <c r="G947" s="1" t="s">
        <v>21</v>
      </c>
      <c r="H947" s="1" t="s">
        <v>276</v>
      </c>
      <c r="I947" s="1" t="s">
        <v>166</v>
      </c>
      <c r="J947" s="12">
        <v>1.77</v>
      </c>
      <c r="K947" s="12"/>
      <c r="L947" s="12"/>
      <c r="M947" s="12"/>
      <c r="N947" s="12"/>
      <c r="O947" s="12"/>
      <c r="P947" s="12"/>
      <c r="Q947" s="12"/>
      <c r="R947" s="12"/>
      <c r="S947" s="12"/>
    </row>
    <row r="948" spans="1:19" x14ac:dyDescent="0.2">
      <c r="A948" s="1" t="s">
        <v>19</v>
      </c>
      <c r="B948" s="19">
        <v>46091.099039351851</v>
      </c>
      <c r="C948" s="19">
        <v>46091.121967592589</v>
      </c>
      <c r="D948" s="20">
        <v>46091</v>
      </c>
      <c r="E948" s="21">
        <v>0.12196759258949896</v>
      </c>
      <c r="F948" s="1" t="s">
        <v>1138</v>
      </c>
      <c r="G948" s="1" t="s">
        <v>21</v>
      </c>
      <c r="H948" s="1" t="s">
        <v>41</v>
      </c>
      <c r="I948" s="1" t="s">
        <v>166</v>
      </c>
      <c r="J948" s="12">
        <v>1.77</v>
      </c>
      <c r="K948" s="12"/>
      <c r="L948" s="12"/>
      <c r="M948" s="12"/>
      <c r="N948" s="12"/>
      <c r="O948" s="12"/>
      <c r="P948" s="12"/>
      <c r="Q948" s="12"/>
      <c r="R948" s="12"/>
      <c r="S948" s="12"/>
    </row>
    <row r="949" spans="1:19" ht="14.25" customHeight="1" x14ac:dyDescent="0.2">
      <c r="A949" s="1" t="s">
        <v>42</v>
      </c>
      <c r="B949" s="19">
        <v>46091.105694444443</v>
      </c>
      <c r="C949" s="19">
        <v>46091.134675925925</v>
      </c>
      <c r="D949" s="20">
        <v>46091</v>
      </c>
      <c r="E949" s="21">
        <v>0.13467592592496658</v>
      </c>
      <c r="F949" s="1" t="s">
        <v>1139</v>
      </c>
      <c r="G949" s="1" t="s">
        <v>21</v>
      </c>
      <c r="H949" s="1" t="s">
        <v>97</v>
      </c>
      <c r="I949" s="1" t="s">
        <v>166</v>
      </c>
      <c r="J949" s="12">
        <v>1.77</v>
      </c>
      <c r="K949" s="12"/>
      <c r="L949" s="12">
        <f>SUM(J949)</f>
        <v>1.77</v>
      </c>
      <c r="M949" s="13">
        <f t="shared" ref="M949:M950" si="14">L949*65</f>
        <v>115.05</v>
      </c>
      <c r="N949" s="14">
        <f t="shared" ref="N949:N950" si="15">MAX(500,M949)</f>
        <v>500</v>
      </c>
      <c r="O949" s="12"/>
      <c r="P949" s="12"/>
      <c r="Q949" s="12"/>
      <c r="R949" s="12"/>
      <c r="S949" s="12"/>
    </row>
    <row r="950" spans="1:19" ht="14.25" customHeight="1" x14ac:dyDescent="0.2">
      <c r="A950" s="1" t="s">
        <v>28</v>
      </c>
      <c r="B950" s="7">
        <v>46090.866793981484</v>
      </c>
      <c r="C950" s="7">
        <v>46090.881724537037</v>
      </c>
      <c r="D950" s="8">
        <v>46090</v>
      </c>
      <c r="E950" s="9">
        <v>0.88172453703737119</v>
      </c>
      <c r="F950" s="10" t="s">
        <v>1140</v>
      </c>
      <c r="G950" s="10" t="s">
        <v>21</v>
      </c>
      <c r="H950" s="10" t="s">
        <v>22</v>
      </c>
      <c r="I950" s="10" t="s">
        <v>23</v>
      </c>
      <c r="J950" s="11">
        <v>0.83</v>
      </c>
      <c r="K950" s="12">
        <f>SUM(J950:J1043)</f>
        <v>118.74999999999996</v>
      </c>
      <c r="L950" s="12">
        <f>SUM(J950:J963)</f>
        <v>14.41</v>
      </c>
      <c r="M950" s="13">
        <f t="shared" si="14"/>
        <v>936.65</v>
      </c>
      <c r="N950" s="14">
        <f t="shared" si="15"/>
        <v>936.65</v>
      </c>
      <c r="O950" s="12"/>
      <c r="P950" s="12"/>
      <c r="Q950" s="12"/>
      <c r="R950" s="12"/>
      <c r="S950" s="12"/>
    </row>
    <row r="951" spans="1:19" ht="14.25" customHeight="1" x14ac:dyDescent="0.2">
      <c r="A951" s="1" t="s">
        <v>19</v>
      </c>
      <c r="B951" s="7">
        <v>46090.866238425922</v>
      </c>
      <c r="C951" s="7">
        <v>46090.882060185184</v>
      </c>
      <c r="D951" s="8">
        <v>46090</v>
      </c>
      <c r="E951" s="9">
        <v>0.88206018518394558</v>
      </c>
      <c r="F951" s="10" t="s">
        <v>1141</v>
      </c>
      <c r="G951" s="10" t="s">
        <v>21</v>
      </c>
      <c r="H951" s="10" t="s">
        <v>39</v>
      </c>
      <c r="I951" s="10" t="s">
        <v>23</v>
      </c>
      <c r="J951" s="11">
        <v>1.77</v>
      </c>
      <c r="K951" s="12"/>
      <c r="L951" s="12"/>
      <c r="M951" s="12"/>
      <c r="N951" s="12"/>
      <c r="O951" s="12"/>
      <c r="P951" s="12"/>
      <c r="Q951" s="12"/>
      <c r="R951" s="12"/>
      <c r="S951" s="12"/>
    </row>
    <row r="952" spans="1:19" ht="14.25" customHeight="1" x14ac:dyDescent="0.2">
      <c r="A952" s="1" t="s">
        <v>42</v>
      </c>
      <c r="B952" s="7">
        <v>46090.852280092593</v>
      </c>
      <c r="C952" s="7">
        <v>46090.883877314816</v>
      </c>
      <c r="D952" s="8">
        <v>46090</v>
      </c>
      <c r="E952" s="9">
        <v>0.88387731481634546</v>
      </c>
      <c r="F952" s="10" t="s">
        <v>1142</v>
      </c>
      <c r="G952" s="10" t="s">
        <v>26</v>
      </c>
      <c r="H952" s="10" t="s">
        <v>56</v>
      </c>
      <c r="I952" s="10" t="s">
        <v>23</v>
      </c>
      <c r="J952" s="11">
        <v>0.73</v>
      </c>
      <c r="K952" s="12"/>
      <c r="L952" s="12"/>
      <c r="M952" s="12"/>
      <c r="N952" s="12"/>
      <c r="O952" s="12"/>
      <c r="P952" s="12"/>
      <c r="Q952" s="12"/>
      <c r="R952" s="12"/>
      <c r="S952" s="12"/>
    </row>
    <row r="953" spans="1:19" ht="14.25" customHeight="1" x14ac:dyDescent="0.2">
      <c r="A953" s="1" t="s">
        <v>42</v>
      </c>
      <c r="B953" s="7">
        <v>46090.863576388889</v>
      </c>
      <c r="C953" s="7">
        <v>46090.884039351855</v>
      </c>
      <c r="D953" s="8">
        <v>46090</v>
      </c>
      <c r="E953" s="9">
        <v>0.88403935185488081</v>
      </c>
      <c r="F953" s="10" t="s">
        <v>1143</v>
      </c>
      <c r="G953" s="10" t="s">
        <v>44</v>
      </c>
      <c r="H953" s="10" t="s">
        <v>1144</v>
      </c>
      <c r="I953" s="10" t="s">
        <v>23</v>
      </c>
      <c r="J953" s="11">
        <v>0.18</v>
      </c>
      <c r="K953" s="12"/>
      <c r="L953" s="12"/>
      <c r="M953" s="12"/>
      <c r="N953" s="12"/>
      <c r="O953" s="12"/>
      <c r="P953" s="12"/>
      <c r="Q953" s="12"/>
      <c r="R953" s="12"/>
      <c r="S953" s="12"/>
    </row>
    <row r="954" spans="1:19" ht="14.25" customHeight="1" x14ac:dyDescent="0.2">
      <c r="A954" s="1" t="s">
        <v>28</v>
      </c>
      <c r="B954" s="7">
        <v>46090.877442129633</v>
      </c>
      <c r="C954" s="7">
        <v>46090.893622685187</v>
      </c>
      <c r="D954" s="8">
        <v>46090</v>
      </c>
      <c r="E954" s="9">
        <v>0.89362268518743804</v>
      </c>
      <c r="F954" s="10" t="s">
        <v>1145</v>
      </c>
      <c r="G954" s="10" t="s">
        <v>21</v>
      </c>
      <c r="H954" s="10" t="s">
        <v>276</v>
      </c>
      <c r="I954" s="10" t="s">
        <v>23</v>
      </c>
      <c r="J954" s="11">
        <v>1.77</v>
      </c>
      <c r="K954" s="12"/>
      <c r="L954" s="12"/>
      <c r="M954" s="12"/>
      <c r="N954" s="12"/>
      <c r="O954" s="12"/>
      <c r="P954" s="12"/>
      <c r="Q954" s="12"/>
      <c r="R954" s="12"/>
      <c r="S954" s="12"/>
    </row>
    <row r="955" spans="1:19" ht="14.25" customHeight="1" x14ac:dyDescent="0.2">
      <c r="A955" s="1" t="s">
        <v>28</v>
      </c>
      <c r="B955" s="7">
        <v>46090.872037037036</v>
      </c>
      <c r="C955" s="7">
        <v>46090.89576388889</v>
      </c>
      <c r="D955" s="8">
        <v>46090</v>
      </c>
      <c r="E955" s="9">
        <v>0.89576388888963265</v>
      </c>
      <c r="F955" s="10" t="s">
        <v>1146</v>
      </c>
      <c r="G955" s="10" t="s">
        <v>26</v>
      </c>
      <c r="H955" s="10" t="s">
        <v>86</v>
      </c>
      <c r="I955" s="10" t="s">
        <v>23</v>
      </c>
      <c r="J955" s="11">
        <v>0.88</v>
      </c>
      <c r="K955" s="12"/>
      <c r="L955" s="12"/>
      <c r="M955" s="12"/>
      <c r="N955" s="12"/>
      <c r="O955" s="12"/>
      <c r="P955" s="12"/>
      <c r="Q955" s="12"/>
      <c r="R955" s="12"/>
      <c r="S955" s="12"/>
    </row>
    <row r="956" spans="1:19" ht="14.25" customHeight="1" x14ac:dyDescent="0.2">
      <c r="A956" s="1" t="s">
        <v>24</v>
      </c>
      <c r="B956" s="7">
        <v>46090.876736111109</v>
      </c>
      <c r="C956" s="7">
        <v>46090.896087962959</v>
      </c>
      <c r="D956" s="8">
        <v>46090</v>
      </c>
      <c r="E956" s="9">
        <v>0.89608796295942739</v>
      </c>
      <c r="F956" s="10" t="s">
        <v>1147</v>
      </c>
      <c r="G956" s="10" t="s">
        <v>21</v>
      </c>
      <c r="H956" s="10" t="s">
        <v>22</v>
      </c>
      <c r="I956" s="10" t="s">
        <v>23</v>
      </c>
      <c r="J956" s="11">
        <v>0.83</v>
      </c>
      <c r="K956" s="12"/>
      <c r="L956" s="12"/>
      <c r="M956" s="12"/>
      <c r="N956" s="12"/>
      <c r="O956" s="12"/>
      <c r="P956" s="12"/>
      <c r="Q956" s="12"/>
      <c r="R956" s="12"/>
      <c r="S956" s="12"/>
    </row>
    <row r="957" spans="1:19" ht="14.25" customHeight="1" x14ac:dyDescent="0.2">
      <c r="A957" s="1" t="s">
        <v>24</v>
      </c>
      <c r="B957" s="7">
        <v>46090.876736111109</v>
      </c>
      <c r="C957" s="7">
        <v>46090.89671296296</v>
      </c>
      <c r="D957" s="8">
        <v>46090</v>
      </c>
      <c r="E957" s="9">
        <v>0.89671296296000946</v>
      </c>
      <c r="F957" s="10" t="s">
        <v>1148</v>
      </c>
      <c r="G957" s="10" t="s">
        <v>21</v>
      </c>
      <c r="H957" s="10" t="s">
        <v>52</v>
      </c>
      <c r="I957" s="10" t="s">
        <v>23</v>
      </c>
      <c r="J957" s="11">
        <v>0.98</v>
      </c>
      <c r="K957" s="12"/>
      <c r="L957" s="12"/>
      <c r="M957" s="12"/>
      <c r="N957" s="12"/>
      <c r="O957" s="12"/>
      <c r="P957" s="12"/>
      <c r="Q957" s="12"/>
      <c r="R957" s="12"/>
      <c r="S957" s="12"/>
    </row>
    <row r="958" spans="1:19" ht="14.25" customHeight="1" x14ac:dyDescent="0.2">
      <c r="A958" s="1" t="s">
        <v>19</v>
      </c>
      <c r="B958" s="7">
        <v>46090.877141203702</v>
      </c>
      <c r="C958" s="7">
        <v>46090.899745370371</v>
      </c>
      <c r="D958" s="8">
        <v>46090</v>
      </c>
      <c r="E958" s="9">
        <v>0.8997453703705105</v>
      </c>
      <c r="F958" s="10" t="s">
        <v>1149</v>
      </c>
      <c r="G958" s="10" t="s">
        <v>21</v>
      </c>
      <c r="H958" s="10" t="s">
        <v>41</v>
      </c>
      <c r="I958" s="10" t="s">
        <v>23</v>
      </c>
      <c r="J958" s="11">
        <v>1.77</v>
      </c>
      <c r="K958" s="12"/>
      <c r="L958" s="12"/>
      <c r="M958" s="12"/>
      <c r="N958" s="12"/>
      <c r="O958" s="12"/>
      <c r="P958" s="12"/>
      <c r="Q958" s="12"/>
      <c r="R958" s="12"/>
      <c r="S958" s="12"/>
    </row>
    <row r="959" spans="1:19" ht="14.25" customHeight="1" x14ac:dyDescent="0.2">
      <c r="A959" s="1" t="s">
        <v>42</v>
      </c>
      <c r="B959" s="7">
        <v>46090.890370370369</v>
      </c>
      <c r="C959" s="7">
        <v>46090.904120370367</v>
      </c>
      <c r="D959" s="8">
        <v>46090</v>
      </c>
      <c r="E959" s="9">
        <v>0.90412037036730908</v>
      </c>
      <c r="F959" s="10" t="s">
        <v>1150</v>
      </c>
      <c r="G959" s="10" t="s">
        <v>44</v>
      </c>
      <c r="H959" s="10" t="s">
        <v>1144</v>
      </c>
      <c r="I959" s="10" t="s">
        <v>23</v>
      </c>
      <c r="J959" s="11">
        <v>0.18</v>
      </c>
      <c r="K959" s="12"/>
      <c r="L959" s="12"/>
      <c r="M959" s="12"/>
      <c r="N959" s="12"/>
      <c r="O959" s="12"/>
      <c r="P959" s="12"/>
      <c r="Q959" s="12"/>
      <c r="R959" s="12"/>
      <c r="S959" s="12"/>
    </row>
    <row r="960" spans="1:19" ht="14.25" customHeight="1" x14ac:dyDescent="0.2">
      <c r="A960" s="1" t="s">
        <v>24</v>
      </c>
      <c r="B960" s="7">
        <v>46090.880196759259</v>
      </c>
      <c r="C960" s="7">
        <v>46090.908182870371</v>
      </c>
      <c r="D960" s="8">
        <v>46090</v>
      </c>
      <c r="E960" s="9">
        <v>0.90818287037109258</v>
      </c>
      <c r="F960" s="10" t="s">
        <v>1151</v>
      </c>
      <c r="G960" s="10" t="s">
        <v>21</v>
      </c>
      <c r="H960" s="10" t="s">
        <v>620</v>
      </c>
      <c r="I960" s="10" t="s">
        <v>23</v>
      </c>
      <c r="J960" s="11">
        <v>1.06</v>
      </c>
      <c r="K960" s="12"/>
      <c r="L960" s="12"/>
      <c r="M960" s="12"/>
      <c r="N960" s="12"/>
      <c r="O960" s="12"/>
      <c r="P960" s="12"/>
      <c r="Q960" s="12"/>
      <c r="R960" s="12"/>
      <c r="S960" s="12"/>
    </row>
    <row r="961" spans="1:19" ht="14.25" customHeight="1" x14ac:dyDescent="0.2">
      <c r="A961" s="1" t="s">
        <v>19</v>
      </c>
      <c r="B961" s="7">
        <v>46090.891319444447</v>
      </c>
      <c r="C961" s="7">
        <v>46090.908622685187</v>
      </c>
      <c r="D961" s="8">
        <v>46090</v>
      </c>
      <c r="E961" s="9">
        <v>0.90862268518685596</v>
      </c>
      <c r="F961" s="10" t="s">
        <v>1152</v>
      </c>
      <c r="G961" s="10" t="s">
        <v>21</v>
      </c>
      <c r="H961" s="10" t="s">
        <v>39</v>
      </c>
      <c r="I961" s="10" t="s">
        <v>23</v>
      </c>
      <c r="J961" s="11">
        <v>1.77</v>
      </c>
      <c r="K961" s="12"/>
      <c r="L961" s="12"/>
      <c r="M961" s="12"/>
      <c r="N961" s="12"/>
      <c r="O961" s="12"/>
      <c r="P961" s="12"/>
      <c r="Q961" s="12"/>
      <c r="R961" s="12"/>
      <c r="S961" s="12"/>
    </row>
    <row r="962" spans="1:19" ht="14.25" customHeight="1" x14ac:dyDescent="0.2">
      <c r="A962" s="1" t="s">
        <v>24</v>
      </c>
      <c r="B962" s="7">
        <v>46090.898564814815</v>
      </c>
      <c r="C962" s="7">
        <v>46090.90892361111</v>
      </c>
      <c r="D962" s="8">
        <v>46090</v>
      </c>
      <c r="E962" s="9">
        <v>0.90892361111036735</v>
      </c>
      <c r="F962" s="10" t="s">
        <v>1153</v>
      </c>
      <c r="G962" s="10" t="s">
        <v>21</v>
      </c>
      <c r="H962" s="10" t="s">
        <v>54</v>
      </c>
      <c r="I962" s="10" t="s">
        <v>23</v>
      </c>
      <c r="J962" s="11">
        <v>0.83</v>
      </c>
      <c r="K962" s="12"/>
      <c r="L962" s="12"/>
      <c r="M962" s="12"/>
      <c r="N962" s="12"/>
      <c r="O962" s="12"/>
      <c r="P962" s="12"/>
      <c r="Q962" s="12"/>
      <c r="R962" s="12"/>
      <c r="S962" s="12"/>
    </row>
    <row r="963" spans="1:19" ht="14.25" customHeight="1" x14ac:dyDescent="0.2">
      <c r="A963" s="1" t="s">
        <v>19</v>
      </c>
      <c r="B963" s="7">
        <v>46090.906643518516</v>
      </c>
      <c r="C963" s="7">
        <v>46090.916041666664</v>
      </c>
      <c r="D963" s="8">
        <v>46090</v>
      </c>
      <c r="E963" s="9">
        <v>0.91604166666365927</v>
      </c>
      <c r="F963" s="10" t="s">
        <v>1154</v>
      </c>
      <c r="G963" s="10" t="s">
        <v>21</v>
      </c>
      <c r="H963" s="10" t="s">
        <v>22</v>
      </c>
      <c r="I963" s="10" t="s">
        <v>23</v>
      </c>
      <c r="J963" s="11">
        <v>0.83</v>
      </c>
      <c r="K963" s="12"/>
      <c r="L963" s="12"/>
      <c r="M963" s="12"/>
      <c r="N963" s="12"/>
      <c r="O963" s="12"/>
      <c r="P963" s="12"/>
      <c r="Q963" s="12"/>
      <c r="R963" s="12"/>
      <c r="S963" s="12"/>
    </row>
    <row r="964" spans="1:19" ht="14.25" customHeight="1" x14ac:dyDescent="0.2">
      <c r="A964" s="1" t="s">
        <v>42</v>
      </c>
      <c r="B964" s="7">
        <v>46090.890428240738</v>
      </c>
      <c r="C964" s="7">
        <v>46090.918067129627</v>
      </c>
      <c r="D964" s="8">
        <v>46090</v>
      </c>
      <c r="E964" s="9">
        <v>0.91806712962716119</v>
      </c>
      <c r="F964" s="10" t="s">
        <v>1155</v>
      </c>
      <c r="G964" s="10" t="s">
        <v>26</v>
      </c>
      <c r="H964" s="10" t="s">
        <v>56</v>
      </c>
      <c r="I964" s="10" t="s">
        <v>23</v>
      </c>
      <c r="J964" s="11">
        <v>0.73</v>
      </c>
      <c r="K964" s="12"/>
      <c r="L964" s="12">
        <f>SUM(J964:J970)</f>
        <v>13.239999999999998</v>
      </c>
      <c r="M964" s="13">
        <f>L964*65</f>
        <v>860.59999999999991</v>
      </c>
      <c r="N964" s="14">
        <f>MAX(500,M964)</f>
        <v>860.59999999999991</v>
      </c>
      <c r="O964" s="12"/>
      <c r="P964" s="12"/>
      <c r="Q964" s="12"/>
      <c r="R964" s="12"/>
      <c r="S964" s="12"/>
    </row>
    <row r="965" spans="1:19" ht="14.25" customHeight="1" x14ac:dyDescent="0.2">
      <c r="A965" s="1" t="s">
        <v>24</v>
      </c>
      <c r="B965" s="7">
        <v>46090.901342592595</v>
      </c>
      <c r="C965" s="7">
        <v>46090.92459490741</v>
      </c>
      <c r="D965" s="8">
        <v>46090</v>
      </c>
      <c r="E965" s="9">
        <v>0.92459490741021</v>
      </c>
      <c r="F965" s="10" t="s">
        <v>1156</v>
      </c>
      <c r="G965" s="10" t="s">
        <v>21</v>
      </c>
      <c r="H965" s="10" t="s">
        <v>61</v>
      </c>
      <c r="I965" s="10" t="s">
        <v>23</v>
      </c>
      <c r="J965" s="11">
        <v>2.5</v>
      </c>
      <c r="K965" s="12"/>
      <c r="L965" s="12"/>
      <c r="M965" s="12"/>
      <c r="N965" s="12"/>
      <c r="O965" s="12"/>
      <c r="P965" s="12"/>
      <c r="Q965" s="12"/>
      <c r="R965" s="12"/>
      <c r="S965" s="12"/>
    </row>
    <row r="966" spans="1:19" ht="14.25" customHeight="1" x14ac:dyDescent="0.2">
      <c r="A966" s="1" t="s">
        <v>24</v>
      </c>
      <c r="B966" s="7">
        <v>46090.910995370374</v>
      </c>
      <c r="C966" s="7">
        <v>46090.927164351851</v>
      </c>
      <c r="D966" s="8">
        <v>46090</v>
      </c>
      <c r="E966" s="9">
        <v>0.92716435185138835</v>
      </c>
      <c r="F966" s="10" t="s">
        <v>1157</v>
      </c>
      <c r="G966" s="10" t="s">
        <v>21</v>
      </c>
      <c r="H966" s="10" t="s">
        <v>41</v>
      </c>
      <c r="I966" s="10" t="s">
        <v>23</v>
      </c>
      <c r="J966" s="11">
        <v>1.77</v>
      </c>
      <c r="K966" s="12"/>
      <c r="L966" s="12"/>
      <c r="M966" s="12"/>
      <c r="N966" s="12"/>
      <c r="O966" s="12"/>
      <c r="P966" s="12"/>
      <c r="Q966" s="12"/>
      <c r="R966" s="12"/>
      <c r="S966" s="12"/>
    </row>
    <row r="967" spans="1:19" ht="14.25" customHeight="1" x14ac:dyDescent="0.2">
      <c r="A967" s="1" t="s">
        <v>19</v>
      </c>
      <c r="B967" s="7">
        <v>46090.914317129631</v>
      </c>
      <c r="C967" s="7">
        <v>46090.933981481481</v>
      </c>
      <c r="D967" s="8">
        <v>46090</v>
      </c>
      <c r="E967" s="9">
        <v>0.93398148148116888</v>
      </c>
      <c r="F967" s="10" t="s">
        <v>1158</v>
      </c>
      <c r="G967" s="10" t="s">
        <v>21</v>
      </c>
      <c r="H967" s="10" t="s">
        <v>41</v>
      </c>
      <c r="I967" s="10" t="s">
        <v>23</v>
      </c>
      <c r="J967" s="11">
        <v>1.77</v>
      </c>
      <c r="K967" s="12"/>
      <c r="L967" s="12"/>
      <c r="M967" s="12"/>
      <c r="N967" s="12"/>
      <c r="O967" s="12"/>
      <c r="P967" s="12"/>
      <c r="Q967" s="12"/>
      <c r="R967" s="12"/>
      <c r="S967" s="12"/>
    </row>
    <row r="968" spans="1:19" ht="14.25" customHeight="1" x14ac:dyDescent="0.2">
      <c r="A968" s="1" t="s">
        <v>19</v>
      </c>
      <c r="B968" s="7">
        <v>46090.925520833334</v>
      </c>
      <c r="C968" s="7">
        <v>46090.934560185182</v>
      </c>
      <c r="D968" s="8">
        <v>46090</v>
      </c>
      <c r="E968" s="9">
        <v>0.93456018518190831</v>
      </c>
      <c r="F968" s="10" t="s">
        <v>1159</v>
      </c>
      <c r="G968" s="10" t="s">
        <v>21</v>
      </c>
      <c r="H968" s="10" t="s">
        <v>276</v>
      </c>
      <c r="I968" s="10" t="s">
        <v>23</v>
      </c>
      <c r="J968" s="11">
        <v>1.77</v>
      </c>
      <c r="K968" s="12"/>
      <c r="L968" s="12"/>
      <c r="M968" s="12"/>
      <c r="N968" s="12"/>
      <c r="O968" s="12"/>
      <c r="P968" s="12"/>
      <c r="Q968" s="12"/>
      <c r="R968" s="12"/>
      <c r="S968" s="12"/>
    </row>
    <row r="969" spans="1:19" ht="14.25" customHeight="1" x14ac:dyDescent="0.2">
      <c r="A969" s="1" t="s">
        <v>24</v>
      </c>
      <c r="B969" s="7">
        <v>46090.919710648152</v>
      </c>
      <c r="C969" s="7">
        <v>46090.946157407408</v>
      </c>
      <c r="D969" s="8">
        <v>46090</v>
      </c>
      <c r="E969" s="9">
        <v>0.94615740740846377</v>
      </c>
      <c r="F969" s="10" t="s">
        <v>1160</v>
      </c>
      <c r="G969" s="10" t="s">
        <v>21</v>
      </c>
      <c r="H969" s="10" t="s">
        <v>399</v>
      </c>
      <c r="I969" s="10" t="s">
        <v>23</v>
      </c>
      <c r="J969" s="11">
        <v>3.92</v>
      </c>
      <c r="K969" s="12"/>
      <c r="L969" s="12"/>
      <c r="M969" s="12"/>
      <c r="N969" s="12"/>
      <c r="O969" s="12"/>
      <c r="P969" s="12"/>
      <c r="Q969" s="12"/>
      <c r="R969" s="12"/>
      <c r="S969" s="12"/>
    </row>
    <row r="970" spans="1:19" ht="14.25" customHeight="1" x14ac:dyDescent="0.2">
      <c r="A970" s="1" t="s">
        <v>24</v>
      </c>
      <c r="B970" s="7">
        <v>46090.890046296299</v>
      </c>
      <c r="C970" s="7">
        <v>46090.946539351855</v>
      </c>
      <c r="D970" s="8">
        <v>46090</v>
      </c>
      <c r="E970" s="9">
        <v>0.94653935185488081</v>
      </c>
      <c r="F970" s="10" t="s">
        <v>1161</v>
      </c>
      <c r="G970" s="10" t="s">
        <v>26</v>
      </c>
      <c r="H970" s="10" t="s">
        <v>1162</v>
      </c>
      <c r="I970" s="10" t="s">
        <v>23</v>
      </c>
      <c r="J970" s="11">
        <v>0.78</v>
      </c>
      <c r="K970" s="12"/>
      <c r="L970" s="12"/>
      <c r="M970" s="12"/>
      <c r="N970" s="12"/>
      <c r="O970" s="12"/>
      <c r="P970" s="12"/>
      <c r="Q970" s="12"/>
      <c r="R970" s="12"/>
      <c r="S970" s="12"/>
    </row>
    <row r="971" spans="1:19" ht="14.25" customHeight="1" x14ac:dyDescent="0.2">
      <c r="A971" s="1" t="s">
        <v>24</v>
      </c>
      <c r="B971" s="7">
        <v>46090.93954861111</v>
      </c>
      <c r="C971" s="7">
        <v>46090.958969907406</v>
      </c>
      <c r="D971" s="8">
        <v>46090</v>
      </c>
      <c r="E971" s="9">
        <v>0.95896990740584442</v>
      </c>
      <c r="F971" s="10" t="s">
        <v>1163</v>
      </c>
      <c r="G971" s="10" t="s">
        <v>21</v>
      </c>
      <c r="H971" s="10" t="s">
        <v>101</v>
      </c>
      <c r="I971" s="10" t="s">
        <v>23</v>
      </c>
      <c r="J971" s="11">
        <v>1.7</v>
      </c>
      <c r="K971" s="12"/>
      <c r="L971" s="12">
        <f>SUM(J971:J987)</f>
        <v>18.899999999999999</v>
      </c>
      <c r="M971" s="13">
        <f>L971*65</f>
        <v>1228.5</v>
      </c>
      <c r="N971" s="14">
        <f>MAX(500,M971)</f>
        <v>1228.5</v>
      </c>
      <c r="O971" s="12"/>
      <c r="P971" s="12"/>
      <c r="Q971" s="12"/>
      <c r="R971" s="12"/>
      <c r="S971" s="12"/>
    </row>
    <row r="972" spans="1:19" ht="14.25" customHeight="1" x14ac:dyDescent="0.2">
      <c r="A972" s="1" t="s">
        <v>24</v>
      </c>
      <c r="B972" s="7">
        <v>46090.928159722222</v>
      </c>
      <c r="C972" s="7">
        <v>46090.95957175926</v>
      </c>
      <c r="D972" s="8">
        <v>46090</v>
      </c>
      <c r="E972" s="9">
        <v>0.95957175926014315</v>
      </c>
      <c r="F972" s="10" t="s">
        <v>1164</v>
      </c>
      <c r="G972" s="10" t="s">
        <v>21</v>
      </c>
      <c r="H972" s="10" t="s">
        <v>216</v>
      </c>
      <c r="I972" s="10" t="s">
        <v>23</v>
      </c>
      <c r="J972" s="11">
        <v>0.98</v>
      </c>
      <c r="K972" s="12"/>
      <c r="L972" s="12"/>
      <c r="M972" s="12"/>
      <c r="N972" s="12"/>
      <c r="O972" s="12"/>
      <c r="P972" s="12"/>
      <c r="Q972" s="12"/>
      <c r="R972" s="12"/>
      <c r="S972" s="12"/>
    </row>
    <row r="973" spans="1:19" ht="14.25" customHeight="1" x14ac:dyDescent="0.2">
      <c r="A973" s="1" t="s">
        <v>24</v>
      </c>
      <c r="B973" s="7">
        <v>46090.928159722222</v>
      </c>
      <c r="C973" s="7">
        <v>46090.959803240738</v>
      </c>
      <c r="D973" s="8">
        <v>46090</v>
      </c>
      <c r="E973" s="9">
        <v>0.95980324073752854</v>
      </c>
      <c r="F973" s="10" t="s">
        <v>1165</v>
      </c>
      <c r="G973" s="10" t="s">
        <v>21</v>
      </c>
      <c r="H973" s="10" t="s">
        <v>598</v>
      </c>
      <c r="I973" s="10" t="s">
        <v>23</v>
      </c>
      <c r="J973" s="11">
        <v>0.98</v>
      </c>
      <c r="K973" s="12"/>
      <c r="L973" s="12"/>
      <c r="M973" s="12"/>
      <c r="N973" s="12"/>
      <c r="O973" s="12"/>
      <c r="P973" s="12"/>
      <c r="Q973" s="12"/>
      <c r="R973" s="12"/>
      <c r="S973" s="12"/>
    </row>
    <row r="974" spans="1:19" ht="14.25" customHeight="1" x14ac:dyDescent="0.2">
      <c r="A974" s="1" t="s">
        <v>24</v>
      </c>
      <c r="B974" s="7">
        <v>46090.926516203705</v>
      </c>
      <c r="C974" s="7">
        <v>46090.960543981484</v>
      </c>
      <c r="D974" s="8">
        <v>46090</v>
      </c>
      <c r="E974" s="9">
        <v>0.96054398148407927</v>
      </c>
      <c r="F974" s="10" t="s">
        <v>1166</v>
      </c>
      <c r="G974" s="10" t="s">
        <v>21</v>
      </c>
      <c r="H974" s="10" t="s">
        <v>22</v>
      </c>
      <c r="I974" s="10" t="s">
        <v>23</v>
      </c>
      <c r="J974" s="11">
        <v>0.83</v>
      </c>
      <c r="K974" s="12"/>
      <c r="L974" s="12"/>
      <c r="M974" s="12"/>
      <c r="N974" s="12"/>
      <c r="O974" s="12"/>
      <c r="P974" s="12"/>
      <c r="Q974" s="12"/>
      <c r="R974" s="12"/>
      <c r="S974" s="12"/>
    </row>
    <row r="975" spans="1:19" ht="14.25" customHeight="1" x14ac:dyDescent="0.2">
      <c r="A975" s="1" t="s">
        <v>24</v>
      </c>
      <c r="B975" s="7">
        <v>46090.946261574078</v>
      </c>
      <c r="C975" s="7">
        <v>46090.961678240739</v>
      </c>
      <c r="D975" s="8">
        <v>46090</v>
      </c>
      <c r="E975" s="9">
        <v>0.96167824073927477</v>
      </c>
      <c r="F975" s="10" t="s">
        <v>1167</v>
      </c>
      <c r="G975" s="10" t="s">
        <v>26</v>
      </c>
      <c r="H975" s="10" t="s">
        <v>202</v>
      </c>
      <c r="I975" s="10" t="s">
        <v>23</v>
      </c>
      <c r="J975" s="11">
        <v>0.57999999999999996</v>
      </c>
      <c r="K975" s="12"/>
      <c r="L975" s="12"/>
      <c r="M975" s="12"/>
      <c r="N975" s="12"/>
      <c r="O975" s="12"/>
      <c r="P975" s="12"/>
      <c r="Q975" s="12"/>
      <c r="R975" s="12"/>
      <c r="S975" s="12"/>
    </row>
    <row r="976" spans="1:19" ht="14.25" customHeight="1" x14ac:dyDescent="0.2">
      <c r="A976" s="1" t="s">
        <v>19</v>
      </c>
      <c r="B976" s="7">
        <v>46090.949606481481</v>
      </c>
      <c r="C976" s="7">
        <v>46090.97084490741</v>
      </c>
      <c r="D976" s="8">
        <v>46090</v>
      </c>
      <c r="E976" s="9">
        <v>0.97084490740962792</v>
      </c>
      <c r="F976" s="10" t="s">
        <v>1168</v>
      </c>
      <c r="G976" s="10" t="s">
        <v>21</v>
      </c>
      <c r="H976" s="10" t="s">
        <v>41</v>
      </c>
      <c r="I976" s="10" t="s">
        <v>23</v>
      </c>
      <c r="J976" s="11">
        <v>1.77</v>
      </c>
      <c r="K976" s="12"/>
      <c r="L976" s="12"/>
      <c r="M976" s="12"/>
      <c r="N976" s="12"/>
      <c r="O976" s="12"/>
      <c r="P976" s="12"/>
      <c r="Q976" s="12"/>
      <c r="R976" s="12"/>
      <c r="S976" s="12"/>
    </row>
    <row r="977" spans="1:19" ht="14.25" customHeight="1" x14ac:dyDescent="0.2">
      <c r="A977" s="1" t="s">
        <v>28</v>
      </c>
      <c r="B977" s="7">
        <v>46090.958541666667</v>
      </c>
      <c r="C977" s="7">
        <v>46090.97315972222</v>
      </c>
      <c r="D977" s="8">
        <v>46090</v>
      </c>
      <c r="E977" s="9">
        <v>0.97315972221986158</v>
      </c>
      <c r="F977" s="10" t="s">
        <v>1169</v>
      </c>
      <c r="G977" s="10" t="s">
        <v>21</v>
      </c>
      <c r="H977" s="10" t="s">
        <v>22</v>
      </c>
      <c r="I977" s="10" t="s">
        <v>23</v>
      </c>
      <c r="J977" s="11">
        <v>0.83</v>
      </c>
      <c r="K977" s="12"/>
      <c r="L977" s="12"/>
      <c r="M977" s="12"/>
      <c r="N977" s="12"/>
      <c r="O977" s="12"/>
      <c r="P977" s="12"/>
      <c r="Q977" s="12"/>
      <c r="R977" s="12"/>
      <c r="S977" s="12"/>
    </row>
    <row r="978" spans="1:19" ht="14.25" customHeight="1" x14ac:dyDescent="0.2">
      <c r="A978" s="1" t="s">
        <v>95</v>
      </c>
      <c r="B978" s="7">
        <v>46090.963252314818</v>
      </c>
      <c r="C978" s="7">
        <v>46090.973622685182</v>
      </c>
      <c r="D978" s="8">
        <v>46090</v>
      </c>
      <c r="E978" s="9">
        <v>0.97362268518190831</v>
      </c>
      <c r="F978" s="10" t="s">
        <v>1170</v>
      </c>
      <c r="G978" s="10" t="s">
        <v>21</v>
      </c>
      <c r="H978" s="10" t="s">
        <v>97</v>
      </c>
      <c r="I978" s="10" t="s">
        <v>23</v>
      </c>
      <c r="J978" s="11">
        <v>1.77</v>
      </c>
      <c r="K978" s="12"/>
      <c r="L978" s="12"/>
      <c r="M978" s="12"/>
      <c r="N978" s="12"/>
      <c r="O978" s="12"/>
      <c r="P978" s="12"/>
      <c r="Q978" s="12"/>
      <c r="R978" s="12"/>
      <c r="S978" s="12"/>
    </row>
    <row r="979" spans="1:19" ht="14.25" customHeight="1" x14ac:dyDescent="0.2">
      <c r="A979" s="1" t="s">
        <v>33</v>
      </c>
      <c r="B979" s="7">
        <v>46090.962048611109</v>
      </c>
      <c r="C979" s="7">
        <v>46090.976400462961</v>
      </c>
      <c r="D979" s="8">
        <v>46090</v>
      </c>
      <c r="E979" s="9">
        <v>0.97640046296146465</v>
      </c>
      <c r="F979" s="10" t="s">
        <v>1171</v>
      </c>
      <c r="G979" s="10" t="s">
        <v>21</v>
      </c>
      <c r="H979" s="10" t="s">
        <v>22</v>
      </c>
      <c r="I979" s="10" t="s">
        <v>23</v>
      </c>
      <c r="J979" s="11">
        <v>0.83</v>
      </c>
      <c r="K979" s="12"/>
      <c r="L979" s="12"/>
      <c r="M979" s="12"/>
      <c r="N979" s="12"/>
      <c r="O979" s="12"/>
      <c r="P979" s="12"/>
      <c r="Q979" s="12"/>
      <c r="R979" s="12"/>
      <c r="S979" s="12"/>
    </row>
    <row r="980" spans="1:19" ht="14.25" customHeight="1" x14ac:dyDescent="0.2">
      <c r="A980" s="1" t="s">
        <v>19</v>
      </c>
      <c r="B980" s="7">
        <v>46090.968784722223</v>
      </c>
      <c r="C980" s="7">
        <v>46090.977962962963</v>
      </c>
      <c r="D980" s="8">
        <v>46090</v>
      </c>
      <c r="E980" s="9">
        <v>0.97796296296291985</v>
      </c>
      <c r="F980" s="10" t="s">
        <v>1172</v>
      </c>
      <c r="G980" s="10" t="s">
        <v>21</v>
      </c>
      <c r="H980" s="10" t="s">
        <v>54</v>
      </c>
      <c r="I980" s="10" t="s">
        <v>23</v>
      </c>
      <c r="J980" s="11">
        <v>0.83</v>
      </c>
      <c r="K980" s="12"/>
      <c r="L980" s="12"/>
      <c r="M980" s="12"/>
      <c r="N980" s="12"/>
      <c r="O980" s="12"/>
      <c r="P980" s="12"/>
      <c r="Q980" s="12"/>
      <c r="R980" s="12"/>
      <c r="S980" s="12"/>
    </row>
    <row r="981" spans="1:19" ht="14.25" customHeight="1" x14ac:dyDescent="0.2">
      <c r="A981" s="1" t="s">
        <v>95</v>
      </c>
      <c r="B981" s="7">
        <v>46090.964641203704</v>
      </c>
      <c r="C981" s="7">
        <v>46090.9843287037</v>
      </c>
      <c r="D981" s="8">
        <v>46090</v>
      </c>
      <c r="E981" s="9">
        <v>0.98432870370015735</v>
      </c>
      <c r="F981" s="10" t="s">
        <v>1173</v>
      </c>
      <c r="G981" s="10" t="s">
        <v>180</v>
      </c>
      <c r="H981" s="10" t="s">
        <v>387</v>
      </c>
      <c r="I981" s="10" t="s">
        <v>23</v>
      </c>
      <c r="J981" s="11">
        <v>2.23</v>
      </c>
      <c r="K981" s="12"/>
      <c r="L981" s="12"/>
      <c r="M981" s="12"/>
      <c r="N981" s="12"/>
      <c r="O981" s="12"/>
      <c r="P981" s="12"/>
      <c r="Q981" s="12"/>
      <c r="R981" s="12"/>
      <c r="S981" s="12"/>
    </row>
    <row r="982" spans="1:19" ht="14.25" customHeight="1" x14ac:dyDescent="0.2">
      <c r="A982" s="1" t="s">
        <v>24</v>
      </c>
      <c r="B982" s="7">
        <v>46090.972175925926</v>
      </c>
      <c r="C982" s="7">
        <v>46090.987233796295</v>
      </c>
      <c r="D982" s="8">
        <v>46090</v>
      </c>
      <c r="E982" s="9">
        <v>0.98723379629518604</v>
      </c>
      <c r="F982" s="10" t="s">
        <v>1174</v>
      </c>
      <c r="G982" s="10" t="s">
        <v>21</v>
      </c>
      <c r="H982" s="10" t="s">
        <v>22</v>
      </c>
      <c r="I982" s="10" t="s">
        <v>23</v>
      </c>
      <c r="J982" s="11">
        <v>0.83</v>
      </c>
      <c r="K982" s="12"/>
      <c r="L982" s="12"/>
      <c r="M982" s="12"/>
      <c r="N982" s="12"/>
      <c r="O982" s="12"/>
      <c r="P982" s="12"/>
      <c r="Q982" s="12"/>
      <c r="R982" s="12"/>
      <c r="S982" s="12"/>
    </row>
    <row r="983" spans="1:19" ht="14.25" customHeight="1" x14ac:dyDescent="0.2">
      <c r="A983" s="1" t="s">
        <v>24</v>
      </c>
      <c r="B983" s="7">
        <v>46090.972175925926</v>
      </c>
      <c r="C983" s="7">
        <v>46090.989872685182</v>
      </c>
      <c r="D983" s="8">
        <v>46090</v>
      </c>
      <c r="E983" s="9">
        <v>0.98987268518249039</v>
      </c>
      <c r="F983" s="10" t="s">
        <v>1175</v>
      </c>
      <c r="G983" s="10" t="s">
        <v>21</v>
      </c>
      <c r="H983" s="10" t="s">
        <v>52</v>
      </c>
      <c r="I983" s="10" t="s">
        <v>23</v>
      </c>
      <c r="J983" s="11">
        <v>0.98</v>
      </c>
      <c r="K983" s="12"/>
      <c r="L983" s="12"/>
      <c r="M983" s="12"/>
      <c r="N983" s="12"/>
      <c r="O983" s="12"/>
      <c r="P983" s="12"/>
      <c r="Q983" s="12"/>
      <c r="R983" s="12"/>
      <c r="S983" s="12"/>
    </row>
    <row r="984" spans="1:19" ht="14.25" customHeight="1" x14ac:dyDescent="0.2">
      <c r="A984" s="1" t="s">
        <v>19</v>
      </c>
      <c r="B984" s="7">
        <v>46090.981087962966</v>
      </c>
      <c r="C984" s="7">
        <v>46090.993993055556</v>
      </c>
      <c r="D984" s="8">
        <v>46090</v>
      </c>
      <c r="E984" s="9">
        <v>0.99399305555562023</v>
      </c>
      <c r="F984" s="10" t="s">
        <v>1176</v>
      </c>
      <c r="G984" s="10" t="s">
        <v>21</v>
      </c>
      <c r="H984" s="10" t="s">
        <v>41</v>
      </c>
      <c r="I984" s="10" t="s">
        <v>23</v>
      </c>
      <c r="J984" s="11">
        <v>1.77</v>
      </c>
      <c r="K984" s="12"/>
      <c r="L984" s="12"/>
      <c r="M984" s="12"/>
      <c r="N984" s="12"/>
      <c r="O984" s="12"/>
      <c r="P984" s="12"/>
      <c r="Q984" s="12"/>
      <c r="R984" s="12"/>
      <c r="S984" s="12"/>
    </row>
    <row r="985" spans="1:19" ht="14.25" customHeight="1" x14ac:dyDescent="0.2">
      <c r="A985" s="1" t="s">
        <v>95</v>
      </c>
      <c r="B985" s="7">
        <v>46090.977048611108</v>
      </c>
      <c r="C985" s="7">
        <v>46090.994143518517</v>
      </c>
      <c r="D985" s="8">
        <v>46090</v>
      </c>
      <c r="E985" s="9">
        <v>0.99414351851737592</v>
      </c>
      <c r="F985" s="10" t="s">
        <v>1177</v>
      </c>
      <c r="G985" s="10" t="s">
        <v>44</v>
      </c>
      <c r="H985" s="10" t="s">
        <v>45</v>
      </c>
      <c r="I985" s="10" t="s">
        <v>23</v>
      </c>
      <c r="J985" s="11">
        <v>0.18</v>
      </c>
      <c r="K985" s="12"/>
      <c r="L985" s="12"/>
      <c r="M985" s="12"/>
      <c r="N985" s="12"/>
      <c r="O985" s="12"/>
      <c r="P985" s="12"/>
      <c r="Q985" s="12"/>
      <c r="R985" s="12"/>
      <c r="S985" s="12"/>
    </row>
    <row r="986" spans="1:19" ht="14.25" customHeight="1" x14ac:dyDescent="0.2">
      <c r="A986" s="1" t="s">
        <v>24</v>
      </c>
      <c r="B986" s="7">
        <v>46090.98369212963</v>
      </c>
      <c r="C986" s="7">
        <v>46090.996655092589</v>
      </c>
      <c r="D986" s="8">
        <v>46090</v>
      </c>
      <c r="E986" s="9">
        <v>0.99665509258920792</v>
      </c>
      <c r="F986" s="10" t="s">
        <v>1178</v>
      </c>
      <c r="G986" s="10" t="s">
        <v>21</v>
      </c>
      <c r="H986" s="10" t="s">
        <v>52</v>
      </c>
      <c r="I986" s="10" t="s">
        <v>23</v>
      </c>
      <c r="J986" s="11">
        <v>0.98</v>
      </c>
      <c r="K986" s="12"/>
      <c r="L986" s="12"/>
      <c r="M986" s="12"/>
      <c r="N986" s="12"/>
      <c r="O986" s="12"/>
      <c r="P986" s="12"/>
      <c r="Q986" s="12"/>
      <c r="R986" s="12"/>
      <c r="S986" s="12"/>
    </row>
    <row r="987" spans="1:19" ht="14.25" customHeight="1" x14ac:dyDescent="0.2">
      <c r="A987" s="1" t="s">
        <v>24</v>
      </c>
      <c r="B987" s="7">
        <v>46090.98369212963</v>
      </c>
      <c r="C987" s="7">
        <v>46090.996840277781</v>
      </c>
      <c r="D987" s="8">
        <v>46090</v>
      </c>
      <c r="E987" s="9">
        <v>0.99684027778130258</v>
      </c>
      <c r="F987" s="10" t="s">
        <v>1179</v>
      </c>
      <c r="G987" s="10" t="s">
        <v>21</v>
      </c>
      <c r="H987" s="10" t="s">
        <v>22</v>
      </c>
      <c r="I987" s="10" t="s">
        <v>23</v>
      </c>
      <c r="J987" s="11">
        <v>0.83</v>
      </c>
      <c r="K987" s="12"/>
      <c r="L987" s="12"/>
      <c r="M987" s="12"/>
      <c r="N987" s="12"/>
      <c r="O987" s="12"/>
      <c r="P987" s="12"/>
      <c r="Q987" s="12"/>
      <c r="R987" s="12"/>
      <c r="S987" s="12"/>
    </row>
    <row r="988" spans="1:19" ht="14.25" customHeight="1" x14ac:dyDescent="0.2">
      <c r="A988" s="1" t="s">
        <v>19</v>
      </c>
      <c r="B988" s="7">
        <v>46090.987488425926</v>
      </c>
      <c r="C988" s="7">
        <v>46091.000578703701</v>
      </c>
      <c r="D988" s="8">
        <v>46091</v>
      </c>
      <c r="E988" s="9">
        <v>5.7870370073942468E-4</v>
      </c>
      <c r="F988" s="10" t="s">
        <v>1180</v>
      </c>
      <c r="G988" s="10" t="s">
        <v>21</v>
      </c>
      <c r="H988" s="10" t="s">
        <v>276</v>
      </c>
      <c r="I988" s="10" t="s">
        <v>23</v>
      </c>
      <c r="J988" s="11">
        <v>1.77</v>
      </c>
      <c r="K988" s="12"/>
      <c r="L988" s="12">
        <f>SUM(J988:J1010)</f>
        <v>27.439999999999998</v>
      </c>
      <c r="M988" s="13">
        <f>L988*65</f>
        <v>1783.6</v>
      </c>
      <c r="N988" s="14">
        <f>MAX(500,M988)</f>
        <v>1783.6</v>
      </c>
      <c r="O988" s="12"/>
      <c r="P988" s="12"/>
      <c r="Q988" s="12"/>
      <c r="R988" s="12"/>
      <c r="S988" s="12"/>
    </row>
    <row r="989" spans="1:19" ht="14.25" customHeight="1" x14ac:dyDescent="0.2">
      <c r="A989" s="1" t="s">
        <v>95</v>
      </c>
      <c r="B989" s="7">
        <v>46090.990659722222</v>
      </c>
      <c r="C989" s="7">
        <v>46091.000821759262</v>
      </c>
      <c r="D989" s="8">
        <v>46091</v>
      </c>
      <c r="E989" s="9">
        <v>8.217592621804215E-4</v>
      </c>
      <c r="F989" s="10" t="s">
        <v>1181</v>
      </c>
      <c r="G989" s="10" t="s">
        <v>180</v>
      </c>
      <c r="H989" s="10" t="s">
        <v>1182</v>
      </c>
      <c r="I989" s="10" t="s">
        <v>23</v>
      </c>
      <c r="J989" s="11">
        <v>1.44</v>
      </c>
      <c r="K989" s="12"/>
      <c r="L989" s="12"/>
      <c r="M989" s="12"/>
      <c r="N989" s="12"/>
      <c r="O989" s="12"/>
      <c r="P989" s="12"/>
      <c r="Q989" s="12"/>
      <c r="R989" s="12"/>
      <c r="S989" s="12"/>
    </row>
    <row r="990" spans="1:19" ht="14.25" customHeight="1" x14ac:dyDescent="0.2">
      <c r="A990" s="1" t="s">
        <v>33</v>
      </c>
      <c r="B990" s="7">
        <v>46090.98510416667</v>
      </c>
      <c r="C990" s="7">
        <v>46091.001192129632</v>
      </c>
      <c r="D990" s="8">
        <v>46091</v>
      </c>
      <c r="E990" s="9">
        <v>1.1921296318178065E-3</v>
      </c>
      <c r="F990" s="10" t="s">
        <v>1183</v>
      </c>
      <c r="G990" s="10" t="s">
        <v>21</v>
      </c>
      <c r="H990" s="10" t="s">
        <v>54</v>
      </c>
      <c r="I990" s="10" t="s">
        <v>23</v>
      </c>
      <c r="J990" s="11">
        <v>0.83</v>
      </c>
      <c r="K990" s="12"/>
      <c r="L990" s="12"/>
      <c r="M990" s="12"/>
      <c r="N990" s="12"/>
      <c r="O990" s="12"/>
      <c r="P990" s="12"/>
      <c r="Q990" s="12"/>
      <c r="R990" s="12"/>
      <c r="S990" s="12"/>
    </row>
    <row r="991" spans="1:19" ht="14.25" customHeight="1" x14ac:dyDescent="0.2">
      <c r="A991" s="1" t="s">
        <v>95</v>
      </c>
      <c r="B991" s="7">
        <v>46090.990659722222</v>
      </c>
      <c r="C991" s="7">
        <v>46091.010729166665</v>
      </c>
      <c r="D991" s="8">
        <v>46091</v>
      </c>
      <c r="E991" s="9">
        <v>1.0729166664532386E-2</v>
      </c>
      <c r="F991" s="10" t="s">
        <v>1184</v>
      </c>
      <c r="G991" s="10" t="s">
        <v>180</v>
      </c>
      <c r="H991" s="10" t="s">
        <v>1016</v>
      </c>
      <c r="I991" s="10" t="s">
        <v>23</v>
      </c>
      <c r="J991" s="11">
        <v>1.44</v>
      </c>
      <c r="K991" s="12"/>
      <c r="L991" s="12"/>
      <c r="M991" s="12"/>
      <c r="N991" s="12"/>
      <c r="O991" s="12"/>
      <c r="P991" s="12"/>
      <c r="Q991" s="12"/>
      <c r="R991" s="12"/>
      <c r="S991" s="12"/>
    </row>
    <row r="992" spans="1:19" ht="14.25" customHeight="1" x14ac:dyDescent="0.2">
      <c r="A992" s="1" t="s">
        <v>24</v>
      </c>
      <c r="B992" s="7">
        <v>46090.968495370369</v>
      </c>
      <c r="C992" s="7">
        <v>46091.010914351849</v>
      </c>
      <c r="D992" s="8">
        <v>46091</v>
      </c>
      <c r="E992" s="9">
        <v>1.0914351849351078E-2</v>
      </c>
      <c r="F992" s="10" t="s">
        <v>1185</v>
      </c>
      <c r="G992" s="10" t="s">
        <v>26</v>
      </c>
      <c r="H992" s="10" t="s">
        <v>650</v>
      </c>
      <c r="I992" s="10" t="s">
        <v>23</v>
      </c>
      <c r="J992" s="11">
        <v>0.44</v>
      </c>
      <c r="K992" s="12"/>
      <c r="L992" s="12"/>
      <c r="M992" s="12"/>
      <c r="N992" s="12"/>
      <c r="O992" s="12"/>
      <c r="P992" s="12"/>
      <c r="Q992" s="12"/>
      <c r="R992" s="12"/>
      <c r="S992" s="12"/>
    </row>
    <row r="993" spans="1:19" ht="14.25" customHeight="1" x14ac:dyDescent="0.2">
      <c r="A993" s="1" t="s">
        <v>95</v>
      </c>
      <c r="B993" s="7">
        <v>46090.964513888888</v>
      </c>
      <c r="C993" s="7">
        <v>46091.011296296296</v>
      </c>
      <c r="D993" s="8">
        <v>46091</v>
      </c>
      <c r="E993" s="9">
        <v>1.1296296295768116E-2</v>
      </c>
      <c r="F993" s="10" t="s">
        <v>1186</v>
      </c>
      <c r="G993" s="10" t="s">
        <v>21</v>
      </c>
      <c r="H993" s="10" t="s">
        <v>52</v>
      </c>
      <c r="I993" s="10" t="s">
        <v>23</v>
      </c>
      <c r="J993" s="11">
        <v>0.98</v>
      </c>
      <c r="K993" s="12"/>
      <c r="L993" s="12"/>
      <c r="M993" s="12"/>
      <c r="N993" s="12"/>
      <c r="O993" s="12"/>
      <c r="P993" s="12"/>
      <c r="Q993" s="12"/>
      <c r="R993" s="12"/>
      <c r="S993" s="12"/>
    </row>
    <row r="994" spans="1:19" ht="14.25" customHeight="1" x14ac:dyDescent="0.2">
      <c r="A994" s="1" t="s">
        <v>95</v>
      </c>
      <c r="B994" s="7">
        <v>46090.973703703705</v>
      </c>
      <c r="C994" s="7">
        <v>46091.011736111112</v>
      </c>
      <c r="D994" s="8">
        <v>46091</v>
      </c>
      <c r="E994" s="9">
        <v>1.17361111115315E-2</v>
      </c>
      <c r="F994" s="10" t="s">
        <v>1187</v>
      </c>
      <c r="G994" s="10" t="s">
        <v>21</v>
      </c>
      <c r="H994" s="10" t="s">
        <v>216</v>
      </c>
      <c r="I994" s="10" t="s">
        <v>23</v>
      </c>
      <c r="J994" s="11">
        <v>0.98</v>
      </c>
      <c r="K994" s="12"/>
      <c r="L994" s="12"/>
      <c r="M994" s="12"/>
      <c r="N994" s="12"/>
      <c r="O994" s="12"/>
      <c r="P994" s="12"/>
      <c r="Q994" s="12"/>
      <c r="R994" s="12"/>
      <c r="S994" s="12"/>
    </row>
    <row r="995" spans="1:19" ht="14.25" customHeight="1" x14ac:dyDescent="0.2">
      <c r="A995" s="1" t="s">
        <v>33</v>
      </c>
      <c r="B995" s="7">
        <v>46090.98510416667</v>
      </c>
      <c r="C995" s="7">
        <v>46091.013344907406</v>
      </c>
      <c r="D995" s="8">
        <v>46091</v>
      </c>
      <c r="E995" s="9">
        <v>1.3344907405553386E-2</v>
      </c>
      <c r="F995" s="10" t="s">
        <v>1188</v>
      </c>
      <c r="G995" s="10" t="s">
        <v>21</v>
      </c>
      <c r="H995" s="10" t="s">
        <v>35</v>
      </c>
      <c r="I995" s="10" t="s">
        <v>23</v>
      </c>
      <c r="J995" s="11">
        <v>2.5</v>
      </c>
      <c r="K995" s="12"/>
      <c r="L995" s="12"/>
      <c r="M995" s="12"/>
      <c r="N995" s="12"/>
      <c r="O995" s="12"/>
      <c r="P995" s="12"/>
      <c r="Q995" s="12"/>
      <c r="R995" s="12"/>
      <c r="S995" s="12"/>
    </row>
    <row r="996" spans="1:19" ht="14.25" customHeight="1" x14ac:dyDescent="0.2">
      <c r="A996" s="1" t="s">
        <v>42</v>
      </c>
      <c r="B996" s="7">
        <v>46090.983032407406</v>
      </c>
      <c r="C996" s="7">
        <v>46091.014166666668</v>
      </c>
      <c r="D996" s="8">
        <v>46091</v>
      </c>
      <c r="E996" s="9">
        <v>1.4166666667733807E-2</v>
      </c>
      <c r="F996" s="10" t="s">
        <v>1189</v>
      </c>
      <c r="G996" s="10" t="s">
        <v>26</v>
      </c>
      <c r="H996" s="10" t="s">
        <v>125</v>
      </c>
      <c r="I996" s="10" t="s">
        <v>23</v>
      </c>
      <c r="J996" s="11">
        <v>0.63</v>
      </c>
      <c r="K996" s="12"/>
      <c r="L996" s="12"/>
      <c r="M996" s="12"/>
      <c r="N996" s="12"/>
      <c r="O996" s="12"/>
      <c r="P996" s="12"/>
      <c r="Q996" s="12"/>
      <c r="R996" s="12"/>
      <c r="S996" s="12"/>
    </row>
    <row r="997" spans="1:19" ht="14.25" customHeight="1" x14ac:dyDescent="0.2">
      <c r="A997" s="1" t="s">
        <v>95</v>
      </c>
      <c r="B997" s="7">
        <v>46090.966446759259</v>
      </c>
      <c r="C997" s="7">
        <v>46091.014548611114</v>
      </c>
      <c r="D997" s="8">
        <v>46091</v>
      </c>
      <c r="E997" s="9">
        <v>1.4548611114150845E-2</v>
      </c>
      <c r="F997" s="10" t="s">
        <v>1190</v>
      </c>
      <c r="G997" s="10" t="s">
        <v>21</v>
      </c>
      <c r="H997" s="10" t="s">
        <v>110</v>
      </c>
      <c r="I997" s="10" t="s">
        <v>23</v>
      </c>
      <c r="J997" s="11">
        <v>0.83</v>
      </c>
      <c r="K997" s="12"/>
      <c r="L997" s="12"/>
      <c r="M997" s="12"/>
      <c r="N997" s="12"/>
      <c r="O997" s="12"/>
      <c r="P997" s="12"/>
      <c r="Q997" s="12"/>
      <c r="R997" s="12"/>
      <c r="S997" s="12"/>
    </row>
    <row r="998" spans="1:19" ht="14.25" customHeight="1" x14ac:dyDescent="0.2">
      <c r="A998" s="1" t="s">
        <v>95</v>
      </c>
      <c r="B998" s="7">
        <v>46090.973703703705</v>
      </c>
      <c r="C998" s="7">
        <v>46091.014965277776</v>
      </c>
      <c r="D998" s="8">
        <v>46091</v>
      </c>
      <c r="E998" s="9">
        <v>1.4965277776354924E-2</v>
      </c>
      <c r="F998" s="10" t="s">
        <v>1191</v>
      </c>
      <c r="G998" s="10" t="s">
        <v>21</v>
      </c>
      <c r="H998" s="10" t="s">
        <v>598</v>
      </c>
      <c r="I998" s="10" t="s">
        <v>23</v>
      </c>
      <c r="J998" s="11">
        <v>0.98</v>
      </c>
      <c r="K998" s="12"/>
      <c r="L998" s="12"/>
      <c r="M998" s="12"/>
      <c r="N998" s="12"/>
      <c r="O998" s="12"/>
      <c r="P998" s="12"/>
      <c r="Q998" s="12"/>
      <c r="R998" s="12"/>
      <c r="S998" s="12"/>
    </row>
    <row r="999" spans="1:19" ht="14.25" customHeight="1" x14ac:dyDescent="0.2">
      <c r="A999" s="1" t="s">
        <v>95</v>
      </c>
      <c r="B999" s="7">
        <v>46090.985162037039</v>
      </c>
      <c r="C999" s="7">
        <v>46091.015520833331</v>
      </c>
      <c r="D999" s="8">
        <v>46091</v>
      </c>
      <c r="E999" s="9">
        <v>1.5520833330811001E-2</v>
      </c>
      <c r="F999" s="10" t="s">
        <v>1192</v>
      </c>
      <c r="G999" s="10" t="s">
        <v>21</v>
      </c>
      <c r="H999" s="10" t="s">
        <v>813</v>
      </c>
      <c r="I999" s="10" t="s">
        <v>23</v>
      </c>
      <c r="J999" s="11">
        <v>1.1000000000000001</v>
      </c>
      <c r="K999" s="12"/>
      <c r="L999" s="12"/>
      <c r="M999" s="12"/>
      <c r="N999" s="12"/>
      <c r="O999" s="12"/>
      <c r="P999" s="12"/>
      <c r="Q999" s="12"/>
      <c r="R999" s="12"/>
      <c r="S999" s="12"/>
    </row>
    <row r="1000" spans="1:19" ht="14.25" customHeight="1" x14ac:dyDescent="0.2">
      <c r="A1000" s="1" t="s">
        <v>24</v>
      </c>
      <c r="B1000" s="7">
        <v>46090.986030092594</v>
      </c>
      <c r="C1000" s="7">
        <v>46091.015902777777</v>
      </c>
      <c r="D1000" s="8">
        <v>46091</v>
      </c>
      <c r="E1000" s="9">
        <v>1.5902777777228039E-2</v>
      </c>
      <c r="F1000" s="10" t="s">
        <v>1193</v>
      </c>
      <c r="G1000" s="10" t="s">
        <v>21</v>
      </c>
      <c r="H1000" s="10" t="s">
        <v>620</v>
      </c>
      <c r="I1000" s="10" t="s">
        <v>23</v>
      </c>
      <c r="J1000" s="11">
        <v>1.06</v>
      </c>
      <c r="K1000" s="12"/>
      <c r="L1000" s="12"/>
      <c r="M1000" s="12"/>
      <c r="N1000" s="12"/>
      <c r="O1000" s="12"/>
      <c r="P1000" s="12"/>
      <c r="Q1000" s="12"/>
      <c r="R1000" s="12"/>
      <c r="S1000" s="12"/>
    </row>
    <row r="1001" spans="1:19" ht="14.25" customHeight="1" x14ac:dyDescent="0.2">
      <c r="A1001" s="1" t="s">
        <v>95</v>
      </c>
      <c r="B1001" s="7">
        <v>46090.996215277781</v>
      </c>
      <c r="C1001" s="7">
        <v>46091.016446759262</v>
      </c>
      <c r="D1001" s="8">
        <v>46091</v>
      </c>
      <c r="E1001" s="9">
        <v>1.6446759262180422E-2</v>
      </c>
      <c r="F1001" s="10" t="s">
        <v>1194</v>
      </c>
      <c r="G1001" s="10" t="s">
        <v>21</v>
      </c>
      <c r="H1001" s="10" t="s">
        <v>236</v>
      </c>
      <c r="I1001" s="10" t="s">
        <v>23</v>
      </c>
      <c r="J1001" s="11">
        <v>1.96</v>
      </c>
      <c r="K1001" s="12"/>
      <c r="L1001" s="12"/>
      <c r="M1001" s="12"/>
      <c r="N1001" s="12"/>
      <c r="O1001" s="12"/>
      <c r="P1001" s="12"/>
      <c r="Q1001" s="12"/>
      <c r="R1001" s="12"/>
      <c r="S1001" s="12"/>
    </row>
    <row r="1002" spans="1:19" ht="14.25" customHeight="1" x14ac:dyDescent="0.2">
      <c r="A1002" s="1" t="s">
        <v>24</v>
      </c>
      <c r="B1002" s="7">
        <v>46091.002962962964</v>
      </c>
      <c r="C1002" s="7">
        <v>46091.016898148147</v>
      </c>
      <c r="D1002" s="8">
        <v>46091</v>
      </c>
      <c r="E1002" s="9">
        <v>1.68981481474475E-2</v>
      </c>
      <c r="F1002" s="10" t="s">
        <v>1195</v>
      </c>
      <c r="G1002" s="10" t="s">
        <v>21</v>
      </c>
      <c r="H1002" s="10" t="s">
        <v>22</v>
      </c>
      <c r="I1002" s="10" t="s">
        <v>23</v>
      </c>
      <c r="J1002" s="11">
        <v>0.83</v>
      </c>
      <c r="K1002" s="12"/>
      <c r="L1002" s="12"/>
      <c r="M1002" s="12"/>
      <c r="N1002" s="12"/>
      <c r="O1002" s="12"/>
      <c r="P1002" s="12"/>
      <c r="Q1002" s="12"/>
      <c r="R1002" s="12"/>
      <c r="S1002" s="12"/>
    </row>
    <row r="1003" spans="1:19" ht="14.25" customHeight="1" x14ac:dyDescent="0.2">
      <c r="A1003" s="1" t="s">
        <v>19</v>
      </c>
      <c r="B1003" s="7">
        <v>46090.999016203707</v>
      </c>
      <c r="C1003" s="7">
        <v>46091.022962962961</v>
      </c>
      <c r="D1003" s="8">
        <v>46091</v>
      </c>
      <c r="E1003" s="9">
        <v>2.2962962961173616E-2</v>
      </c>
      <c r="F1003" s="10" t="s">
        <v>1196</v>
      </c>
      <c r="G1003" s="10" t="s">
        <v>21</v>
      </c>
      <c r="H1003" s="10" t="s">
        <v>71</v>
      </c>
      <c r="I1003" s="10" t="s">
        <v>23</v>
      </c>
      <c r="J1003" s="11">
        <v>1.05</v>
      </c>
      <c r="K1003" s="12"/>
      <c r="L1003" s="12"/>
      <c r="M1003" s="12"/>
      <c r="N1003" s="12"/>
      <c r="O1003" s="12"/>
      <c r="P1003" s="12"/>
      <c r="Q1003" s="12"/>
      <c r="R1003" s="12"/>
      <c r="S1003" s="12"/>
    </row>
    <row r="1004" spans="1:19" ht="14.25" customHeight="1" x14ac:dyDescent="0.2">
      <c r="A1004" s="1" t="s">
        <v>42</v>
      </c>
      <c r="B1004" s="7">
        <v>46091.000150462962</v>
      </c>
      <c r="C1004" s="7">
        <v>46091.024062500001</v>
      </c>
      <c r="D1004" s="8">
        <v>46091</v>
      </c>
      <c r="E1004" s="9">
        <v>2.4062500000582077E-2</v>
      </c>
      <c r="F1004" s="10" t="s">
        <v>1197</v>
      </c>
      <c r="G1004" s="10" t="s">
        <v>26</v>
      </c>
      <c r="H1004" s="10" t="s">
        <v>172</v>
      </c>
      <c r="I1004" s="10" t="s">
        <v>23</v>
      </c>
      <c r="J1004" s="11">
        <v>0.67</v>
      </c>
      <c r="K1004" s="12"/>
      <c r="L1004" s="12"/>
      <c r="M1004" s="12"/>
      <c r="N1004" s="12"/>
      <c r="O1004" s="12"/>
      <c r="P1004" s="12"/>
      <c r="Q1004" s="12"/>
      <c r="R1004" s="12"/>
      <c r="S1004" s="12"/>
    </row>
    <row r="1005" spans="1:19" ht="14.25" customHeight="1" x14ac:dyDescent="0.2">
      <c r="A1005" s="1" t="s">
        <v>95</v>
      </c>
      <c r="B1005" s="7">
        <v>46091.016574074078</v>
      </c>
      <c r="C1005" s="7">
        <v>46091.028761574074</v>
      </c>
      <c r="D1005" s="8">
        <v>46091</v>
      </c>
      <c r="E1005" s="9">
        <v>2.8761574074451346E-2</v>
      </c>
      <c r="F1005" s="10" t="s">
        <v>1198</v>
      </c>
      <c r="G1005" s="10" t="s">
        <v>21</v>
      </c>
      <c r="H1005" s="10" t="s">
        <v>110</v>
      </c>
      <c r="I1005" s="10" t="s">
        <v>23</v>
      </c>
      <c r="J1005" s="11">
        <v>0.83</v>
      </c>
      <c r="K1005" s="12"/>
      <c r="L1005" s="12"/>
      <c r="M1005" s="12"/>
      <c r="N1005" s="12"/>
      <c r="O1005" s="12"/>
      <c r="P1005" s="12"/>
      <c r="Q1005" s="12"/>
      <c r="R1005" s="12"/>
      <c r="S1005" s="12"/>
    </row>
    <row r="1006" spans="1:19" ht="14.25" customHeight="1" x14ac:dyDescent="0.2">
      <c r="A1006" s="1" t="s">
        <v>19</v>
      </c>
      <c r="B1006" s="7">
        <v>46091.012453703705</v>
      </c>
      <c r="C1006" s="7">
        <v>46091.030185185184</v>
      </c>
      <c r="D1006" s="8">
        <v>46091</v>
      </c>
      <c r="E1006" s="9">
        <v>3.0185185183654539E-2</v>
      </c>
      <c r="F1006" s="10" t="s">
        <v>1199</v>
      </c>
      <c r="G1006" s="10" t="s">
        <v>21</v>
      </c>
      <c r="H1006" s="10" t="s">
        <v>41</v>
      </c>
      <c r="I1006" s="10" t="s">
        <v>23</v>
      </c>
      <c r="J1006" s="11">
        <v>1.77</v>
      </c>
      <c r="K1006" s="12"/>
      <c r="L1006" s="12"/>
      <c r="M1006" s="12"/>
      <c r="N1006" s="12"/>
      <c r="O1006" s="12"/>
      <c r="P1006" s="12"/>
      <c r="Q1006" s="12"/>
      <c r="R1006" s="12"/>
      <c r="S1006" s="12"/>
    </row>
    <row r="1007" spans="1:19" ht="14.25" customHeight="1" x14ac:dyDescent="0.2">
      <c r="A1007" s="1" t="s">
        <v>95</v>
      </c>
      <c r="B1007" s="7">
        <v>46091.019247685188</v>
      </c>
      <c r="C1007" s="7">
        <v>46091.030462962961</v>
      </c>
      <c r="D1007" s="8">
        <v>46091</v>
      </c>
      <c r="E1007" s="9">
        <v>3.0462962960882578E-2</v>
      </c>
      <c r="F1007" s="10" t="s">
        <v>1200</v>
      </c>
      <c r="G1007" s="10" t="s">
        <v>21</v>
      </c>
      <c r="H1007" s="10" t="s">
        <v>52</v>
      </c>
      <c r="I1007" s="10" t="s">
        <v>23</v>
      </c>
      <c r="J1007" s="11">
        <v>0.98</v>
      </c>
      <c r="K1007" s="12"/>
      <c r="L1007" s="12"/>
      <c r="M1007" s="12"/>
      <c r="N1007" s="12"/>
      <c r="O1007" s="12"/>
      <c r="P1007" s="12"/>
      <c r="Q1007" s="12"/>
      <c r="R1007" s="12"/>
      <c r="S1007" s="12"/>
    </row>
    <row r="1008" spans="1:19" ht="14.25" customHeight="1" x14ac:dyDescent="0.2">
      <c r="A1008" s="1" t="s">
        <v>19</v>
      </c>
      <c r="B1008" s="7">
        <v>46091.021157407406</v>
      </c>
      <c r="C1008" s="7">
        <v>46091.031284722223</v>
      </c>
      <c r="D1008" s="8">
        <v>46091</v>
      </c>
      <c r="E1008" s="9">
        <v>3.1284722223063E-2</v>
      </c>
      <c r="F1008" s="10" t="s">
        <v>1201</v>
      </c>
      <c r="G1008" s="10" t="s">
        <v>21</v>
      </c>
      <c r="H1008" s="10" t="s">
        <v>41</v>
      </c>
      <c r="I1008" s="10" t="s">
        <v>23</v>
      </c>
      <c r="J1008" s="11">
        <v>1.77</v>
      </c>
      <c r="K1008" s="12"/>
      <c r="L1008" s="12"/>
      <c r="M1008" s="12"/>
      <c r="N1008" s="12"/>
      <c r="O1008" s="12"/>
      <c r="P1008" s="12"/>
      <c r="Q1008" s="12"/>
      <c r="R1008" s="12"/>
      <c r="S1008" s="12"/>
    </row>
    <row r="1009" spans="1:19" ht="14.25" customHeight="1" x14ac:dyDescent="0.2">
      <c r="A1009" s="1" t="s">
        <v>19</v>
      </c>
      <c r="B1009" s="7">
        <v>46091.019178240742</v>
      </c>
      <c r="C1009" s="7">
        <v>46091.031574074077</v>
      </c>
      <c r="D1009" s="8">
        <v>46091</v>
      </c>
      <c r="E1009" s="9">
        <v>3.1574074077070691E-2</v>
      </c>
      <c r="F1009" s="10" t="s">
        <v>1202</v>
      </c>
      <c r="G1009" s="10" t="s">
        <v>21</v>
      </c>
      <c r="H1009" s="10" t="s">
        <v>22</v>
      </c>
      <c r="I1009" s="10" t="s">
        <v>23</v>
      </c>
      <c r="J1009" s="11">
        <v>0.83</v>
      </c>
      <c r="K1009" s="12"/>
      <c r="L1009" s="12"/>
      <c r="M1009" s="12"/>
      <c r="N1009" s="12"/>
      <c r="O1009" s="12"/>
      <c r="P1009" s="12"/>
      <c r="Q1009" s="12"/>
      <c r="R1009" s="12"/>
      <c r="S1009" s="12"/>
    </row>
    <row r="1010" spans="1:19" ht="14.25" customHeight="1" x14ac:dyDescent="0.2">
      <c r="A1010" s="1" t="s">
        <v>33</v>
      </c>
      <c r="B1010" s="7">
        <v>46091.015127314815</v>
      </c>
      <c r="C1010" s="7">
        <v>46091.035312499997</v>
      </c>
      <c r="D1010" s="8">
        <v>46091</v>
      </c>
      <c r="E1010" s="9">
        <v>3.531249999650754E-2</v>
      </c>
      <c r="F1010" s="10" t="s">
        <v>1203</v>
      </c>
      <c r="G1010" s="10" t="s">
        <v>21</v>
      </c>
      <c r="H1010" s="10" t="s">
        <v>41</v>
      </c>
      <c r="I1010" s="10" t="s">
        <v>23</v>
      </c>
      <c r="J1010" s="11">
        <v>1.77</v>
      </c>
      <c r="K1010" s="12"/>
      <c r="L1010" s="12"/>
      <c r="M1010" s="12"/>
      <c r="N1010" s="12"/>
      <c r="O1010" s="12"/>
      <c r="P1010" s="12"/>
      <c r="Q1010" s="12"/>
      <c r="R1010" s="12"/>
      <c r="S1010" s="12"/>
    </row>
    <row r="1011" spans="1:19" ht="14.25" customHeight="1" x14ac:dyDescent="0.2">
      <c r="A1011" s="1" t="s">
        <v>24</v>
      </c>
      <c r="B1011" s="7">
        <v>46091.031087962961</v>
      </c>
      <c r="C1011" s="7">
        <v>46091.048900462964</v>
      </c>
      <c r="D1011" s="8">
        <v>46091</v>
      </c>
      <c r="E1011" s="9">
        <v>4.8900462963501923E-2</v>
      </c>
      <c r="F1011" s="10" t="s">
        <v>1204</v>
      </c>
      <c r="G1011" s="10" t="s">
        <v>21</v>
      </c>
      <c r="H1011" s="10" t="s">
        <v>39</v>
      </c>
      <c r="I1011" s="10" t="s">
        <v>23</v>
      </c>
      <c r="J1011" s="11">
        <v>1.77</v>
      </c>
      <c r="K1011" s="12"/>
      <c r="L1011" s="12">
        <f>SUM(J1011:J1026)</f>
        <v>23.7</v>
      </c>
      <c r="M1011" s="13">
        <f>L1011*65</f>
        <v>1540.5</v>
      </c>
      <c r="N1011" s="14">
        <f>MAX(500,M1011)</f>
        <v>1540.5</v>
      </c>
      <c r="O1011" s="12"/>
      <c r="P1011" s="12"/>
      <c r="Q1011" s="12"/>
      <c r="R1011" s="12"/>
      <c r="S1011" s="12"/>
    </row>
    <row r="1012" spans="1:19" ht="14.25" customHeight="1" x14ac:dyDescent="0.2">
      <c r="A1012" s="1" t="s">
        <v>95</v>
      </c>
      <c r="B1012" s="7">
        <v>46091.031006944446</v>
      </c>
      <c r="C1012" s="7">
        <v>46091.04960648148</v>
      </c>
      <c r="D1012" s="8">
        <v>46091</v>
      </c>
      <c r="E1012" s="9">
        <v>4.9606481479713693E-2</v>
      </c>
      <c r="F1012" s="10" t="s">
        <v>1205</v>
      </c>
      <c r="G1012" s="10" t="s">
        <v>21</v>
      </c>
      <c r="H1012" s="10" t="s">
        <v>110</v>
      </c>
      <c r="I1012" s="10" t="s">
        <v>23</v>
      </c>
      <c r="J1012" s="11">
        <v>0.83</v>
      </c>
      <c r="K1012" s="12"/>
      <c r="L1012" s="12"/>
      <c r="M1012" s="12"/>
      <c r="N1012" s="12"/>
      <c r="O1012" s="12"/>
      <c r="P1012" s="12"/>
      <c r="Q1012" s="12"/>
      <c r="R1012" s="12"/>
      <c r="S1012" s="12"/>
    </row>
    <row r="1013" spans="1:19" ht="14.25" customHeight="1" x14ac:dyDescent="0.2">
      <c r="A1013" s="1" t="s">
        <v>19</v>
      </c>
      <c r="B1013" s="7">
        <v>46091.028055555558</v>
      </c>
      <c r="C1013" s="7">
        <v>46091.052210648151</v>
      </c>
      <c r="D1013" s="8">
        <v>46091</v>
      </c>
      <c r="E1013" s="9">
        <v>5.2210648151230998E-2</v>
      </c>
      <c r="F1013" s="10" t="s">
        <v>1206</v>
      </c>
      <c r="G1013" s="10" t="s">
        <v>21</v>
      </c>
      <c r="H1013" s="10" t="s">
        <v>22</v>
      </c>
      <c r="I1013" s="10" t="s">
        <v>23</v>
      </c>
      <c r="J1013" s="11">
        <v>0.83</v>
      </c>
      <c r="K1013" s="12"/>
      <c r="L1013" s="12"/>
      <c r="M1013" s="12"/>
      <c r="N1013" s="12"/>
      <c r="O1013" s="12"/>
      <c r="P1013" s="12"/>
      <c r="Q1013" s="12"/>
      <c r="R1013" s="12"/>
      <c r="S1013" s="12"/>
    </row>
    <row r="1014" spans="1:19" ht="14.25" customHeight="1" x14ac:dyDescent="0.2">
      <c r="A1014" s="1" t="s">
        <v>19</v>
      </c>
      <c r="B1014" s="7">
        <v>46091.028055555558</v>
      </c>
      <c r="C1014" s="7">
        <v>46091.052453703705</v>
      </c>
      <c r="D1014" s="8">
        <v>46091</v>
      </c>
      <c r="E1014" s="9">
        <v>5.2453703705396038E-2</v>
      </c>
      <c r="F1014" s="10" t="s">
        <v>1207</v>
      </c>
      <c r="G1014" s="10" t="s">
        <v>21</v>
      </c>
      <c r="H1014" s="10" t="s">
        <v>52</v>
      </c>
      <c r="I1014" s="10" t="s">
        <v>23</v>
      </c>
      <c r="J1014" s="11">
        <v>0.98</v>
      </c>
      <c r="K1014" s="12"/>
      <c r="L1014" s="12"/>
      <c r="M1014" s="12"/>
      <c r="N1014" s="12"/>
      <c r="O1014" s="12"/>
      <c r="P1014" s="12"/>
      <c r="Q1014" s="12"/>
      <c r="R1014" s="12"/>
      <c r="S1014" s="12"/>
    </row>
    <row r="1015" spans="1:19" ht="14.25" customHeight="1" x14ac:dyDescent="0.2">
      <c r="A1015" s="1" t="s">
        <v>19</v>
      </c>
      <c r="B1015" s="7">
        <v>46091.028055555558</v>
      </c>
      <c r="C1015" s="7">
        <v>46091.054548611108</v>
      </c>
      <c r="D1015" s="8">
        <v>46091</v>
      </c>
      <c r="E1015" s="9">
        <v>5.4548611107748002E-2</v>
      </c>
      <c r="F1015" s="10" t="s">
        <v>1208</v>
      </c>
      <c r="G1015" s="10" t="s">
        <v>21</v>
      </c>
      <c r="H1015" s="10" t="s">
        <v>409</v>
      </c>
      <c r="I1015" s="10" t="s">
        <v>23</v>
      </c>
      <c r="J1015" s="11">
        <v>2.9</v>
      </c>
      <c r="K1015" s="12"/>
      <c r="L1015" s="12"/>
      <c r="M1015" s="12"/>
      <c r="N1015" s="12"/>
      <c r="O1015" s="12"/>
      <c r="P1015" s="12"/>
      <c r="Q1015" s="12"/>
      <c r="R1015" s="12"/>
      <c r="S1015" s="12"/>
    </row>
    <row r="1016" spans="1:19" ht="14.25" customHeight="1" x14ac:dyDescent="0.2">
      <c r="A1016" s="1" t="s">
        <v>95</v>
      </c>
      <c r="B1016" s="7">
        <v>46091.036550925928</v>
      </c>
      <c r="C1016" s="7">
        <v>46091.054780092592</v>
      </c>
      <c r="D1016" s="8">
        <v>46091</v>
      </c>
      <c r="E1016" s="9">
        <v>5.4780092592409346E-2</v>
      </c>
      <c r="F1016" s="10" t="s">
        <v>1209</v>
      </c>
      <c r="G1016" s="10" t="s">
        <v>21</v>
      </c>
      <c r="H1016" s="10" t="s">
        <v>52</v>
      </c>
      <c r="I1016" s="10" t="s">
        <v>23</v>
      </c>
      <c r="J1016" s="11">
        <v>0.98</v>
      </c>
      <c r="K1016" s="12"/>
      <c r="L1016" s="12"/>
      <c r="M1016" s="12"/>
      <c r="N1016" s="12"/>
      <c r="O1016" s="12"/>
      <c r="P1016" s="12"/>
      <c r="Q1016" s="12"/>
      <c r="R1016" s="12"/>
      <c r="S1016" s="12"/>
    </row>
    <row r="1017" spans="1:19" ht="14.25" customHeight="1" x14ac:dyDescent="0.2">
      <c r="A1017" s="1" t="s">
        <v>19</v>
      </c>
      <c r="B1017" s="7">
        <v>46091.016168981485</v>
      </c>
      <c r="C1017" s="7">
        <v>46091.055914351855</v>
      </c>
      <c r="D1017" s="8">
        <v>46091</v>
      </c>
      <c r="E1017" s="9">
        <v>5.5914351854880806E-2</v>
      </c>
      <c r="F1017" s="10" t="s">
        <v>1210</v>
      </c>
      <c r="G1017" s="10" t="s">
        <v>26</v>
      </c>
      <c r="H1017" s="10" t="s">
        <v>92</v>
      </c>
      <c r="I1017" s="10" t="s">
        <v>23</v>
      </c>
      <c r="J1017" s="11">
        <v>0.63</v>
      </c>
      <c r="K1017" s="12"/>
      <c r="L1017" s="12"/>
      <c r="M1017" s="12"/>
      <c r="N1017" s="12"/>
      <c r="O1017" s="12"/>
      <c r="P1017" s="12"/>
      <c r="Q1017" s="12"/>
      <c r="R1017" s="12"/>
      <c r="S1017" s="12"/>
    </row>
    <row r="1018" spans="1:19" ht="14.25" customHeight="1" x14ac:dyDescent="0.2">
      <c r="A1018" s="1" t="s">
        <v>28</v>
      </c>
      <c r="B1018" s="7">
        <v>46091.033310185187</v>
      </c>
      <c r="C1018" s="7">
        <v>46091.057384259257</v>
      </c>
      <c r="D1018" s="8">
        <v>46091</v>
      </c>
      <c r="E1018" s="9">
        <v>5.7384259256650694E-2</v>
      </c>
      <c r="F1018" s="10" t="s">
        <v>1211</v>
      </c>
      <c r="G1018" s="10" t="s">
        <v>21</v>
      </c>
      <c r="H1018" s="10" t="s">
        <v>41</v>
      </c>
      <c r="I1018" s="10" t="s">
        <v>23</v>
      </c>
      <c r="J1018" s="11">
        <v>1.77</v>
      </c>
      <c r="K1018" s="12"/>
      <c r="L1018" s="12"/>
      <c r="M1018" s="12"/>
      <c r="N1018" s="12"/>
      <c r="O1018" s="12"/>
      <c r="P1018" s="12"/>
      <c r="Q1018" s="12"/>
      <c r="R1018" s="12"/>
      <c r="S1018" s="12"/>
    </row>
    <row r="1019" spans="1:19" ht="14.25" customHeight="1" x14ac:dyDescent="0.2">
      <c r="A1019" s="1" t="s">
        <v>57</v>
      </c>
      <c r="B1019" s="7">
        <v>46091.026550925926</v>
      </c>
      <c r="C1019" s="7">
        <v>46091.061840277776</v>
      </c>
      <c r="D1019" s="8">
        <v>46091</v>
      </c>
      <c r="E1019" s="9">
        <v>6.1840277776354924E-2</v>
      </c>
      <c r="F1019" s="10" t="s">
        <v>1212</v>
      </c>
      <c r="G1019" s="10" t="s">
        <v>26</v>
      </c>
      <c r="H1019" s="10" t="s">
        <v>1213</v>
      </c>
      <c r="I1019" s="10" t="s">
        <v>23</v>
      </c>
      <c r="J1019" s="11">
        <v>0.62</v>
      </c>
      <c r="K1019" s="12"/>
      <c r="L1019" s="12"/>
      <c r="M1019" s="12"/>
      <c r="N1019" s="12"/>
      <c r="O1019" s="12"/>
      <c r="P1019" s="12"/>
      <c r="Q1019" s="12"/>
      <c r="R1019" s="12"/>
      <c r="S1019" s="12"/>
    </row>
    <row r="1020" spans="1:19" ht="14.25" customHeight="1" x14ac:dyDescent="0.2">
      <c r="A1020" s="1" t="s">
        <v>57</v>
      </c>
      <c r="B1020" s="7">
        <v>46091.034641203703</v>
      </c>
      <c r="C1020" s="7">
        <v>46091.062604166669</v>
      </c>
      <c r="D1020" s="8">
        <v>46091</v>
      </c>
      <c r="E1020" s="9">
        <v>6.2604166669188999E-2</v>
      </c>
      <c r="F1020" s="10" t="s">
        <v>1214</v>
      </c>
      <c r="G1020" s="10" t="s">
        <v>21</v>
      </c>
      <c r="H1020" s="10" t="s">
        <v>1215</v>
      </c>
      <c r="I1020" s="10" t="s">
        <v>23</v>
      </c>
      <c r="J1020" s="11">
        <v>1.06</v>
      </c>
      <c r="K1020" s="12"/>
      <c r="L1020" s="12"/>
      <c r="M1020" s="12"/>
      <c r="N1020" s="12"/>
      <c r="O1020" s="12"/>
      <c r="P1020" s="12"/>
      <c r="Q1020" s="12"/>
      <c r="R1020" s="12"/>
      <c r="S1020" s="12"/>
    </row>
    <row r="1021" spans="1:19" ht="14.25" customHeight="1" x14ac:dyDescent="0.2">
      <c r="A1021" s="1" t="s">
        <v>19</v>
      </c>
      <c r="B1021" s="7">
        <v>46091.043715277781</v>
      </c>
      <c r="C1021" s="7">
        <v>46091.063125000001</v>
      </c>
      <c r="D1021" s="8">
        <v>46091</v>
      </c>
      <c r="E1021" s="9">
        <v>6.3125000000582077E-2</v>
      </c>
      <c r="F1021" s="10" t="s">
        <v>1216</v>
      </c>
      <c r="G1021" s="10" t="s">
        <v>21</v>
      </c>
      <c r="H1021" s="10" t="s">
        <v>22</v>
      </c>
      <c r="I1021" s="10" t="s">
        <v>23</v>
      </c>
      <c r="J1021" s="11">
        <v>0.83</v>
      </c>
      <c r="K1021" s="12"/>
      <c r="L1021" s="12"/>
      <c r="M1021" s="12"/>
      <c r="N1021" s="12"/>
      <c r="O1021" s="12"/>
      <c r="P1021" s="12"/>
      <c r="Q1021" s="12"/>
      <c r="R1021" s="12"/>
      <c r="S1021" s="12"/>
    </row>
    <row r="1022" spans="1:19" ht="14.25" customHeight="1" x14ac:dyDescent="0.2">
      <c r="A1022" s="1" t="s">
        <v>19</v>
      </c>
      <c r="B1022" s="7">
        <v>46091.043715277781</v>
      </c>
      <c r="C1022" s="7">
        <v>46091.063564814816</v>
      </c>
      <c r="D1022" s="8">
        <v>46091</v>
      </c>
      <c r="E1022" s="9">
        <v>6.3564814816345461E-2</v>
      </c>
      <c r="F1022" s="10" t="s">
        <v>1217</v>
      </c>
      <c r="G1022" s="10" t="s">
        <v>21</v>
      </c>
      <c r="H1022" s="10" t="s">
        <v>52</v>
      </c>
      <c r="I1022" s="10" t="s">
        <v>23</v>
      </c>
      <c r="J1022" s="11">
        <v>0.98</v>
      </c>
      <c r="K1022" s="12"/>
      <c r="L1022" s="12"/>
      <c r="M1022" s="12"/>
      <c r="N1022" s="12"/>
      <c r="O1022" s="12"/>
      <c r="P1022" s="12"/>
      <c r="Q1022" s="12"/>
      <c r="R1022" s="12"/>
      <c r="S1022" s="12"/>
    </row>
    <row r="1023" spans="1:19" ht="14.25" customHeight="1" x14ac:dyDescent="0.2">
      <c r="A1023" s="1" t="s">
        <v>19</v>
      </c>
      <c r="B1023" s="7">
        <v>46091.043726851851</v>
      </c>
      <c r="C1023" s="7">
        <v>46091.067407407405</v>
      </c>
      <c r="D1023" s="8">
        <v>46091</v>
      </c>
      <c r="E1023" s="9">
        <v>6.7407407404971309E-2</v>
      </c>
      <c r="F1023" s="10" t="s">
        <v>1218</v>
      </c>
      <c r="G1023" s="10" t="s">
        <v>21</v>
      </c>
      <c r="H1023" s="10" t="s">
        <v>467</v>
      </c>
      <c r="I1023" s="10" t="s">
        <v>23</v>
      </c>
      <c r="J1023" s="11">
        <v>2.75</v>
      </c>
      <c r="K1023" s="12"/>
      <c r="L1023" s="12"/>
      <c r="M1023" s="12"/>
      <c r="N1023" s="12"/>
      <c r="O1023" s="12"/>
      <c r="P1023" s="12"/>
      <c r="Q1023" s="12"/>
      <c r="R1023" s="12"/>
      <c r="S1023" s="12"/>
    </row>
    <row r="1024" spans="1:19" ht="14.25" customHeight="1" x14ac:dyDescent="0.2">
      <c r="A1024" s="1" t="s">
        <v>19</v>
      </c>
      <c r="B1024" s="7">
        <v>46091.013333333336</v>
      </c>
      <c r="C1024" s="7">
        <v>46091.073865740742</v>
      </c>
      <c r="D1024" s="8">
        <v>46091</v>
      </c>
      <c r="E1024" s="9">
        <v>7.3865740741894115E-2</v>
      </c>
      <c r="F1024" s="10" t="s">
        <v>1219</v>
      </c>
      <c r="G1024" s="10" t="s">
        <v>21</v>
      </c>
      <c r="H1024" s="10" t="s">
        <v>61</v>
      </c>
      <c r="I1024" s="10" t="s">
        <v>23</v>
      </c>
      <c r="J1024" s="11">
        <v>2.5</v>
      </c>
      <c r="K1024" s="12"/>
      <c r="L1024" s="12"/>
      <c r="M1024" s="12"/>
      <c r="N1024" s="12"/>
      <c r="O1024" s="12"/>
      <c r="P1024" s="12"/>
      <c r="Q1024" s="12"/>
      <c r="R1024" s="12"/>
      <c r="S1024" s="12"/>
    </row>
    <row r="1025" spans="1:19" ht="14.25" customHeight="1" x14ac:dyDescent="0.2">
      <c r="A1025" s="1" t="s">
        <v>19</v>
      </c>
      <c r="B1025" s="7">
        <v>46091.020694444444</v>
      </c>
      <c r="C1025" s="7">
        <v>46091.074212962965</v>
      </c>
      <c r="D1025" s="8">
        <v>46091</v>
      </c>
      <c r="E1025" s="9">
        <v>7.4212962965248153E-2</v>
      </c>
      <c r="F1025" s="10" t="s">
        <v>1220</v>
      </c>
      <c r="G1025" s="10" t="s">
        <v>21</v>
      </c>
      <c r="H1025" s="10" t="s">
        <v>281</v>
      </c>
      <c r="I1025" s="10" t="s">
        <v>23</v>
      </c>
      <c r="J1025" s="11">
        <v>2.5</v>
      </c>
      <c r="K1025" s="12"/>
      <c r="L1025" s="12"/>
      <c r="M1025" s="12"/>
      <c r="N1025" s="12"/>
      <c r="O1025" s="12"/>
      <c r="P1025" s="12"/>
      <c r="Q1025" s="12"/>
      <c r="R1025" s="12"/>
      <c r="S1025" s="12"/>
    </row>
    <row r="1026" spans="1:19" ht="14.25" customHeight="1" x14ac:dyDescent="0.2">
      <c r="A1026" s="1" t="s">
        <v>95</v>
      </c>
      <c r="B1026" s="7">
        <v>46091.06486111111</v>
      </c>
      <c r="C1026" s="7">
        <v>46091.074490740742</v>
      </c>
      <c r="D1026" s="8">
        <v>46091</v>
      </c>
      <c r="E1026" s="9">
        <v>7.4490740742476191E-2</v>
      </c>
      <c r="F1026" s="10" t="s">
        <v>1221</v>
      </c>
      <c r="G1026" s="10" t="s">
        <v>21</v>
      </c>
      <c r="H1026" s="10" t="s">
        <v>154</v>
      </c>
      <c r="I1026" s="10" t="s">
        <v>23</v>
      </c>
      <c r="J1026" s="11">
        <v>1.77</v>
      </c>
      <c r="K1026" s="12"/>
      <c r="L1026" s="12"/>
      <c r="M1026" s="12"/>
      <c r="N1026" s="12"/>
      <c r="O1026" s="12"/>
      <c r="P1026" s="12"/>
      <c r="Q1026" s="12"/>
      <c r="R1026" s="12"/>
      <c r="S1026" s="12"/>
    </row>
    <row r="1027" spans="1:19" ht="14.25" customHeight="1" x14ac:dyDescent="0.2">
      <c r="A1027" s="1" t="s">
        <v>95</v>
      </c>
      <c r="B1027" s="7">
        <v>46091.063414351855</v>
      </c>
      <c r="C1027" s="7">
        <v>46091.083506944444</v>
      </c>
      <c r="D1027" s="8">
        <v>46091</v>
      </c>
      <c r="E1027" s="9">
        <v>8.3506944443797693E-2</v>
      </c>
      <c r="F1027" s="10" t="s">
        <v>1222</v>
      </c>
      <c r="G1027" s="10" t="s">
        <v>21</v>
      </c>
      <c r="H1027" s="10" t="s">
        <v>97</v>
      </c>
      <c r="I1027" s="10" t="s">
        <v>23</v>
      </c>
      <c r="J1027" s="11">
        <v>1.77</v>
      </c>
      <c r="K1027" s="12"/>
      <c r="L1027" s="12">
        <f>SUM(J1027:J1043)</f>
        <v>21.059999999999995</v>
      </c>
      <c r="M1027" s="13">
        <f>L1027*65</f>
        <v>1368.8999999999996</v>
      </c>
      <c r="N1027" s="14">
        <f>MAX(500,M1027)</f>
        <v>1368.8999999999996</v>
      </c>
      <c r="O1027" s="12"/>
      <c r="P1027" s="12"/>
      <c r="Q1027" s="12"/>
      <c r="R1027" s="12"/>
      <c r="S1027" s="12"/>
    </row>
    <row r="1028" spans="1:19" ht="14.25" customHeight="1" x14ac:dyDescent="0.2">
      <c r="A1028" s="1" t="s">
        <v>95</v>
      </c>
      <c r="B1028" s="7">
        <v>46091.078287037039</v>
      </c>
      <c r="C1028" s="7">
        <v>46091.084189814814</v>
      </c>
      <c r="D1028" s="8">
        <v>46091</v>
      </c>
      <c r="E1028" s="9">
        <v>8.4189814813726116E-2</v>
      </c>
      <c r="F1028" s="10" t="s">
        <v>1223</v>
      </c>
      <c r="G1028" s="10" t="s">
        <v>21</v>
      </c>
      <c r="H1028" s="10" t="s">
        <v>97</v>
      </c>
      <c r="I1028" s="10" t="s">
        <v>23</v>
      </c>
      <c r="J1028" s="11">
        <v>1.77</v>
      </c>
      <c r="K1028" s="12"/>
      <c r="L1028" s="12"/>
      <c r="M1028" s="12"/>
      <c r="N1028" s="12"/>
      <c r="O1028" s="12"/>
      <c r="P1028" s="12"/>
      <c r="Q1028" s="12"/>
      <c r="R1028" s="12"/>
      <c r="S1028" s="12"/>
    </row>
    <row r="1029" spans="1:19" ht="14.25" customHeight="1" x14ac:dyDescent="0.2">
      <c r="A1029" s="1" t="s">
        <v>42</v>
      </c>
      <c r="B1029" s="7">
        <v>46091.055717592593</v>
      </c>
      <c r="C1029" s="7">
        <v>46091.084837962961</v>
      </c>
      <c r="D1029" s="8">
        <v>46091</v>
      </c>
      <c r="E1029" s="9">
        <v>8.483796296059154E-2</v>
      </c>
      <c r="F1029" s="10" t="s">
        <v>1224</v>
      </c>
      <c r="G1029" s="10" t="s">
        <v>26</v>
      </c>
      <c r="H1029" s="10" t="s">
        <v>56</v>
      </c>
      <c r="I1029" s="10" t="s">
        <v>23</v>
      </c>
      <c r="J1029" s="11">
        <v>0.73</v>
      </c>
      <c r="K1029" s="12"/>
      <c r="L1029" s="12"/>
      <c r="M1029" s="12"/>
      <c r="N1029" s="12"/>
      <c r="O1029" s="12"/>
      <c r="P1029" s="12"/>
      <c r="Q1029" s="12"/>
      <c r="R1029" s="12"/>
      <c r="S1029" s="12"/>
    </row>
    <row r="1030" spans="1:19" ht="14.25" customHeight="1" x14ac:dyDescent="0.2">
      <c r="A1030" s="1" t="s">
        <v>28</v>
      </c>
      <c r="B1030" s="7">
        <v>46091.067106481481</v>
      </c>
      <c r="C1030" s="7">
        <v>46091.085150462961</v>
      </c>
      <c r="D1030" s="8">
        <v>46091</v>
      </c>
      <c r="E1030" s="9">
        <v>8.5150462960882578E-2</v>
      </c>
      <c r="F1030" s="10" t="s">
        <v>1225</v>
      </c>
      <c r="G1030" s="10" t="s">
        <v>21</v>
      </c>
      <c r="H1030" s="10" t="s">
        <v>41</v>
      </c>
      <c r="I1030" s="10" t="s">
        <v>23</v>
      </c>
      <c r="J1030" s="11">
        <v>1.77</v>
      </c>
      <c r="K1030" s="12"/>
      <c r="L1030" s="12"/>
      <c r="M1030" s="12"/>
      <c r="N1030" s="12"/>
      <c r="O1030" s="12"/>
      <c r="P1030" s="12"/>
      <c r="Q1030" s="12"/>
      <c r="R1030" s="12"/>
      <c r="S1030" s="12"/>
    </row>
    <row r="1031" spans="1:19" ht="14.25" customHeight="1" x14ac:dyDescent="0.2">
      <c r="A1031" s="1" t="s">
        <v>19</v>
      </c>
      <c r="B1031" s="7">
        <v>46091.071944444448</v>
      </c>
      <c r="C1031" s="7">
        <v>46091.089178240742</v>
      </c>
      <c r="D1031" s="8">
        <v>46091</v>
      </c>
      <c r="E1031" s="9">
        <v>8.9178240741603076E-2</v>
      </c>
      <c r="F1031" s="10" t="s">
        <v>1226</v>
      </c>
      <c r="G1031" s="10" t="s">
        <v>21</v>
      </c>
      <c r="H1031" s="10" t="s">
        <v>41</v>
      </c>
      <c r="I1031" s="10" t="s">
        <v>23</v>
      </c>
      <c r="J1031" s="11">
        <v>1.77</v>
      </c>
      <c r="K1031" s="12"/>
      <c r="L1031" s="12"/>
      <c r="M1031" s="12"/>
      <c r="N1031" s="12"/>
      <c r="O1031" s="12"/>
      <c r="P1031" s="12"/>
      <c r="Q1031" s="12"/>
      <c r="R1031" s="12"/>
      <c r="S1031" s="12"/>
    </row>
    <row r="1032" spans="1:19" ht="14.25" customHeight="1" x14ac:dyDescent="0.2">
      <c r="A1032" s="1" t="s">
        <v>19</v>
      </c>
      <c r="B1032" s="7">
        <v>46091.076817129629</v>
      </c>
      <c r="C1032" s="7">
        <v>46091.089317129627</v>
      </c>
      <c r="D1032" s="8">
        <v>46091</v>
      </c>
      <c r="E1032" s="9">
        <v>8.9317129626579117E-2</v>
      </c>
      <c r="F1032" s="10" t="s">
        <v>1227</v>
      </c>
      <c r="G1032" s="10" t="s">
        <v>21</v>
      </c>
      <c r="H1032" s="10" t="s">
        <v>216</v>
      </c>
      <c r="I1032" s="10" t="s">
        <v>23</v>
      </c>
      <c r="J1032" s="11">
        <v>0.98</v>
      </c>
      <c r="K1032" s="12"/>
      <c r="L1032" s="12"/>
      <c r="M1032" s="12"/>
      <c r="N1032" s="12"/>
      <c r="O1032" s="12"/>
      <c r="P1032" s="12"/>
      <c r="Q1032" s="12"/>
      <c r="R1032" s="12"/>
      <c r="S1032" s="12"/>
    </row>
    <row r="1033" spans="1:19" ht="14.25" customHeight="1" x14ac:dyDescent="0.2">
      <c r="A1033" s="1" t="s">
        <v>95</v>
      </c>
      <c r="B1033" s="7">
        <v>46091.072060185186</v>
      </c>
      <c r="C1033" s="7">
        <v>46091.098078703704</v>
      </c>
      <c r="D1033" s="8">
        <v>46091</v>
      </c>
      <c r="E1033" s="9">
        <v>9.8078703704231884E-2</v>
      </c>
      <c r="F1033" s="10" t="s">
        <v>1228</v>
      </c>
      <c r="G1033" s="10" t="s">
        <v>21</v>
      </c>
      <c r="H1033" s="10" t="s">
        <v>105</v>
      </c>
      <c r="I1033" s="10" t="s">
        <v>23</v>
      </c>
      <c r="J1033" s="11">
        <v>2.5</v>
      </c>
      <c r="K1033" s="12"/>
      <c r="L1033" s="12"/>
      <c r="M1033" s="12"/>
      <c r="N1033" s="12"/>
      <c r="O1033" s="12"/>
      <c r="P1033" s="12"/>
      <c r="Q1033" s="12"/>
      <c r="R1033" s="12"/>
      <c r="S1033" s="12"/>
    </row>
    <row r="1034" spans="1:19" ht="14.25" customHeight="1" x14ac:dyDescent="0.2">
      <c r="A1034" s="1" t="s">
        <v>28</v>
      </c>
      <c r="B1034" s="7">
        <v>46091.086365740739</v>
      </c>
      <c r="C1034" s="7">
        <v>46091.099953703706</v>
      </c>
      <c r="D1034" s="8">
        <v>46091</v>
      </c>
      <c r="E1034" s="9">
        <v>9.9953703705978114E-2</v>
      </c>
      <c r="F1034" s="10" t="s">
        <v>1229</v>
      </c>
      <c r="G1034" s="10" t="s">
        <v>21</v>
      </c>
      <c r="H1034" s="10" t="s">
        <v>41</v>
      </c>
      <c r="I1034" s="10" t="s">
        <v>23</v>
      </c>
      <c r="J1034" s="11">
        <v>1.77</v>
      </c>
      <c r="K1034" s="12"/>
      <c r="L1034" s="12"/>
      <c r="M1034" s="12"/>
      <c r="N1034" s="12"/>
      <c r="O1034" s="12"/>
      <c r="P1034" s="12"/>
      <c r="Q1034" s="12"/>
      <c r="R1034" s="12"/>
      <c r="S1034" s="12"/>
    </row>
    <row r="1035" spans="1:19" ht="14.25" customHeight="1" x14ac:dyDescent="0.2">
      <c r="A1035" s="1" t="s">
        <v>95</v>
      </c>
      <c r="B1035" s="7">
        <v>46091.06994212963</v>
      </c>
      <c r="C1035" s="7">
        <v>46091.100671296299</v>
      </c>
      <c r="D1035" s="8">
        <v>46091</v>
      </c>
      <c r="E1035" s="9">
        <v>0.10067129629896954</v>
      </c>
      <c r="F1035" s="10" t="s">
        <v>1230</v>
      </c>
      <c r="G1035" s="10" t="s">
        <v>21</v>
      </c>
      <c r="H1035" s="10" t="s">
        <v>110</v>
      </c>
      <c r="I1035" s="10" t="s">
        <v>23</v>
      </c>
      <c r="J1035" s="11">
        <v>0.83</v>
      </c>
      <c r="K1035" s="12"/>
      <c r="L1035" s="12"/>
      <c r="M1035" s="12"/>
      <c r="N1035" s="12"/>
      <c r="O1035" s="12"/>
      <c r="P1035" s="12"/>
      <c r="Q1035" s="12"/>
      <c r="R1035" s="12"/>
      <c r="S1035" s="12"/>
    </row>
    <row r="1036" spans="1:19" ht="14.25" customHeight="1" x14ac:dyDescent="0.2">
      <c r="A1036" s="1" t="s">
        <v>95</v>
      </c>
      <c r="B1036" s="7">
        <v>46091.085219907407</v>
      </c>
      <c r="C1036" s="7">
        <v>46091.10324074074</v>
      </c>
      <c r="D1036" s="8">
        <v>46091</v>
      </c>
      <c r="E1036" s="9">
        <v>0.10324074074014788</v>
      </c>
      <c r="F1036" s="10" t="s">
        <v>1231</v>
      </c>
      <c r="G1036" s="10" t="s">
        <v>26</v>
      </c>
      <c r="H1036" s="10" t="s">
        <v>1232</v>
      </c>
      <c r="I1036" s="10" t="s">
        <v>23</v>
      </c>
      <c r="J1036" s="11">
        <v>0.75</v>
      </c>
      <c r="K1036" s="12"/>
      <c r="L1036" s="12"/>
      <c r="M1036" s="12"/>
      <c r="N1036" s="12"/>
      <c r="O1036" s="12"/>
      <c r="P1036" s="12"/>
      <c r="Q1036" s="12"/>
      <c r="R1036" s="12"/>
      <c r="S1036" s="12"/>
    </row>
    <row r="1037" spans="1:19" ht="14.25" customHeight="1" x14ac:dyDescent="0.2">
      <c r="A1037" s="1" t="s">
        <v>19</v>
      </c>
      <c r="B1037" s="7">
        <v>46091.090810185182</v>
      </c>
      <c r="C1037" s="7">
        <v>46091.10361111111</v>
      </c>
      <c r="D1037" s="8">
        <v>46091</v>
      </c>
      <c r="E1037" s="9">
        <v>0.10361111110978527</v>
      </c>
      <c r="F1037" s="10" t="s">
        <v>1233</v>
      </c>
      <c r="G1037" s="10" t="s">
        <v>21</v>
      </c>
      <c r="H1037" s="10" t="s">
        <v>22</v>
      </c>
      <c r="I1037" s="10" t="s">
        <v>23</v>
      </c>
      <c r="J1037" s="11">
        <v>0.83</v>
      </c>
      <c r="K1037" s="12"/>
      <c r="L1037" s="12"/>
      <c r="M1037" s="12"/>
      <c r="N1037" s="12"/>
      <c r="O1037" s="12"/>
      <c r="P1037" s="12"/>
      <c r="Q1037" s="12"/>
      <c r="R1037" s="12"/>
      <c r="S1037" s="12"/>
    </row>
    <row r="1038" spans="1:19" ht="14.25" customHeight="1" x14ac:dyDescent="0.2">
      <c r="A1038" s="1" t="s">
        <v>19</v>
      </c>
      <c r="B1038" s="7">
        <v>46091.090810185182</v>
      </c>
      <c r="C1038" s="7">
        <v>46091.104664351849</v>
      </c>
      <c r="D1038" s="8">
        <v>46091</v>
      </c>
      <c r="E1038" s="9">
        <v>0.10466435184935108</v>
      </c>
      <c r="F1038" s="10" t="s">
        <v>1234</v>
      </c>
      <c r="G1038" s="10" t="s">
        <v>21</v>
      </c>
      <c r="H1038" s="10" t="s">
        <v>1116</v>
      </c>
      <c r="I1038" s="10" t="s">
        <v>23</v>
      </c>
      <c r="J1038" s="11">
        <v>0.83</v>
      </c>
      <c r="K1038" s="12"/>
      <c r="L1038" s="12"/>
      <c r="M1038" s="12"/>
      <c r="N1038" s="12"/>
      <c r="O1038" s="12"/>
      <c r="P1038" s="12"/>
      <c r="Q1038" s="12"/>
      <c r="R1038" s="12"/>
      <c r="S1038" s="12"/>
    </row>
    <row r="1039" spans="1:19" ht="14.25" customHeight="1" x14ac:dyDescent="0.2">
      <c r="A1039" s="1" t="s">
        <v>24</v>
      </c>
      <c r="B1039" s="7">
        <v>46091.101921296293</v>
      </c>
      <c r="C1039" s="7">
        <v>46091.117962962962</v>
      </c>
      <c r="D1039" s="8">
        <v>46091</v>
      </c>
      <c r="E1039" s="9">
        <v>0.11796296296233777</v>
      </c>
      <c r="F1039" s="10" t="s">
        <v>1235</v>
      </c>
      <c r="G1039" s="10" t="s">
        <v>21</v>
      </c>
      <c r="H1039" s="10" t="s">
        <v>101</v>
      </c>
      <c r="I1039" s="10" t="s">
        <v>23</v>
      </c>
      <c r="J1039" s="11">
        <v>1.7</v>
      </c>
      <c r="K1039" s="12"/>
      <c r="L1039" s="12"/>
      <c r="M1039" s="12"/>
      <c r="N1039" s="12"/>
      <c r="O1039" s="12"/>
      <c r="P1039" s="12"/>
      <c r="Q1039" s="12"/>
      <c r="R1039" s="12"/>
      <c r="S1039" s="12"/>
    </row>
    <row r="1040" spans="1:19" ht="14.25" customHeight="1" x14ac:dyDescent="0.2">
      <c r="A1040" s="1" t="s">
        <v>24</v>
      </c>
      <c r="B1040" s="7">
        <v>46091.109722222223</v>
      </c>
      <c r="C1040" s="7">
        <v>46091.122569444444</v>
      </c>
      <c r="D1040" s="8">
        <v>46091</v>
      </c>
      <c r="E1040" s="9">
        <v>0.12256944444379769</v>
      </c>
      <c r="F1040" s="10" t="s">
        <v>1236</v>
      </c>
      <c r="G1040" s="10" t="s">
        <v>26</v>
      </c>
      <c r="H1040" s="10" t="s">
        <v>202</v>
      </c>
      <c r="I1040" s="10" t="s">
        <v>23</v>
      </c>
      <c r="J1040" s="11">
        <v>0.57999999999999996</v>
      </c>
      <c r="K1040" s="12"/>
      <c r="L1040" s="12"/>
      <c r="M1040" s="12"/>
      <c r="N1040" s="12"/>
      <c r="O1040" s="12"/>
      <c r="P1040" s="12"/>
      <c r="Q1040" s="12"/>
      <c r="R1040" s="12"/>
      <c r="S1040" s="12"/>
    </row>
    <row r="1041" spans="1:19" ht="14.25" customHeight="1" x14ac:dyDescent="0.2">
      <c r="A1041" s="1" t="s">
        <v>95</v>
      </c>
      <c r="B1041" s="7">
        <v>46091.102939814817</v>
      </c>
      <c r="C1041" s="7">
        <v>46091.12290509259</v>
      </c>
      <c r="D1041" s="8">
        <v>46091</v>
      </c>
      <c r="E1041" s="9">
        <v>0.12290509259037208</v>
      </c>
      <c r="F1041" s="10" t="s">
        <v>1237</v>
      </c>
      <c r="G1041" s="10" t="s">
        <v>26</v>
      </c>
      <c r="H1041" s="10" t="s">
        <v>1019</v>
      </c>
      <c r="I1041" s="10" t="s">
        <v>23</v>
      </c>
      <c r="J1041" s="11">
        <v>0.67</v>
      </c>
      <c r="K1041" s="12"/>
      <c r="L1041" s="12"/>
      <c r="M1041" s="12"/>
      <c r="N1041" s="12"/>
      <c r="O1041" s="12"/>
      <c r="P1041" s="12"/>
      <c r="Q1041" s="12"/>
      <c r="R1041" s="12"/>
      <c r="S1041" s="12"/>
    </row>
    <row r="1042" spans="1:19" ht="14.25" customHeight="1" x14ac:dyDescent="0.2">
      <c r="A1042" s="1" t="s">
        <v>95</v>
      </c>
      <c r="B1042" s="7">
        <v>46091.062835648147</v>
      </c>
      <c r="C1042" s="7">
        <v>46091.123182870368</v>
      </c>
      <c r="D1042" s="8">
        <v>46091</v>
      </c>
      <c r="E1042" s="9">
        <v>0.12318287036760012</v>
      </c>
      <c r="F1042" s="10" t="s">
        <v>1238</v>
      </c>
      <c r="G1042" s="10" t="s">
        <v>21</v>
      </c>
      <c r="H1042" s="10" t="s">
        <v>52</v>
      </c>
      <c r="I1042" s="10" t="s">
        <v>23</v>
      </c>
      <c r="J1042" s="11">
        <v>0.98</v>
      </c>
      <c r="K1042" s="12"/>
      <c r="L1042" s="12"/>
      <c r="M1042" s="12"/>
      <c r="N1042" s="12"/>
      <c r="O1042" s="12"/>
      <c r="P1042" s="12"/>
      <c r="Q1042" s="12"/>
      <c r="R1042" s="12"/>
      <c r="S1042" s="12"/>
    </row>
    <row r="1043" spans="1:19" ht="14.25" customHeight="1" x14ac:dyDescent="0.2">
      <c r="A1043" s="1" t="s">
        <v>95</v>
      </c>
      <c r="B1043" s="7">
        <v>46091.062835648147</v>
      </c>
      <c r="C1043" s="7">
        <v>46091.123425925929</v>
      </c>
      <c r="D1043" s="8">
        <v>46091</v>
      </c>
      <c r="E1043" s="9">
        <v>0.12342592592904111</v>
      </c>
      <c r="F1043" s="10" t="s">
        <v>1239</v>
      </c>
      <c r="G1043" s="10" t="s">
        <v>21</v>
      </c>
      <c r="H1043" s="10" t="s">
        <v>110</v>
      </c>
      <c r="I1043" s="10" t="s">
        <v>23</v>
      </c>
      <c r="J1043" s="11">
        <v>0.83</v>
      </c>
      <c r="K1043" s="12"/>
      <c r="L1043" s="12"/>
      <c r="M1043" s="12"/>
      <c r="N1043" s="12"/>
      <c r="O1043" s="12"/>
      <c r="P1043" s="12"/>
      <c r="Q1043" s="12"/>
      <c r="R1043" s="12"/>
      <c r="S1043" s="12"/>
    </row>
    <row r="1044" spans="1:19" ht="14.25" customHeight="1" x14ac:dyDescent="0.2">
      <c r="A1044" s="1" t="s">
        <v>24</v>
      </c>
      <c r="B1044" s="7">
        <v>46091.113645833335</v>
      </c>
      <c r="C1044" s="7">
        <v>46091.129502314812</v>
      </c>
      <c r="D1044" s="8">
        <v>46091</v>
      </c>
      <c r="E1044" s="9">
        <v>0.12950231481227092</v>
      </c>
      <c r="F1044" s="10" t="s">
        <v>1240</v>
      </c>
      <c r="G1044" s="10" t="s">
        <v>21</v>
      </c>
      <c r="H1044" s="10" t="s">
        <v>101</v>
      </c>
      <c r="I1044" s="10" t="s">
        <v>23</v>
      </c>
      <c r="J1044" s="11">
        <v>1.7</v>
      </c>
      <c r="K1044" s="12">
        <f>SUM(J1044:J1067)</f>
        <v>34.639999999999993</v>
      </c>
      <c r="L1044" s="12">
        <f>SUM(J1044:J1054)</f>
        <v>19.119999999999997</v>
      </c>
      <c r="M1044" s="13">
        <f>L1044*65</f>
        <v>1242.7999999999997</v>
      </c>
      <c r="N1044" s="14">
        <f>MAX(500,M1044)</f>
        <v>1242.7999999999997</v>
      </c>
      <c r="O1044" s="12"/>
      <c r="P1044" s="12"/>
      <c r="Q1044" s="12"/>
      <c r="R1044" s="12"/>
      <c r="S1044" s="12"/>
    </row>
    <row r="1045" spans="1:19" ht="14.25" customHeight="1" x14ac:dyDescent="0.2">
      <c r="A1045" s="1" t="s">
        <v>19</v>
      </c>
      <c r="B1045" s="7">
        <v>46091.117037037038</v>
      </c>
      <c r="C1045" s="7">
        <v>46091.130208333336</v>
      </c>
      <c r="D1045" s="8">
        <v>46091</v>
      </c>
      <c r="E1045" s="9">
        <v>0.13020833333575865</v>
      </c>
      <c r="F1045" s="10" t="s">
        <v>1241</v>
      </c>
      <c r="G1045" s="10" t="s">
        <v>21</v>
      </c>
      <c r="H1045" s="10" t="s">
        <v>101</v>
      </c>
      <c r="I1045" s="10" t="s">
        <v>23</v>
      </c>
      <c r="J1045" s="11">
        <v>1.7</v>
      </c>
      <c r="K1045" s="12"/>
      <c r="L1045" s="12"/>
      <c r="M1045" s="12"/>
      <c r="N1045" s="12"/>
      <c r="O1045" s="12"/>
      <c r="P1045" s="12"/>
      <c r="Q1045" s="12"/>
      <c r="R1045" s="12"/>
      <c r="S1045" s="12"/>
    </row>
    <row r="1046" spans="1:19" ht="14.25" customHeight="1" x14ac:dyDescent="0.2">
      <c r="A1046" s="1" t="s">
        <v>95</v>
      </c>
      <c r="B1046" s="7">
        <v>46091.127685185187</v>
      </c>
      <c r="C1046" s="7">
        <v>46091.13071759259</v>
      </c>
      <c r="D1046" s="8">
        <v>46091</v>
      </c>
      <c r="E1046" s="9">
        <v>0.13071759259037208</v>
      </c>
      <c r="F1046" s="10" t="s">
        <v>1242</v>
      </c>
      <c r="G1046" s="10" t="s">
        <v>21</v>
      </c>
      <c r="H1046" s="10" t="s">
        <v>97</v>
      </c>
      <c r="I1046" s="10" t="s">
        <v>23</v>
      </c>
      <c r="J1046" s="11">
        <v>1.77</v>
      </c>
      <c r="K1046" s="12"/>
      <c r="L1046" s="12"/>
      <c r="M1046" s="12"/>
      <c r="N1046" s="12"/>
      <c r="O1046" s="12"/>
      <c r="P1046" s="12"/>
      <c r="Q1046" s="12"/>
      <c r="R1046" s="12"/>
      <c r="S1046" s="12"/>
    </row>
    <row r="1047" spans="1:19" ht="14.25" customHeight="1" x14ac:dyDescent="0.2">
      <c r="A1047" s="1" t="s">
        <v>95</v>
      </c>
      <c r="B1047" s="7">
        <v>46091.133703703701</v>
      </c>
      <c r="C1047" s="7">
        <v>46091.143657407411</v>
      </c>
      <c r="D1047" s="8">
        <v>46091</v>
      </c>
      <c r="E1047" s="9">
        <v>0.14365740741050104</v>
      </c>
      <c r="F1047" s="10" t="s">
        <v>1243</v>
      </c>
      <c r="G1047" s="10" t="s">
        <v>21</v>
      </c>
      <c r="H1047" s="10" t="s">
        <v>97</v>
      </c>
      <c r="I1047" s="10" t="s">
        <v>23</v>
      </c>
      <c r="J1047" s="11">
        <v>1.77</v>
      </c>
      <c r="K1047" s="12"/>
      <c r="L1047" s="12"/>
      <c r="M1047" s="12"/>
      <c r="N1047" s="12"/>
      <c r="O1047" s="12"/>
      <c r="P1047" s="12"/>
      <c r="Q1047" s="12"/>
      <c r="R1047" s="12"/>
      <c r="S1047" s="12"/>
    </row>
    <row r="1048" spans="1:19" ht="14.25" customHeight="1" x14ac:dyDescent="0.2">
      <c r="A1048" s="1" t="s">
        <v>95</v>
      </c>
      <c r="B1048" s="7">
        <v>46091.140925925924</v>
      </c>
      <c r="C1048" s="7">
        <v>46091.148622685185</v>
      </c>
      <c r="D1048" s="8">
        <v>46091</v>
      </c>
      <c r="E1048" s="9">
        <v>0.14862268518481869</v>
      </c>
      <c r="F1048" s="10" t="s">
        <v>1244</v>
      </c>
      <c r="G1048" s="10" t="s">
        <v>21</v>
      </c>
      <c r="H1048" s="10" t="s">
        <v>97</v>
      </c>
      <c r="I1048" s="10" t="s">
        <v>23</v>
      </c>
      <c r="J1048" s="11">
        <v>1.77</v>
      </c>
      <c r="K1048" s="12"/>
      <c r="L1048" s="12"/>
      <c r="M1048" s="12"/>
      <c r="N1048" s="12"/>
      <c r="O1048" s="12"/>
      <c r="P1048" s="12"/>
      <c r="Q1048" s="12"/>
      <c r="R1048" s="12"/>
      <c r="S1048" s="12"/>
    </row>
    <row r="1049" spans="1:19" ht="14.25" customHeight="1" x14ac:dyDescent="0.2">
      <c r="A1049" s="1" t="s">
        <v>28</v>
      </c>
      <c r="B1049" s="7">
        <v>46091.130752314813</v>
      </c>
      <c r="C1049" s="7">
        <v>46091.149247685185</v>
      </c>
      <c r="D1049" s="8">
        <v>46091</v>
      </c>
      <c r="E1049" s="9">
        <v>0.14924768518540077</v>
      </c>
      <c r="F1049" s="10" t="s">
        <v>1245</v>
      </c>
      <c r="G1049" s="10" t="s">
        <v>21</v>
      </c>
      <c r="H1049" s="10" t="s">
        <v>41</v>
      </c>
      <c r="I1049" s="10" t="s">
        <v>23</v>
      </c>
      <c r="J1049" s="11">
        <v>1.77</v>
      </c>
      <c r="K1049" s="12"/>
      <c r="L1049" s="12"/>
      <c r="M1049" s="12"/>
      <c r="N1049" s="12"/>
      <c r="O1049" s="12"/>
      <c r="P1049" s="12"/>
      <c r="Q1049" s="12"/>
      <c r="R1049" s="12"/>
      <c r="S1049" s="12"/>
    </row>
    <row r="1050" spans="1:19" ht="14.25" customHeight="1" x14ac:dyDescent="0.2">
      <c r="A1050" s="1" t="s">
        <v>24</v>
      </c>
      <c r="B1050" s="7">
        <v>46091.139780092592</v>
      </c>
      <c r="C1050" s="7">
        <v>46091.149537037039</v>
      </c>
      <c r="D1050" s="8">
        <v>46091</v>
      </c>
      <c r="E1050" s="9">
        <v>0.14953703703940846</v>
      </c>
      <c r="F1050" s="10" t="s">
        <v>1246</v>
      </c>
      <c r="G1050" s="10" t="s">
        <v>21</v>
      </c>
      <c r="H1050" s="10" t="s">
        <v>22</v>
      </c>
      <c r="I1050" s="10" t="s">
        <v>23</v>
      </c>
      <c r="J1050" s="11">
        <v>0.83</v>
      </c>
      <c r="K1050" s="12"/>
      <c r="L1050" s="12"/>
      <c r="M1050" s="12"/>
      <c r="N1050" s="12"/>
      <c r="O1050" s="12"/>
      <c r="P1050" s="12"/>
      <c r="Q1050" s="12"/>
      <c r="R1050" s="12"/>
      <c r="S1050" s="12"/>
    </row>
    <row r="1051" spans="1:19" ht="14.25" customHeight="1" x14ac:dyDescent="0.2">
      <c r="A1051" s="1" t="s">
        <v>33</v>
      </c>
      <c r="B1051" s="7">
        <v>46091.097650462965</v>
      </c>
      <c r="C1051" s="7">
        <v>46091.152916666666</v>
      </c>
      <c r="D1051" s="8">
        <v>46091</v>
      </c>
      <c r="E1051" s="9">
        <v>0.15291666666598758</v>
      </c>
      <c r="F1051" s="10" t="s">
        <v>1247</v>
      </c>
      <c r="G1051" s="10" t="s">
        <v>21</v>
      </c>
      <c r="H1051" s="10" t="s">
        <v>41</v>
      </c>
      <c r="I1051" s="10" t="s">
        <v>23</v>
      </c>
      <c r="J1051" s="11">
        <v>1.77</v>
      </c>
      <c r="K1051" s="12"/>
      <c r="L1051" s="12"/>
      <c r="M1051" s="12"/>
      <c r="N1051" s="12"/>
      <c r="O1051" s="12"/>
      <c r="P1051" s="12"/>
      <c r="Q1051" s="12"/>
      <c r="R1051" s="12"/>
      <c r="S1051" s="12"/>
    </row>
    <row r="1052" spans="1:19" ht="14.25" customHeight="1" x14ac:dyDescent="0.2">
      <c r="A1052" s="1" t="s">
        <v>42</v>
      </c>
      <c r="B1052" s="7">
        <v>46091.144317129627</v>
      </c>
      <c r="C1052" s="7">
        <v>46091.158113425925</v>
      </c>
      <c r="D1052" s="8">
        <v>46091</v>
      </c>
      <c r="E1052" s="9">
        <v>0.15811342592496658</v>
      </c>
      <c r="F1052" s="10" t="s">
        <v>1248</v>
      </c>
      <c r="G1052" s="10" t="s">
        <v>21</v>
      </c>
      <c r="H1052" s="10" t="s">
        <v>97</v>
      </c>
      <c r="I1052" s="10" t="s">
        <v>23</v>
      </c>
      <c r="J1052" s="11">
        <v>1.77</v>
      </c>
      <c r="K1052" s="12"/>
      <c r="L1052" s="12"/>
      <c r="M1052" s="12"/>
      <c r="N1052" s="12"/>
      <c r="O1052" s="12"/>
      <c r="P1052" s="12"/>
      <c r="Q1052" s="12"/>
      <c r="R1052" s="12"/>
      <c r="S1052" s="12"/>
    </row>
    <row r="1053" spans="1:19" ht="14.25" customHeight="1" x14ac:dyDescent="0.2">
      <c r="A1053" s="1" t="s">
        <v>28</v>
      </c>
      <c r="B1053" s="7">
        <v>46091.121145833335</v>
      </c>
      <c r="C1053" s="7">
        <v>46091.158564814818</v>
      </c>
      <c r="D1053" s="8">
        <v>46091</v>
      </c>
      <c r="E1053" s="9">
        <v>0.15856481481750961</v>
      </c>
      <c r="F1053" s="10" t="s">
        <v>1249</v>
      </c>
      <c r="G1053" s="10" t="s">
        <v>21</v>
      </c>
      <c r="H1053" s="10" t="s">
        <v>281</v>
      </c>
      <c r="I1053" s="10" t="s">
        <v>23</v>
      </c>
      <c r="J1053" s="11">
        <v>2.5</v>
      </c>
      <c r="K1053" s="12"/>
      <c r="L1053" s="12"/>
      <c r="M1053" s="12"/>
      <c r="N1053" s="12"/>
      <c r="O1053" s="12"/>
      <c r="P1053" s="12"/>
      <c r="Q1053" s="12"/>
      <c r="R1053" s="12"/>
      <c r="S1053" s="12"/>
    </row>
    <row r="1054" spans="1:19" ht="14.25" customHeight="1" x14ac:dyDescent="0.2">
      <c r="A1054" s="1" t="s">
        <v>19</v>
      </c>
      <c r="B1054" s="7">
        <v>46091.147905092592</v>
      </c>
      <c r="C1054" s="7">
        <v>46091.160451388889</v>
      </c>
      <c r="D1054" s="8">
        <v>46091</v>
      </c>
      <c r="E1054" s="9">
        <v>0.16045138888875954</v>
      </c>
      <c r="F1054" s="10" t="s">
        <v>1250</v>
      </c>
      <c r="G1054" s="10" t="s">
        <v>21</v>
      </c>
      <c r="H1054" s="10" t="s">
        <v>276</v>
      </c>
      <c r="I1054" s="10" t="s">
        <v>23</v>
      </c>
      <c r="J1054" s="11">
        <v>1.77</v>
      </c>
      <c r="K1054" s="12"/>
      <c r="L1054" s="12"/>
      <c r="M1054" s="12"/>
      <c r="N1054" s="12"/>
      <c r="O1054" s="12"/>
      <c r="P1054" s="12"/>
      <c r="Q1054" s="12"/>
      <c r="R1054" s="12"/>
      <c r="S1054" s="12"/>
    </row>
    <row r="1055" spans="1:19" ht="14.25" customHeight="1" x14ac:dyDescent="0.2">
      <c r="A1055" s="1" t="s">
        <v>24</v>
      </c>
      <c r="B1055" s="7">
        <v>46091.153055555558</v>
      </c>
      <c r="C1055" s="7">
        <v>46091.171053240738</v>
      </c>
      <c r="D1055" s="8">
        <v>46091</v>
      </c>
      <c r="E1055" s="9">
        <v>0.17105324073781958</v>
      </c>
      <c r="F1055" s="10" t="s">
        <v>1251</v>
      </c>
      <c r="G1055" s="10" t="s">
        <v>26</v>
      </c>
      <c r="H1055" s="10" t="s">
        <v>37</v>
      </c>
      <c r="I1055" s="10" t="s">
        <v>23</v>
      </c>
      <c r="J1055" s="11">
        <v>0.88</v>
      </c>
      <c r="K1055" s="12"/>
      <c r="L1055" s="12">
        <f>SUM(J1055:J1060)</f>
        <v>7.5</v>
      </c>
      <c r="M1055" s="13">
        <f>L1055*65</f>
        <v>487.5</v>
      </c>
      <c r="N1055" s="14">
        <f>MAX(500,M1055)</f>
        <v>500</v>
      </c>
      <c r="O1055" s="12"/>
      <c r="P1055" s="12"/>
      <c r="Q1055" s="12"/>
      <c r="R1055" s="12"/>
      <c r="S1055" s="12"/>
    </row>
    <row r="1056" spans="1:19" ht="14.25" customHeight="1" x14ac:dyDescent="0.2">
      <c r="A1056" s="1" t="s">
        <v>57</v>
      </c>
      <c r="B1056" s="7">
        <v>46091.140150462961</v>
      </c>
      <c r="C1056" s="7">
        <v>46091.173159722224</v>
      </c>
      <c r="D1056" s="8">
        <v>46091</v>
      </c>
      <c r="E1056" s="9">
        <v>0.17315972222422715</v>
      </c>
      <c r="F1056" s="10" t="s">
        <v>1252</v>
      </c>
      <c r="G1056" s="10" t="s">
        <v>21</v>
      </c>
      <c r="H1056" s="10" t="s">
        <v>712</v>
      </c>
      <c r="I1056" s="10" t="s">
        <v>23</v>
      </c>
      <c r="J1056" s="11">
        <v>1.77</v>
      </c>
      <c r="K1056" s="12"/>
      <c r="L1056" s="12"/>
      <c r="M1056" s="12"/>
      <c r="N1056" s="12"/>
      <c r="O1056" s="12"/>
      <c r="P1056" s="12"/>
      <c r="Q1056" s="12"/>
      <c r="R1056" s="12"/>
      <c r="S1056" s="12"/>
    </row>
    <row r="1057" spans="1:19" ht="14.25" customHeight="1" x14ac:dyDescent="0.2">
      <c r="A1057" s="1" t="s">
        <v>46</v>
      </c>
      <c r="B1057" s="7">
        <v>46091.154548611114</v>
      </c>
      <c r="C1057" s="7">
        <v>46091.174525462964</v>
      </c>
      <c r="D1057" s="8">
        <v>46091</v>
      </c>
      <c r="E1057" s="9">
        <v>0.174525462964084</v>
      </c>
      <c r="F1057" s="10" t="s">
        <v>1253</v>
      </c>
      <c r="G1057" s="10" t="s">
        <v>21</v>
      </c>
      <c r="H1057" s="10" t="s">
        <v>71</v>
      </c>
      <c r="I1057" s="10" t="s">
        <v>23</v>
      </c>
      <c r="J1057" s="11">
        <v>1.05</v>
      </c>
      <c r="K1057" s="12"/>
      <c r="L1057" s="12"/>
      <c r="M1057" s="12"/>
      <c r="N1057" s="12"/>
      <c r="O1057" s="12"/>
      <c r="P1057" s="12"/>
      <c r="Q1057" s="12"/>
      <c r="R1057" s="12"/>
      <c r="S1057" s="12"/>
    </row>
    <row r="1058" spans="1:19" ht="14.25" customHeight="1" x14ac:dyDescent="0.2">
      <c r="A1058" s="1" t="s">
        <v>24</v>
      </c>
      <c r="B1058" s="7">
        <v>46091.183391203704</v>
      </c>
      <c r="C1058" s="7">
        <v>46091.206689814811</v>
      </c>
      <c r="D1058" s="8">
        <v>46091</v>
      </c>
      <c r="E1058" s="9">
        <v>0.20668981481139781</v>
      </c>
      <c r="F1058" s="10" t="s">
        <v>1254</v>
      </c>
      <c r="G1058" s="10" t="s">
        <v>21</v>
      </c>
      <c r="H1058" s="10" t="s">
        <v>71</v>
      </c>
      <c r="I1058" s="10" t="s">
        <v>23</v>
      </c>
      <c r="J1058" s="11">
        <v>1.05</v>
      </c>
      <c r="K1058" s="12"/>
      <c r="L1058" s="12"/>
      <c r="M1058" s="12"/>
      <c r="N1058" s="12"/>
      <c r="O1058" s="12"/>
      <c r="P1058" s="12"/>
      <c r="Q1058" s="12"/>
      <c r="R1058" s="12"/>
      <c r="S1058" s="12"/>
    </row>
    <row r="1059" spans="1:19" ht="14.25" customHeight="1" x14ac:dyDescent="0.2">
      <c r="A1059" s="1" t="s">
        <v>24</v>
      </c>
      <c r="B1059" s="7">
        <v>46091.184675925928</v>
      </c>
      <c r="C1059" s="7">
        <v>46091.207696759258</v>
      </c>
      <c r="D1059" s="8">
        <v>46091</v>
      </c>
      <c r="E1059" s="9">
        <v>0.20769675925839692</v>
      </c>
      <c r="F1059" s="10" t="s">
        <v>1255</v>
      </c>
      <c r="G1059" s="10" t="s">
        <v>21</v>
      </c>
      <c r="H1059" s="10" t="s">
        <v>216</v>
      </c>
      <c r="I1059" s="10" t="s">
        <v>23</v>
      </c>
      <c r="J1059" s="11">
        <v>0.98</v>
      </c>
      <c r="K1059" s="12"/>
      <c r="L1059" s="12"/>
      <c r="M1059" s="12"/>
      <c r="N1059" s="12"/>
      <c r="O1059" s="12"/>
      <c r="P1059" s="12"/>
      <c r="Q1059" s="12"/>
      <c r="R1059" s="12"/>
      <c r="S1059" s="12"/>
    </row>
    <row r="1060" spans="1:19" ht="14.25" customHeight="1" x14ac:dyDescent="0.2">
      <c r="A1060" s="1" t="s">
        <v>33</v>
      </c>
      <c r="B1060" s="7">
        <v>46091.196666666663</v>
      </c>
      <c r="C1060" s="7">
        <v>46091.208055555559</v>
      </c>
      <c r="D1060" s="8">
        <v>46091</v>
      </c>
      <c r="E1060" s="9">
        <v>0.20805555555853061</v>
      </c>
      <c r="F1060" s="10" t="s">
        <v>1256</v>
      </c>
      <c r="G1060" s="10" t="s">
        <v>21</v>
      </c>
      <c r="H1060" s="10" t="s">
        <v>41</v>
      </c>
      <c r="I1060" s="10" t="s">
        <v>23</v>
      </c>
      <c r="J1060" s="11">
        <v>1.77</v>
      </c>
      <c r="K1060" s="12"/>
      <c r="L1060" s="12"/>
      <c r="M1060" s="12"/>
      <c r="N1060" s="12"/>
      <c r="O1060" s="12"/>
      <c r="P1060" s="12"/>
      <c r="Q1060" s="12"/>
      <c r="R1060" s="12"/>
      <c r="S1060" s="12"/>
    </row>
    <row r="1061" spans="1:19" ht="14.25" customHeight="1" x14ac:dyDescent="0.2">
      <c r="A1061" s="1" t="s">
        <v>95</v>
      </c>
      <c r="B1061" s="7">
        <v>46091.195960648147</v>
      </c>
      <c r="C1061" s="7">
        <v>46091.208437499998</v>
      </c>
      <c r="D1061" s="8">
        <v>46091</v>
      </c>
      <c r="E1061" s="9">
        <v>0.20843749999767169</v>
      </c>
      <c r="F1061" s="10" t="s">
        <v>1257</v>
      </c>
      <c r="G1061" s="10" t="s">
        <v>21</v>
      </c>
      <c r="H1061" s="10" t="s">
        <v>108</v>
      </c>
      <c r="I1061" s="10" t="s">
        <v>23</v>
      </c>
      <c r="J1061" s="11">
        <v>1.7</v>
      </c>
      <c r="K1061" s="12"/>
      <c r="L1061" s="12">
        <f>SUM(J1061:J1067)</f>
        <v>8.02</v>
      </c>
      <c r="M1061" s="13">
        <f>L1061*65</f>
        <v>521.29999999999995</v>
      </c>
      <c r="N1061" s="14">
        <f>MAX(500,M1061)</f>
        <v>521.29999999999995</v>
      </c>
      <c r="O1061" s="12"/>
      <c r="P1061" s="12"/>
      <c r="Q1061" s="12"/>
      <c r="R1061" s="12"/>
      <c r="S1061" s="12"/>
    </row>
    <row r="1062" spans="1:19" ht="14.25" customHeight="1" x14ac:dyDescent="0.2">
      <c r="A1062" s="1" t="s">
        <v>24</v>
      </c>
      <c r="B1062" s="7">
        <v>46091.194664351853</v>
      </c>
      <c r="C1062" s="7">
        <v>46091.210972222223</v>
      </c>
      <c r="D1062" s="8">
        <v>46091</v>
      </c>
      <c r="E1062" s="9">
        <v>0.210972222223063</v>
      </c>
      <c r="F1062" s="10" t="s">
        <v>1258</v>
      </c>
      <c r="G1062" s="10" t="s">
        <v>21</v>
      </c>
      <c r="H1062" s="10" t="s">
        <v>101</v>
      </c>
      <c r="I1062" s="10" t="s">
        <v>23</v>
      </c>
      <c r="J1062" s="11">
        <v>1.7</v>
      </c>
      <c r="K1062" s="12"/>
      <c r="L1062" s="12"/>
      <c r="M1062" s="12"/>
      <c r="N1062" s="12"/>
      <c r="O1062" s="12"/>
      <c r="P1062" s="12"/>
      <c r="Q1062" s="12"/>
      <c r="R1062" s="12"/>
      <c r="S1062" s="12"/>
    </row>
    <row r="1063" spans="1:19" ht="14.25" customHeight="1" x14ac:dyDescent="0.2">
      <c r="A1063" s="1" t="s">
        <v>19</v>
      </c>
      <c r="B1063" s="7">
        <v>46091.19259259259</v>
      </c>
      <c r="C1063" s="7">
        <v>46091.214050925926</v>
      </c>
      <c r="D1063" s="8">
        <v>46091</v>
      </c>
      <c r="E1063" s="9">
        <v>0.21405092592613073</v>
      </c>
      <c r="F1063" s="10" t="s">
        <v>1259</v>
      </c>
      <c r="G1063" s="10" t="s">
        <v>26</v>
      </c>
      <c r="H1063" s="10" t="s">
        <v>1260</v>
      </c>
      <c r="I1063" s="10" t="s">
        <v>23</v>
      </c>
      <c r="J1063" s="11">
        <v>0.57999999999999996</v>
      </c>
      <c r="K1063" s="12"/>
      <c r="L1063" s="12"/>
      <c r="M1063" s="12"/>
      <c r="N1063" s="12"/>
      <c r="O1063" s="12"/>
      <c r="P1063" s="12"/>
      <c r="Q1063" s="12"/>
      <c r="R1063" s="12"/>
      <c r="S1063" s="12"/>
    </row>
    <row r="1064" spans="1:19" ht="14.25" customHeight="1" x14ac:dyDescent="0.2">
      <c r="A1064" s="1" t="s">
        <v>95</v>
      </c>
      <c r="B1064" s="7">
        <v>46091.224814814814</v>
      </c>
      <c r="C1064" s="7">
        <v>46091.235798611109</v>
      </c>
      <c r="D1064" s="8">
        <v>46091</v>
      </c>
      <c r="E1064" s="9">
        <v>0.23579861110920319</v>
      </c>
      <c r="F1064" s="10" t="s">
        <v>1261</v>
      </c>
      <c r="G1064" s="10" t="s">
        <v>21</v>
      </c>
      <c r="H1064" s="10" t="s">
        <v>813</v>
      </c>
      <c r="I1064" s="10" t="s">
        <v>23</v>
      </c>
      <c r="J1064" s="11">
        <v>1.1000000000000001</v>
      </c>
      <c r="K1064" s="12"/>
      <c r="L1064" s="12"/>
      <c r="M1064" s="12"/>
      <c r="N1064" s="12"/>
      <c r="O1064" s="12"/>
      <c r="P1064" s="12"/>
      <c r="Q1064" s="12"/>
      <c r="R1064" s="12"/>
      <c r="S1064" s="12"/>
    </row>
    <row r="1065" spans="1:19" ht="14.25" customHeight="1" x14ac:dyDescent="0.2">
      <c r="A1065" s="1" t="s">
        <v>24</v>
      </c>
      <c r="B1065" s="7">
        <v>46091.227569444447</v>
      </c>
      <c r="C1065" s="7">
        <v>46091.240370370368</v>
      </c>
      <c r="D1065" s="8">
        <v>46091</v>
      </c>
      <c r="E1065" s="9">
        <v>0.24037037036760012</v>
      </c>
      <c r="F1065" s="10" t="s">
        <v>1262</v>
      </c>
      <c r="G1065" s="10" t="s">
        <v>21</v>
      </c>
      <c r="H1065" s="10" t="s">
        <v>22</v>
      </c>
      <c r="I1065" s="10" t="s">
        <v>23</v>
      </c>
      <c r="J1065" s="11">
        <v>0.83</v>
      </c>
      <c r="K1065" s="12"/>
      <c r="L1065" s="12"/>
      <c r="M1065" s="12"/>
      <c r="N1065" s="12"/>
      <c r="O1065" s="12"/>
      <c r="P1065" s="12"/>
      <c r="Q1065" s="12"/>
      <c r="R1065" s="12"/>
      <c r="S1065" s="12"/>
    </row>
    <row r="1066" spans="1:19" ht="14.25" customHeight="1" x14ac:dyDescent="0.2">
      <c r="A1066" s="1" t="s">
        <v>24</v>
      </c>
      <c r="B1066" s="7">
        <v>46091.227569444447</v>
      </c>
      <c r="C1066" s="7">
        <v>46091.240555555552</v>
      </c>
      <c r="D1066" s="8">
        <v>46091</v>
      </c>
      <c r="E1066" s="9">
        <v>0.24055555555241881</v>
      </c>
      <c r="F1066" s="10" t="s">
        <v>1263</v>
      </c>
      <c r="G1066" s="10" t="s">
        <v>21</v>
      </c>
      <c r="H1066" s="10" t="s">
        <v>52</v>
      </c>
      <c r="I1066" s="10" t="s">
        <v>23</v>
      </c>
      <c r="J1066" s="11">
        <v>0.98</v>
      </c>
      <c r="K1066" s="12"/>
      <c r="L1066" s="12"/>
      <c r="M1066" s="12"/>
      <c r="N1066" s="12"/>
      <c r="O1066" s="12"/>
      <c r="P1066" s="12"/>
      <c r="Q1066" s="12"/>
      <c r="R1066" s="12"/>
      <c r="S1066" s="12"/>
    </row>
    <row r="1067" spans="1:19" ht="14.25" customHeight="1" x14ac:dyDescent="0.2">
      <c r="A1067" s="1" t="s">
        <v>95</v>
      </c>
      <c r="B1067" s="7">
        <v>46091.238310185188</v>
      </c>
      <c r="C1067" s="7">
        <v>46091.246828703705</v>
      </c>
      <c r="D1067" s="8">
        <v>46091</v>
      </c>
      <c r="E1067" s="9">
        <v>0.24682870370452292</v>
      </c>
      <c r="F1067" s="10" t="s">
        <v>1264</v>
      </c>
      <c r="G1067" s="10" t="s">
        <v>21</v>
      </c>
      <c r="H1067" s="10" t="s">
        <v>435</v>
      </c>
      <c r="I1067" s="10" t="s">
        <v>23</v>
      </c>
      <c r="J1067" s="11">
        <v>1.1299999999999999</v>
      </c>
      <c r="K1067" s="12"/>
      <c r="L1067" s="12"/>
      <c r="M1067" s="12"/>
      <c r="N1067" s="12"/>
      <c r="O1067" s="12"/>
      <c r="P1067" s="12"/>
      <c r="Q1067" s="12"/>
      <c r="R1067" s="12"/>
      <c r="S1067" s="12"/>
    </row>
    <row r="1068" spans="1:19" ht="14.25" customHeight="1" x14ac:dyDescent="0.2">
      <c r="A1068" s="1" t="s">
        <v>57</v>
      </c>
      <c r="B1068" s="19">
        <v>46091.851458333331</v>
      </c>
      <c r="C1068" s="19">
        <v>46091.883206018516</v>
      </c>
      <c r="D1068" s="20">
        <v>46091</v>
      </c>
      <c r="E1068" s="21">
        <v>0.88320601851592073</v>
      </c>
      <c r="F1068" s="1" t="s">
        <v>1265</v>
      </c>
      <c r="G1068" s="1" t="s">
        <v>21</v>
      </c>
      <c r="H1068" s="1" t="s">
        <v>303</v>
      </c>
      <c r="I1068" s="1" t="s">
        <v>166</v>
      </c>
      <c r="J1068" s="12">
        <v>1.77</v>
      </c>
      <c r="K1068" s="12">
        <f>SUM(J1068,J1074,J1077,J1082,J1087,J1088,J1093,J1099,J1102,J1112,J1116,J1123,J1133,J1134,J1137,J1139,J1145,J1148,J1149,J1150,J1152,J1157,J1165,J1168,J1174,J1179,J1184,J1186,J1187,J1189)</f>
        <v>35.039999999999992</v>
      </c>
      <c r="L1068" s="12">
        <f>SUM(J1068:J1083)</f>
        <v>16.420000000000002</v>
      </c>
      <c r="M1068" s="13">
        <f>L1068*65</f>
        <v>1067.3000000000002</v>
      </c>
      <c r="N1068" s="14">
        <f>MAX(500,M1068)</f>
        <v>1067.3000000000002</v>
      </c>
      <c r="O1068" s="12"/>
      <c r="P1068" s="12"/>
      <c r="Q1068" s="12"/>
      <c r="R1068" s="12"/>
      <c r="S1068" s="12"/>
    </row>
    <row r="1069" spans="1:19" ht="14.25" customHeight="1" x14ac:dyDescent="0.2">
      <c r="A1069" s="1" t="s">
        <v>42</v>
      </c>
      <c r="B1069" s="7">
        <v>46091.837430555555</v>
      </c>
      <c r="C1069" s="7">
        <v>46091.88790509259</v>
      </c>
      <c r="D1069" s="8">
        <v>46091</v>
      </c>
      <c r="E1069" s="9">
        <v>0.88790509258979</v>
      </c>
      <c r="F1069" s="10" t="s">
        <v>1266</v>
      </c>
      <c r="G1069" s="10" t="s">
        <v>26</v>
      </c>
      <c r="H1069" s="10" t="s">
        <v>78</v>
      </c>
      <c r="I1069" s="10" t="s">
        <v>23</v>
      </c>
      <c r="J1069" s="11">
        <v>0.56999999999999995</v>
      </c>
      <c r="K1069" s="11">
        <f>SUM(J1069,J1070,J1071,J1072,J1073,J1075,J1076,J1078,J1079,J1080,J1081,J1083,J1084,J1085,J1086,J1089,J1090,J1091,J1092,J1094,J1095,J1096,J1097,J1098,J1100,J1101,J1103,J1104,J1105,J1106,J1107,J1108,J1109,J1110,J1111,J1113,J1114,J1115,J1117,J1118,J1119,J1120,J1121,J1122,J1124,J1125,J1127,J1126,J1128,J1129,J1130,J1131,J1132,J1135,J1136,J1138,J1140,J1141,J1142,J1143,J1144,J1146,J1147,J1151,J1153,J1154,J1155,J1156,J1158,J1159,J1160,J1161,J1162,J1163,J1164,J1166,J1167,J1169,J1170,J1171,J1172,J1173,J1175,J1176,J1177,J1178,J1180,J1181,J1182,J1183,J1185,J1188)</f>
        <v>113.82999999999997</v>
      </c>
      <c r="L1069" s="12"/>
      <c r="M1069" s="12"/>
      <c r="N1069" s="12"/>
      <c r="O1069" s="12"/>
      <c r="P1069" s="12"/>
      <c r="Q1069" s="12"/>
      <c r="R1069" s="12"/>
      <c r="S1069" s="12"/>
    </row>
    <row r="1070" spans="1:19" ht="14.25" customHeight="1" x14ac:dyDescent="0.2">
      <c r="A1070" s="1" t="s">
        <v>19</v>
      </c>
      <c r="B1070" s="7">
        <v>46091.864606481482</v>
      </c>
      <c r="C1070" s="7">
        <v>46091.888506944444</v>
      </c>
      <c r="D1070" s="8">
        <v>46091</v>
      </c>
      <c r="E1070" s="9">
        <v>0.88850694444408873</v>
      </c>
      <c r="F1070" s="10" t="s">
        <v>1267</v>
      </c>
      <c r="G1070" s="10" t="s">
        <v>21</v>
      </c>
      <c r="H1070" s="10" t="s">
        <v>620</v>
      </c>
      <c r="I1070" s="10" t="s">
        <v>23</v>
      </c>
      <c r="J1070" s="11">
        <v>1.06</v>
      </c>
      <c r="K1070" s="12"/>
      <c r="L1070" s="12"/>
      <c r="M1070" s="12"/>
      <c r="N1070" s="12"/>
      <c r="O1070" s="12"/>
      <c r="P1070" s="12"/>
      <c r="Q1070" s="12"/>
      <c r="R1070" s="12"/>
      <c r="S1070" s="12"/>
    </row>
    <row r="1071" spans="1:19" ht="14.25" customHeight="1" x14ac:dyDescent="0.2">
      <c r="A1071" s="1" t="s">
        <v>19</v>
      </c>
      <c r="B1071" s="7">
        <v>46091.867256944446</v>
      </c>
      <c r="C1071" s="7">
        <v>46091.889930555553</v>
      </c>
      <c r="D1071" s="8">
        <v>46091</v>
      </c>
      <c r="E1071" s="9">
        <v>0.88993055555329192</v>
      </c>
      <c r="F1071" s="10" t="s">
        <v>1268</v>
      </c>
      <c r="G1071" s="10" t="s">
        <v>21</v>
      </c>
      <c r="H1071" s="10" t="s">
        <v>216</v>
      </c>
      <c r="I1071" s="10" t="s">
        <v>23</v>
      </c>
      <c r="J1071" s="11">
        <v>0.98</v>
      </c>
      <c r="K1071" s="12"/>
      <c r="L1071" s="12"/>
      <c r="M1071" s="12"/>
      <c r="N1071" s="12"/>
      <c r="O1071" s="12"/>
      <c r="P1071" s="12"/>
      <c r="Q1071" s="12"/>
      <c r="R1071" s="12"/>
      <c r="S1071" s="12"/>
    </row>
    <row r="1072" spans="1:19" ht="14.25" customHeight="1" x14ac:dyDescent="0.2">
      <c r="A1072" s="1" t="s">
        <v>19</v>
      </c>
      <c r="B1072" s="7">
        <v>46091.860706018517</v>
      </c>
      <c r="C1072" s="7">
        <v>46091.89130787037</v>
      </c>
      <c r="D1072" s="8">
        <v>46091</v>
      </c>
      <c r="E1072" s="9">
        <v>0.89130787036992842</v>
      </c>
      <c r="F1072" s="10" t="s">
        <v>1269</v>
      </c>
      <c r="G1072" s="10" t="s">
        <v>21</v>
      </c>
      <c r="H1072" s="10" t="s">
        <v>598</v>
      </c>
      <c r="I1072" s="10" t="s">
        <v>23</v>
      </c>
      <c r="J1072" s="11">
        <v>0.98</v>
      </c>
      <c r="K1072" s="12"/>
      <c r="L1072" s="12"/>
      <c r="M1072" s="12"/>
      <c r="N1072" s="12"/>
      <c r="O1072" s="12"/>
      <c r="P1072" s="12"/>
      <c r="Q1072" s="12"/>
      <c r="R1072" s="12"/>
      <c r="S1072" s="12"/>
    </row>
    <row r="1073" spans="1:19" ht="14.25" customHeight="1" x14ac:dyDescent="0.2">
      <c r="A1073" s="1" t="s">
        <v>42</v>
      </c>
      <c r="B1073" s="7">
        <v>46091.850949074076</v>
      </c>
      <c r="C1073" s="7">
        <v>46091.892094907409</v>
      </c>
      <c r="D1073" s="8">
        <v>46091</v>
      </c>
      <c r="E1073" s="9">
        <v>0.89209490740904585</v>
      </c>
      <c r="F1073" s="10" t="s">
        <v>1270</v>
      </c>
      <c r="G1073" s="10" t="s">
        <v>26</v>
      </c>
      <c r="H1073" s="10" t="s">
        <v>76</v>
      </c>
      <c r="I1073" s="10" t="s">
        <v>23</v>
      </c>
      <c r="J1073" s="11">
        <v>0.75</v>
      </c>
      <c r="K1073" s="12"/>
      <c r="L1073" s="12"/>
      <c r="M1073" s="12"/>
      <c r="N1073" s="12"/>
      <c r="O1073" s="12"/>
      <c r="P1073" s="12"/>
      <c r="Q1073" s="12"/>
      <c r="R1073" s="12"/>
      <c r="S1073" s="12"/>
    </row>
    <row r="1074" spans="1:19" ht="14.25" customHeight="1" x14ac:dyDescent="0.2">
      <c r="A1074" s="1" t="s">
        <v>19</v>
      </c>
      <c r="B1074" s="19">
        <v>46091.853993055556</v>
      </c>
      <c r="C1074" s="19">
        <v>46091.892893518518</v>
      </c>
      <c r="D1074" s="20">
        <v>46091</v>
      </c>
      <c r="E1074" s="21">
        <v>0.89289351851766696</v>
      </c>
      <c r="F1074" s="1" t="s">
        <v>1271</v>
      </c>
      <c r="G1074" s="1" t="s">
        <v>21</v>
      </c>
      <c r="H1074" s="1" t="s">
        <v>22</v>
      </c>
      <c r="I1074" s="1" t="s">
        <v>166</v>
      </c>
      <c r="J1074" s="12">
        <v>0.83</v>
      </c>
      <c r="K1074" s="12"/>
      <c r="L1074" s="12"/>
      <c r="M1074" s="12"/>
      <c r="N1074" s="12"/>
      <c r="O1074" s="12"/>
      <c r="P1074" s="12"/>
      <c r="Q1074" s="12"/>
      <c r="R1074" s="12"/>
      <c r="S1074" s="12"/>
    </row>
    <row r="1075" spans="1:19" ht="14.25" customHeight="1" x14ac:dyDescent="0.2">
      <c r="A1075" s="1" t="s">
        <v>33</v>
      </c>
      <c r="B1075" s="7">
        <v>46091.879259259258</v>
      </c>
      <c r="C1075" s="7">
        <v>46091.892997685187</v>
      </c>
      <c r="D1075" s="8">
        <v>46091</v>
      </c>
      <c r="E1075" s="9">
        <v>0.89299768518685596</v>
      </c>
      <c r="F1075" s="10" t="s">
        <v>1272</v>
      </c>
      <c r="G1075" s="10" t="s">
        <v>44</v>
      </c>
      <c r="H1075" s="10" t="s">
        <v>185</v>
      </c>
      <c r="I1075" s="10" t="s">
        <v>23</v>
      </c>
      <c r="J1075" s="11">
        <v>0.18</v>
      </c>
      <c r="K1075" s="12"/>
      <c r="L1075" s="12"/>
      <c r="M1075" s="12"/>
      <c r="N1075" s="12"/>
      <c r="O1075" s="12"/>
      <c r="P1075" s="12"/>
      <c r="Q1075" s="12"/>
      <c r="R1075" s="12"/>
      <c r="S1075" s="12"/>
    </row>
    <row r="1076" spans="1:19" ht="14.25" customHeight="1" x14ac:dyDescent="0.2">
      <c r="A1076" s="1" t="s">
        <v>42</v>
      </c>
      <c r="B1076" s="7">
        <v>46091.872199074074</v>
      </c>
      <c r="C1076" s="7">
        <v>46091.900972222225</v>
      </c>
      <c r="D1076" s="8">
        <v>46091</v>
      </c>
      <c r="E1076" s="9">
        <v>0.90097222222539131</v>
      </c>
      <c r="F1076" s="10" t="s">
        <v>1273</v>
      </c>
      <c r="G1076" s="10" t="s">
        <v>26</v>
      </c>
      <c r="H1076" s="10" t="s">
        <v>157</v>
      </c>
      <c r="I1076" s="10" t="s">
        <v>23</v>
      </c>
      <c r="J1076" s="11">
        <v>0.73</v>
      </c>
      <c r="K1076" s="12"/>
      <c r="L1076" s="12"/>
      <c r="M1076" s="12"/>
      <c r="N1076" s="12"/>
      <c r="O1076" s="12"/>
      <c r="P1076" s="12"/>
      <c r="Q1076" s="12"/>
      <c r="R1076" s="12"/>
      <c r="S1076" s="12"/>
    </row>
    <row r="1077" spans="1:19" ht="14.25" customHeight="1" x14ac:dyDescent="0.2">
      <c r="A1077" s="1" t="s">
        <v>42</v>
      </c>
      <c r="B1077" s="19">
        <v>46091.857893518521</v>
      </c>
      <c r="C1077" s="19">
        <v>46091.901122685187</v>
      </c>
      <c r="D1077" s="20">
        <v>46091</v>
      </c>
      <c r="E1077" s="21">
        <v>0.901122685187147</v>
      </c>
      <c r="F1077" s="1" t="s">
        <v>1274</v>
      </c>
      <c r="G1077" s="1" t="s">
        <v>26</v>
      </c>
      <c r="H1077" s="1" t="s">
        <v>125</v>
      </c>
      <c r="I1077" s="1" t="s">
        <v>166</v>
      </c>
      <c r="J1077" s="12">
        <v>0.63</v>
      </c>
      <c r="K1077" s="12"/>
      <c r="L1077" s="12"/>
      <c r="M1077" s="12"/>
      <c r="N1077" s="12"/>
      <c r="O1077" s="12"/>
      <c r="P1077" s="12"/>
      <c r="Q1077" s="12"/>
      <c r="R1077" s="12"/>
      <c r="S1077" s="12"/>
    </row>
    <row r="1078" spans="1:19" ht="14.25" customHeight="1" x14ac:dyDescent="0.2">
      <c r="A1078" s="1" t="s">
        <v>42</v>
      </c>
      <c r="B1078" s="7">
        <v>46091.859849537039</v>
      </c>
      <c r="C1078" s="7">
        <v>46091.902245370373</v>
      </c>
      <c r="D1078" s="8">
        <v>46091</v>
      </c>
      <c r="E1078" s="9">
        <v>0.90224537037283881</v>
      </c>
      <c r="F1078" s="10" t="s">
        <v>1275</v>
      </c>
      <c r="G1078" s="10" t="s">
        <v>21</v>
      </c>
      <c r="H1078" s="10" t="s">
        <v>108</v>
      </c>
      <c r="I1078" s="10" t="s">
        <v>23</v>
      </c>
      <c r="J1078" s="11">
        <v>1.7</v>
      </c>
      <c r="K1078" s="12"/>
      <c r="L1078" s="12"/>
      <c r="M1078" s="12"/>
      <c r="N1078" s="12"/>
      <c r="O1078" s="12"/>
      <c r="P1078" s="12"/>
      <c r="Q1078" s="12"/>
      <c r="R1078" s="12"/>
      <c r="S1078" s="12"/>
    </row>
    <row r="1079" spans="1:19" ht="14.25" customHeight="1" x14ac:dyDescent="0.2">
      <c r="A1079" s="1" t="s">
        <v>19</v>
      </c>
      <c r="B1079" s="7">
        <v>46091.858726851853</v>
      </c>
      <c r="C1079" s="7">
        <v>46091.902465277781</v>
      </c>
      <c r="D1079" s="8">
        <v>46091</v>
      </c>
      <c r="E1079" s="9">
        <v>0.9024652777807205</v>
      </c>
      <c r="F1079" s="10" t="s">
        <v>1276</v>
      </c>
      <c r="G1079" s="10" t="s">
        <v>21</v>
      </c>
      <c r="H1079" s="10" t="s">
        <v>52</v>
      </c>
      <c r="I1079" s="10" t="s">
        <v>23</v>
      </c>
      <c r="J1079" s="11">
        <v>0.98</v>
      </c>
      <c r="K1079" s="12"/>
      <c r="L1079" s="12"/>
      <c r="M1079" s="12"/>
      <c r="N1079" s="12"/>
      <c r="O1079" s="12"/>
      <c r="P1079" s="12"/>
      <c r="Q1079" s="12"/>
      <c r="R1079" s="12"/>
      <c r="S1079" s="12"/>
    </row>
    <row r="1080" spans="1:19" ht="14.25" customHeight="1" x14ac:dyDescent="0.2">
      <c r="A1080" s="1" t="s">
        <v>24</v>
      </c>
      <c r="B1080" s="7">
        <v>46091.883344907408</v>
      </c>
      <c r="C1080" s="7">
        <v>46091.903414351851</v>
      </c>
      <c r="D1080" s="8">
        <v>46091</v>
      </c>
      <c r="E1080" s="9">
        <v>0.90341435185109731</v>
      </c>
      <c r="F1080" s="10" t="s">
        <v>1277</v>
      </c>
      <c r="G1080" s="10" t="s">
        <v>26</v>
      </c>
      <c r="H1080" s="10" t="s">
        <v>1019</v>
      </c>
      <c r="I1080" s="10" t="s">
        <v>23</v>
      </c>
      <c r="J1080" s="11">
        <v>0.67</v>
      </c>
      <c r="K1080" s="12"/>
      <c r="L1080" s="12"/>
      <c r="M1080" s="12"/>
      <c r="N1080" s="12"/>
      <c r="O1080" s="12"/>
      <c r="P1080" s="12"/>
      <c r="Q1080" s="12"/>
      <c r="R1080" s="12"/>
      <c r="S1080" s="12"/>
    </row>
    <row r="1081" spans="1:19" ht="14.25" customHeight="1" x14ac:dyDescent="0.2">
      <c r="A1081" s="1" t="s">
        <v>63</v>
      </c>
      <c r="B1081" s="7">
        <v>46091.890486111108</v>
      </c>
      <c r="C1081" s="7">
        <v>46091.907650462963</v>
      </c>
      <c r="D1081" s="8">
        <v>46091</v>
      </c>
      <c r="E1081" s="9">
        <v>0.90765046296291985</v>
      </c>
      <c r="F1081" s="10" t="s">
        <v>1278</v>
      </c>
      <c r="G1081" s="10" t="s">
        <v>21</v>
      </c>
      <c r="H1081" s="10" t="s">
        <v>1279</v>
      </c>
      <c r="I1081" s="10" t="s">
        <v>23</v>
      </c>
      <c r="J1081" s="11">
        <v>1.05</v>
      </c>
      <c r="K1081" s="12"/>
      <c r="L1081" s="12"/>
      <c r="M1081" s="12"/>
      <c r="N1081" s="12"/>
      <c r="O1081" s="12"/>
      <c r="P1081" s="12"/>
      <c r="Q1081" s="12"/>
      <c r="R1081" s="12"/>
      <c r="S1081" s="12"/>
    </row>
    <row r="1082" spans="1:19" ht="14.25" customHeight="1" x14ac:dyDescent="0.2">
      <c r="A1082" s="1" t="s">
        <v>24</v>
      </c>
      <c r="B1082" s="19">
        <v>46091.854953703703</v>
      </c>
      <c r="C1082" s="19">
        <v>46091.908750000002</v>
      </c>
      <c r="D1082" s="20">
        <v>46091</v>
      </c>
      <c r="E1082" s="21">
        <v>0.90875000000232831</v>
      </c>
      <c r="F1082" s="1" t="s">
        <v>1280</v>
      </c>
      <c r="G1082" s="1" t="s">
        <v>21</v>
      </c>
      <c r="H1082" s="1" t="s">
        <v>39</v>
      </c>
      <c r="I1082" s="1" t="s">
        <v>166</v>
      </c>
      <c r="J1082" s="12">
        <v>1.77</v>
      </c>
      <c r="K1082" s="12"/>
      <c r="L1082" s="12"/>
      <c r="M1082" s="12"/>
      <c r="N1082" s="12"/>
      <c r="O1082" s="12"/>
      <c r="P1082" s="12"/>
      <c r="Q1082" s="12"/>
      <c r="R1082" s="12"/>
      <c r="S1082" s="12"/>
    </row>
    <row r="1083" spans="1:19" ht="14.25" customHeight="1" x14ac:dyDescent="0.2">
      <c r="A1083" s="1" t="s">
        <v>24</v>
      </c>
      <c r="B1083" s="7">
        <v>46091.883611111109</v>
      </c>
      <c r="C1083" s="7">
        <v>46091.909583333334</v>
      </c>
      <c r="D1083" s="8">
        <v>46091</v>
      </c>
      <c r="E1083" s="9">
        <v>0.90958333333401242</v>
      </c>
      <c r="F1083" s="10" t="s">
        <v>1281</v>
      </c>
      <c r="G1083" s="10" t="s">
        <v>21</v>
      </c>
      <c r="H1083" s="10" t="s">
        <v>39</v>
      </c>
      <c r="I1083" s="10" t="s">
        <v>23</v>
      </c>
      <c r="J1083" s="11">
        <v>1.77</v>
      </c>
      <c r="K1083" s="12"/>
      <c r="L1083" s="12"/>
      <c r="M1083" s="12"/>
      <c r="N1083" s="12"/>
      <c r="O1083" s="12"/>
      <c r="P1083" s="12"/>
      <c r="Q1083" s="12"/>
      <c r="R1083" s="12"/>
      <c r="S1083" s="12"/>
    </row>
    <row r="1084" spans="1:19" ht="14.25" customHeight="1" x14ac:dyDescent="0.2">
      <c r="A1084" s="1" t="s">
        <v>19</v>
      </c>
      <c r="B1084" s="7">
        <v>46091.857002314813</v>
      </c>
      <c r="C1084" s="7">
        <v>46091.91851851852</v>
      </c>
      <c r="D1084" s="8">
        <v>46091</v>
      </c>
      <c r="E1084" s="9">
        <v>0.91851851851970423</v>
      </c>
      <c r="F1084" s="10" t="s">
        <v>1282</v>
      </c>
      <c r="G1084" s="10" t="s">
        <v>21</v>
      </c>
      <c r="H1084" s="10" t="s">
        <v>142</v>
      </c>
      <c r="I1084" s="10" t="s">
        <v>23</v>
      </c>
      <c r="J1084" s="11">
        <v>0.83</v>
      </c>
      <c r="K1084" s="12"/>
      <c r="L1084" s="12">
        <f>SUM(J1084:J1112)</f>
        <v>43.650000000000006</v>
      </c>
      <c r="M1084" s="13">
        <f>L1084*65</f>
        <v>2837.2500000000005</v>
      </c>
      <c r="N1084" s="14">
        <f>MAX(500,M1084)</f>
        <v>2837.2500000000005</v>
      </c>
      <c r="O1084" s="12"/>
      <c r="P1084" s="12"/>
      <c r="Q1084" s="12"/>
      <c r="R1084" s="12"/>
      <c r="S1084" s="12"/>
    </row>
    <row r="1085" spans="1:19" ht="14.25" customHeight="1" x14ac:dyDescent="0.2">
      <c r="A1085" s="1" t="s">
        <v>24</v>
      </c>
      <c r="B1085" s="7">
        <v>46091.903136574074</v>
      </c>
      <c r="C1085" s="7">
        <v>46091.918877314813</v>
      </c>
      <c r="D1085" s="8">
        <v>46091</v>
      </c>
      <c r="E1085" s="9">
        <v>0.91887731481256196</v>
      </c>
      <c r="F1085" s="10" t="s">
        <v>1283</v>
      </c>
      <c r="G1085" s="10" t="s">
        <v>26</v>
      </c>
      <c r="H1085" s="10" t="s">
        <v>80</v>
      </c>
      <c r="I1085" s="10" t="s">
        <v>23</v>
      </c>
      <c r="J1085" s="11">
        <v>0.56999999999999995</v>
      </c>
      <c r="K1085" s="12"/>
      <c r="L1085" s="12"/>
      <c r="M1085" s="12"/>
      <c r="N1085" s="12"/>
      <c r="O1085" s="12"/>
      <c r="P1085" s="12"/>
      <c r="Q1085" s="12"/>
      <c r="R1085" s="12"/>
      <c r="S1085" s="12"/>
    </row>
    <row r="1086" spans="1:19" ht="14.25" customHeight="1" x14ac:dyDescent="0.2">
      <c r="A1086" s="1" t="s">
        <v>19</v>
      </c>
      <c r="B1086" s="7">
        <v>46091.899988425925</v>
      </c>
      <c r="C1086" s="7">
        <v>46091.919085648151</v>
      </c>
      <c r="D1086" s="8">
        <v>46091</v>
      </c>
      <c r="E1086" s="9">
        <v>0.91908564815093996</v>
      </c>
      <c r="F1086" s="10" t="s">
        <v>1284</v>
      </c>
      <c r="G1086" s="10" t="s">
        <v>21</v>
      </c>
      <c r="H1086" s="10" t="s">
        <v>54</v>
      </c>
      <c r="I1086" s="10" t="s">
        <v>23</v>
      </c>
      <c r="J1086" s="11">
        <v>0.83</v>
      </c>
      <c r="K1086" s="12"/>
      <c r="L1086" s="12"/>
      <c r="M1086" s="12"/>
      <c r="N1086" s="12"/>
      <c r="O1086" s="12"/>
      <c r="P1086" s="12"/>
      <c r="Q1086" s="12"/>
      <c r="R1086" s="12"/>
      <c r="S1086" s="12"/>
    </row>
    <row r="1087" spans="1:19" ht="14.25" customHeight="1" x14ac:dyDescent="0.2">
      <c r="A1087" s="1" t="s">
        <v>24</v>
      </c>
      <c r="B1087" s="19">
        <v>46091.895798611113</v>
      </c>
      <c r="C1087" s="19">
        <v>46091.924155092594</v>
      </c>
      <c r="D1087" s="20">
        <v>46091</v>
      </c>
      <c r="E1087" s="21">
        <v>0.92415509259444661</v>
      </c>
      <c r="F1087" s="1" t="s">
        <v>1285</v>
      </c>
      <c r="G1087" s="1" t="s">
        <v>21</v>
      </c>
      <c r="H1087" s="1" t="s">
        <v>39</v>
      </c>
      <c r="I1087" s="1" t="s">
        <v>166</v>
      </c>
      <c r="J1087" s="12">
        <v>1.77</v>
      </c>
      <c r="K1087" s="12"/>
      <c r="L1087" s="12"/>
      <c r="M1087" s="12"/>
      <c r="N1087" s="12"/>
      <c r="O1087" s="12"/>
      <c r="P1087" s="12"/>
      <c r="Q1087" s="12"/>
      <c r="R1087" s="12"/>
      <c r="S1087" s="12"/>
    </row>
    <row r="1088" spans="1:19" ht="14.25" customHeight="1" x14ac:dyDescent="0.2">
      <c r="A1088" s="1" t="s">
        <v>19</v>
      </c>
      <c r="B1088" s="19">
        <v>46091.900914351849</v>
      </c>
      <c r="C1088" s="19">
        <v>46091.924745370372</v>
      </c>
      <c r="D1088" s="20">
        <v>46091</v>
      </c>
      <c r="E1088" s="21">
        <v>0.92474537037196569</v>
      </c>
      <c r="F1088" s="1" t="s">
        <v>1286</v>
      </c>
      <c r="G1088" s="1" t="s">
        <v>26</v>
      </c>
      <c r="H1088" s="1" t="s">
        <v>315</v>
      </c>
      <c r="I1088" s="1" t="s">
        <v>166</v>
      </c>
      <c r="J1088" s="12">
        <v>0.88</v>
      </c>
      <c r="K1088" s="12"/>
      <c r="L1088" s="12"/>
      <c r="M1088" s="12"/>
      <c r="N1088" s="12"/>
      <c r="O1088" s="12"/>
      <c r="P1088" s="12"/>
      <c r="Q1088" s="12"/>
      <c r="R1088" s="12"/>
      <c r="S1088" s="12"/>
    </row>
    <row r="1089" spans="1:19" ht="14.25" customHeight="1" x14ac:dyDescent="0.2">
      <c r="A1089" s="1" t="s">
        <v>42</v>
      </c>
      <c r="B1089" s="7">
        <v>46091.902268518519</v>
      </c>
      <c r="C1089" s="7">
        <v>46091.925046296295</v>
      </c>
      <c r="D1089" s="8">
        <v>46091</v>
      </c>
      <c r="E1089" s="9">
        <v>0.92504629629547708</v>
      </c>
      <c r="F1089" s="10" t="s">
        <v>1287</v>
      </c>
      <c r="G1089" s="10" t="s">
        <v>26</v>
      </c>
      <c r="H1089" s="10" t="s">
        <v>56</v>
      </c>
      <c r="I1089" s="10" t="s">
        <v>23</v>
      </c>
      <c r="J1089" s="11">
        <v>0.73</v>
      </c>
      <c r="K1089" s="12"/>
      <c r="L1089" s="12"/>
      <c r="M1089" s="12"/>
      <c r="N1089" s="12"/>
      <c r="O1089" s="12"/>
      <c r="P1089" s="12"/>
      <c r="Q1089" s="12"/>
      <c r="R1089" s="12"/>
      <c r="S1089" s="12"/>
    </row>
    <row r="1090" spans="1:19" ht="14.25" customHeight="1" x14ac:dyDescent="0.2">
      <c r="A1090" s="1" t="s">
        <v>33</v>
      </c>
      <c r="B1090" s="7">
        <v>46091.914502314816</v>
      </c>
      <c r="C1090" s="7">
        <v>46091.930277777778</v>
      </c>
      <c r="D1090" s="8">
        <v>46091</v>
      </c>
      <c r="E1090" s="9">
        <v>0.93027777777751908</v>
      </c>
      <c r="F1090" s="10" t="s">
        <v>1288</v>
      </c>
      <c r="G1090" s="10" t="s">
        <v>21</v>
      </c>
      <c r="H1090" s="10" t="s">
        <v>101</v>
      </c>
      <c r="I1090" s="10" t="s">
        <v>23</v>
      </c>
      <c r="J1090" s="11">
        <v>1.7</v>
      </c>
      <c r="K1090" s="12"/>
      <c r="L1090" s="12"/>
      <c r="M1090" s="12"/>
      <c r="N1090" s="12"/>
      <c r="O1090" s="12"/>
      <c r="P1090" s="12"/>
      <c r="Q1090" s="12"/>
      <c r="R1090" s="12"/>
      <c r="S1090" s="12"/>
    </row>
    <row r="1091" spans="1:19" ht="14.25" customHeight="1" x14ac:dyDescent="0.2">
      <c r="A1091" s="1" t="s">
        <v>33</v>
      </c>
      <c r="B1091" s="7">
        <v>46091.914502314816</v>
      </c>
      <c r="C1091" s="7">
        <v>46091.930543981478</v>
      </c>
      <c r="D1091" s="8">
        <v>46091</v>
      </c>
      <c r="E1091" s="9">
        <v>0.93054398147796746</v>
      </c>
      <c r="F1091" s="10" t="s">
        <v>1289</v>
      </c>
      <c r="G1091" s="10" t="s">
        <v>21</v>
      </c>
      <c r="H1091" s="10" t="s">
        <v>216</v>
      </c>
      <c r="I1091" s="10" t="s">
        <v>23</v>
      </c>
      <c r="J1091" s="11">
        <v>0.98</v>
      </c>
      <c r="K1091" s="12"/>
      <c r="L1091" s="12"/>
      <c r="M1091" s="12"/>
      <c r="N1091" s="12"/>
      <c r="O1091" s="12"/>
      <c r="P1091" s="12"/>
      <c r="Q1091" s="12"/>
      <c r="R1091" s="12"/>
      <c r="S1091" s="12"/>
    </row>
    <row r="1092" spans="1:19" ht="14.25" customHeight="1" x14ac:dyDescent="0.2">
      <c r="A1092" s="1" t="s">
        <v>42</v>
      </c>
      <c r="B1092" s="7">
        <v>46091.902743055558</v>
      </c>
      <c r="C1092" s="7">
        <v>46091.931469907409</v>
      </c>
      <c r="D1092" s="8">
        <v>46091</v>
      </c>
      <c r="E1092" s="9">
        <v>0.93146990740933688</v>
      </c>
      <c r="F1092" s="10" t="s">
        <v>1290</v>
      </c>
      <c r="G1092" s="10" t="s">
        <v>26</v>
      </c>
      <c r="H1092" s="10" t="s">
        <v>56</v>
      </c>
      <c r="I1092" s="10" t="s">
        <v>23</v>
      </c>
      <c r="J1092" s="11">
        <v>0.73</v>
      </c>
      <c r="K1092" s="12"/>
      <c r="L1092" s="12"/>
      <c r="M1092" s="12"/>
      <c r="N1092" s="12"/>
      <c r="O1092" s="12"/>
      <c r="P1092" s="12"/>
      <c r="Q1092" s="12"/>
      <c r="R1092" s="12"/>
      <c r="S1092" s="12"/>
    </row>
    <row r="1093" spans="1:19" ht="14.25" customHeight="1" x14ac:dyDescent="0.2">
      <c r="A1093" s="1" t="s">
        <v>28</v>
      </c>
      <c r="B1093" s="19">
        <v>46091.912916666668</v>
      </c>
      <c r="C1093" s="19">
        <v>46091.93310185185</v>
      </c>
      <c r="D1093" s="20">
        <v>46091</v>
      </c>
      <c r="E1093" s="21">
        <v>0.93310185184964212</v>
      </c>
      <c r="F1093" s="1" t="s">
        <v>1291</v>
      </c>
      <c r="G1093" s="1" t="s">
        <v>21</v>
      </c>
      <c r="H1093" s="1" t="s">
        <v>41</v>
      </c>
      <c r="I1093" s="1" t="s">
        <v>166</v>
      </c>
      <c r="J1093" s="12">
        <v>1.77</v>
      </c>
      <c r="K1093" s="12"/>
      <c r="L1093" s="12"/>
      <c r="M1093" s="12"/>
      <c r="N1093" s="12"/>
      <c r="O1093" s="12"/>
      <c r="P1093" s="12"/>
      <c r="Q1093" s="12"/>
      <c r="R1093" s="12"/>
      <c r="S1093" s="12"/>
    </row>
    <row r="1094" spans="1:19" ht="14.25" customHeight="1" x14ac:dyDescent="0.2">
      <c r="A1094" s="1" t="s">
        <v>19</v>
      </c>
      <c r="B1094" s="7">
        <v>46091.903275462966</v>
      </c>
      <c r="C1094" s="7">
        <v>46091.936655092592</v>
      </c>
      <c r="D1094" s="8">
        <v>46091</v>
      </c>
      <c r="E1094" s="9">
        <v>0.93665509259153623</v>
      </c>
      <c r="F1094" s="10" t="s">
        <v>1292</v>
      </c>
      <c r="G1094" s="10" t="s">
        <v>21</v>
      </c>
      <c r="H1094" s="10" t="s">
        <v>281</v>
      </c>
      <c r="I1094" s="10" t="s">
        <v>23</v>
      </c>
      <c r="J1094" s="11">
        <v>2.5</v>
      </c>
      <c r="K1094" s="12"/>
      <c r="L1094" s="12"/>
      <c r="M1094" s="12"/>
      <c r="N1094" s="12"/>
      <c r="O1094" s="12"/>
      <c r="P1094" s="12"/>
      <c r="Q1094" s="12"/>
      <c r="R1094" s="12"/>
      <c r="S1094" s="12"/>
    </row>
    <row r="1095" spans="1:19" ht="14.25" customHeight="1" x14ac:dyDescent="0.2">
      <c r="A1095" s="1" t="s">
        <v>19</v>
      </c>
      <c r="B1095" s="7">
        <v>46091.926712962966</v>
      </c>
      <c r="C1095" s="7">
        <v>46091.936909722222</v>
      </c>
      <c r="D1095" s="8">
        <v>46091</v>
      </c>
      <c r="E1095" s="9">
        <v>0.93690972222248092</v>
      </c>
      <c r="F1095" s="10" t="s">
        <v>1293</v>
      </c>
      <c r="G1095" s="10" t="s">
        <v>21</v>
      </c>
      <c r="H1095" s="10" t="s">
        <v>54</v>
      </c>
      <c r="I1095" s="10" t="s">
        <v>23</v>
      </c>
      <c r="J1095" s="11">
        <v>0.83</v>
      </c>
      <c r="K1095" s="12"/>
      <c r="L1095" s="12"/>
      <c r="M1095" s="12"/>
      <c r="N1095" s="12"/>
      <c r="O1095" s="12"/>
      <c r="P1095" s="12"/>
      <c r="Q1095" s="12"/>
      <c r="R1095" s="12"/>
      <c r="S1095" s="12"/>
    </row>
    <row r="1096" spans="1:19" ht="14.25" customHeight="1" x14ac:dyDescent="0.2">
      <c r="A1096" s="1" t="s">
        <v>57</v>
      </c>
      <c r="B1096" s="7">
        <v>46091.90966435185</v>
      </c>
      <c r="C1096" s="7">
        <v>46091.937210648146</v>
      </c>
      <c r="D1096" s="8">
        <v>46091</v>
      </c>
      <c r="E1096" s="9">
        <v>0.93721064814599231</v>
      </c>
      <c r="F1096" s="10" t="s">
        <v>1294</v>
      </c>
      <c r="G1096" s="10" t="s">
        <v>21</v>
      </c>
      <c r="H1096" s="10" t="s">
        <v>712</v>
      </c>
      <c r="I1096" s="10" t="s">
        <v>23</v>
      </c>
      <c r="J1096" s="11">
        <v>1.77</v>
      </c>
      <c r="K1096" s="12"/>
      <c r="L1096" s="12"/>
      <c r="M1096" s="12"/>
      <c r="N1096" s="12"/>
      <c r="O1096" s="12"/>
      <c r="P1096" s="12"/>
      <c r="Q1096" s="12"/>
      <c r="R1096" s="12"/>
      <c r="S1096" s="12"/>
    </row>
    <row r="1097" spans="1:19" ht="14.25" customHeight="1" x14ac:dyDescent="0.2">
      <c r="A1097" s="1" t="s">
        <v>57</v>
      </c>
      <c r="B1097" s="7">
        <v>46091.90966435185</v>
      </c>
      <c r="C1097" s="7">
        <v>46091.937581018516</v>
      </c>
      <c r="D1097" s="8">
        <v>46091</v>
      </c>
      <c r="E1097" s="9">
        <v>0.93758101851562969</v>
      </c>
      <c r="F1097" s="10" t="s">
        <v>1295</v>
      </c>
      <c r="G1097" s="10" t="s">
        <v>21</v>
      </c>
      <c r="H1097" s="10" t="s">
        <v>303</v>
      </c>
      <c r="I1097" s="10" t="s">
        <v>23</v>
      </c>
      <c r="J1097" s="11">
        <v>1.77</v>
      </c>
      <c r="K1097" s="12"/>
      <c r="L1097" s="12"/>
      <c r="M1097" s="12"/>
      <c r="N1097" s="12"/>
      <c r="O1097" s="12"/>
      <c r="P1097" s="12"/>
      <c r="Q1097" s="12"/>
      <c r="R1097" s="12"/>
      <c r="S1097" s="12"/>
    </row>
    <row r="1098" spans="1:19" ht="14.25" customHeight="1" x14ac:dyDescent="0.2">
      <c r="A1098" s="1" t="s">
        <v>24</v>
      </c>
      <c r="B1098" s="7">
        <v>46091.91615740741</v>
      </c>
      <c r="C1098" s="7">
        <v>46091.937800925924</v>
      </c>
      <c r="D1098" s="8">
        <v>46091</v>
      </c>
      <c r="E1098" s="9">
        <v>0.93780092592351139</v>
      </c>
      <c r="F1098" s="10" t="s">
        <v>1296</v>
      </c>
      <c r="G1098" s="10" t="s">
        <v>44</v>
      </c>
      <c r="H1098" s="10" t="s">
        <v>185</v>
      </c>
      <c r="I1098" s="10" t="s">
        <v>23</v>
      </c>
      <c r="J1098" s="11">
        <v>0.18</v>
      </c>
      <c r="K1098" s="12"/>
      <c r="L1098" s="12"/>
      <c r="M1098" s="12"/>
      <c r="N1098" s="12"/>
      <c r="O1098" s="12"/>
      <c r="P1098" s="12"/>
      <c r="Q1098" s="12"/>
      <c r="R1098" s="12"/>
      <c r="S1098" s="12"/>
    </row>
    <row r="1099" spans="1:19" ht="14.25" customHeight="1" x14ac:dyDescent="0.2">
      <c r="A1099" s="1" t="s">
        <v>57</v>
      </c>
      <c r="B1099" s="19">
        <v>46091.88753472222</v>
      </c>
      <c r="C1099" s="19">
        <v>46091.940520833334</v>
      </c>
      <c r="D1099" s="20">
        <v>46091</v>
      </c>
      <c r="E1099" s="21">
        <v>0.94052083333372138</v>
      </c>
      <c r="F1099" s="1" t="s">
        <v>1297</v>
      </c>
      <c r="G1099" s="1" t="s">
        <v>21</v>
      </c>
      <c r="H1099" s="1" t="s">
        <v>303</v>
      </c>
      <c r="I1099" s="1" t="s">
        <v>166</v>
      </c>
      <c r="J1099" s="12">
        <v>1.77</v>
      </c>
      <c r="K1099" s="12"/>
      <c r="L1099" s="12"/>
      <c r="M1099" s="12"/>
      <c r="N1099" s="12"/>
      <c r="O1099" s="12"/>
      <c r="P1099" s="12"/>
      <c r="Q1099" s="12"/>
      <c r="R1099" s="12"/>
      <c r="S1099" s="12"/>
    </row>
    <row r="1100" spans="1:19" ht="14.25" customHeight="1" x14ac:dyDescent="0.2">
      <c r="A1100" s="1" t="s">
        <v>33</v>
      </c>
      <c r="B1100" s="7">
        <v>46091.928483796299</v>
      </c>
      <c r="C1100" s="7">
        <v>46091.943055555559</v>
      </c>
      <c r="D1100" s="8">
        <v>46091</v>
      </c>
      <c r="E1100" s="9">
        <v>0.94305555555911269</v>
      </c>
      <c r="F1100" s="10" t="s">
        <v>1298</v>
      </c>
      <c r="G1100" s="10" t="s">
        <v>21</v>
      </c>
      <c r="H1100" s="10" t="s">
        <v>41</v>
      </c>
      <c r="I1100" s="10" t="s">
        <v>23</v>
      </c>
      <c r="J1100" s="11">
        <v>1.77</v>
      </c>
      <c r="K1100" s="12"/>
      <c r="L1100" s="12"/>
      <c r="M1100" s="12"/>
      <c r="N1100" s="12"/>
      <c r="O1100" s="12"/>
      <c r="P1100" s="12"/>
      <c r="Q1100" s="12"/>
      <c r="R1100" s="12"/>
      <c r="S1100" s="12"/>
    </row>
    <row r="1101" spans="1:19" ht="14.25" customHeight="1" x14ac:dyDescent="0.2">
      <c r="A1101" s="1" t="s">
        <v>42</v>
      </c>
      <c r="B1101" s="7">
        <v>46091.934953703705</v>
      </c>
      <c r="C1101" s="7">
        <v>46091.943182870367</v>
      </c>
      <c r="D1101" s="8">
        <v>46091</v>
      </c>
      <c r="E1101" s="9">
        <v>0.94318287036730908</v>
      </c>
      <c r="F1101" s="10" t="s">
        <v>1299</v>
      </c>
      <c r="G1101" s="10" t="s">
        <v>44</v>
      </c>
      <c r="H1101" s="10" t="s">
        <v>48</v>
      </c>
      <c r="I1101" s="10" t="s">
        <v>23</v>
      </c>
      <c r="J1101" s="11">
        <v>0.21</v>
      </c>
      <c r="K1101" s="12"/>
      <c r="L1101" s="12"/>
      <c r="M1101" s="12"/>
      <c r="N1101" s="12"/>
      <c r="O1101" s="12"/>
      <c r="P1101" s="12"/>
      <c r="Q1101" s="12"/>
      <c r="R1101" s="12"/>
      <c r="S1101" s="12"/>
    </row>
    <row r="1102" spans="1:19" ht="14.25" customHeight="1" x14ac:dyDescent="0.2">
      <c r="A1102" s="1" t="s">
        <v>42</v>
      </c>
      <c r="B1102" s="19">
        <v>46091.917662037034</v>
      </c>
      <c r="C1102" s="19">
        <v>46091.94635416667</v>
      </c>
      <c r="D1102" s="20">
        <v>46091</v>
      </c>
      <c r="E1102" s="21">
        <v>0.94635416667006211</v>
      </c>
      <c r="F1102" s="1" t="s">
        <v>1300</v>
      </c>
      <c r="G1102" s="1" t="s">
        <v>26</v>
      </c>
      <c r="H1102" s="1" t="s">
        <v>157</v>
      </c>
      <c r="I1102" s="1" t="s">
        <v>166</v>
      </c>
      <c r="J1102" s="12">
        <v>0.73</v>
      </c>
      <c r="K1102" s="12"/>
      <c r="L1102" s="12"/>
      <c r="M1102" s="12"/>
      <c r="N1102" s="12"/>
      <c r="O1102" s="12"/>
      <c r="P1102" s="12"/>
      <c r="Q1102" s="12"/>
      <c r="R1102" s="12"/>
      <c r="S1102" s="12"/>
    </row>
    <row r="1103" spans="1:19" ht="14.25" customHeight="1" x14ac:dyDescent="0.2">
      <c r="A1103" s="1" t="s">
        <v>24</v>
      </c>
      <c r="B1103" s="7">
        <v>46091.931608796294</v>
      </c>
      <c r="C1103" s="7">
        <v>46091.947233796294</v>
      </c>
      <c r="D1103" s="8">
        <v>46091</v>
      </c>
      <c r="E1103" s="9">
        <v>0.94723379629431292</v>
      </c>
      <c r="F1103" s="10" t="s">
        <v>1301</v>
      </c>
      <c r="G1103" s="10" t="s">
        <v>26</v>
      </c>
      <c r="H1103" s="10" t="s">
        <v>37</v>
      </c>
      <c r="I1103" s="10" t="s">
        <v>23</v>
      </c>
      <c r="J1103" s="11">
        <v>0.88</v>
      </c>
      <c r="K1103" s="12"/>
      <c r="L1103" s="12"/>
      <c r="M1103" s="12"/>
      <c r="N1103" s="12"/>
      <c r="O1103" s="12"/>
      <c r="P1103" s="12"/>
      <c r="Q1103" s="12"/>
      <c r="R1103" s="12"/>
      <c r="S1103" s="12"/>
    </row>
    <row r="1104" spans="1:19" ht="14.25" customHeight="1" x14ac:dyDescent="0.2">
      <c r="A1104" s="1" t="s">
        <v>19</v>
      </c>
      <c r="B1104" s="7">
        <v>46091.826770833337</v>
      </c>
      <c r="C1104" s="7">
        <v>46091.948067129626</v>
      </c>
      <c r="D1104" s="8">
        <v>46091</v>
      </c>
      <c r="E1104" s="9">
        <v>0.94806712962599704</v>
      </c>
      <c r="F1104" s="10" t="s">
        <v>1302</v>
      </c>
      <c r="G1104" s="10" t="s">
        <v>21</v>
      </c>
      <c r="H1104" s="10" t="s">
        <v>399</v>
      </c>
      <c r="I1104" s="10" t="s">
        <v>23</v>
      </c>
      <c r="J1104" s="11">
        <v>3.92</v>
      </c>
      <c r="K1104" s="12"/>
      <c r="L1104" s="12"/>
      <c r="M1104" s="12"/>
      <c r="N1104" s="12"/>
      <c r="O1104" s="12"/>
      <c r="P1104" s="12"/>
      <c r="Q1104" s="12"/>
      <c r="R1104" s="12"/>
      <c r="S1104" s="12"/>
    </row>
    <row r="1105" spans="1:19" ht="14.25" customHeight="1" x14ac:dyDescent="0.2">
      <c r="A1105" s="1" t="s">
        <v>24</v>
      </c>
      <c r="B1105" s="7">
        <v>46091.929490740738</v>
      </c>
      <c r="C1105" s="7">
        <v>46091.951979166668</v>
      </c>
      <c r="D1105" s="8">
        <v>46091</v>
      </c>
      <c r="E1105" s="9">
        <v>0.95197916666802485</v>
      </c>
      <c r="F1105" s="10" t="s">
        <v>1303</v>
      </c>
      <c r="G1105" s="10" t="s">
        <v>21</v>
      </c>
      <c r="H1105" s="10" t="s">
        <v>399</v>
      </c>
      <c r="I1105" s="10" t="s">
        <v>23</v>
      </c>
      <c r="J1105" s="11">
        <v>3.92</v>
      </c>
      <c r="K1105" s="12"/>
      <c r="L1105" s="12"/>
      <c r="M1105" s="12"/>
      <c r="N1105" s="12"/>
      <c r="O1105" s="12"/>
      <c r="P1105" s="12"/>
      <c r="Q1105" s="12"/>
      <c r="R1105" s="12"/>
      <c r="S1105" s="12"/>
    </row>
    <row r="1106" spans="1:19" ht="14.25" customHeight="1" x14ac:dyDescent="0.2">
      <c r="A1106" s="1" t="s">
        <v>24</v>
      </c>
      <c r="B1106" s="7">
        <v>46091.911226851851</v>
      </c>
      <c r="C1106" s="7">
        <v>46091.952222222222</v>
      </c>
      <c r="D1106" s="8">
        <v>46091</v>
      </c>
      <c r="E1106" s="9">
        <v>0.95222222222218988</v>
      </c>
      <c r="F1106" s="10" t="s">
        <v>1304</v>
      </c>
      <c r="G1106" s="10" t="s">
        <v>21</v>
      </c>
      <c r="H1106" s="10" t="s">
        <v>52</v>
      </c>
      <c r="I1106" s="10" t="s">
        <v>23</v>
      </c>
      <c r="J1106" s="11">
        <v>0.98</v>
      </c>
      <c r="K1106" s="12"/>
      <c r="L1106" s="12"/>
      <c r="M1106" s="12"/>
      <c r="N1106" s="12"/>
      <c r="O1106" s="12"/>
      <c r="P1106" s="12"/>
      <c r="Q1106" s="12"/>
      <c r="R1106" s="12"/>
      <c r="S1106" s="12"/>
    </row>
    <row r="1107" spans="1:19" ht="14.25" customHeight="1" x14ac:dyDescent="0.2">
      <c r="A1107" s="1" t="s">
        <v>19</v>
      </c>
      <c r="B1107" s="7">
        <v>46091.926724537036</v>
      </c>
      <c r="C1107" s="7">
        <v>46091.952662037038</v>
      </c>
      <c r="D1107" s="8">
        <v>46091</v>
      </c>
      <c r="E1107" s="9">
        <v>0.95266203703795327</v>
      </c>
      <c r="F1107" s="10" t="s">
        <v>1305</v>
      </c>
      <c r="G1107" s="10" t="s">
        <v>21</v>
      </c>
      <c r="H1107" s="10" t="s">
        <v>61</v>
      </c>
      <c r="I1107" s="10" t="s">
        <v>23</v>
      </c>
      <c r="J1107" s="11">
        <v>2.5</v>
      </c>
      <c r="K1107" s="12"/>
      <c r="L1107" s="12"/>
      <c r="M1107" s="12"/>
      <c r="N1107" s="12"/>
      <c r="O1107" s="12"/>
      <c r="P1107" s="12"/>
      <c r="Q1107" s="12"/>
      <c r="R1107" s="12"/>
      <c r="S1107" s="12"/>
    </row>
    <row r="1108" spans="1:19" ht="14.25" customHeight="1" x14ac:dyDescent="0.2">
      <c r="A1108" s="1" t="s">
        <v>24</v>
      </c>
      <c r="B1108" s="7">
        <v>46091.911226851851</v>
      </c>
      <c r="C1108" s="7">
        <v>46091.953958333332</v>
      </c>
      <c r="D1108" s="8">
        <v>46091</v>
      </c>
      <c r="E1108" s="9">
        <v>0.95395833333168412</v>
      </c>
      <c r="F1108" s="10" t="s">
        <v>1306</v>
      </c>
      <c r="G1108" s="10" t="s">
        <v>21</v>
      </c>
      <c r="H1108" s="10" t="s">
        <v>409</v>
      </c>
      <c r="I1108" s="10" t="s">
        <v>23</v>
      </c>
      <c r="J1108" s="11">
        <v>2.9</v>
      </c>
      <c r="K1108" s="12"/>
      <c r="L1108" s="12"/>
      <c r="M1108" s="12"/>
      <c r="N1108" s="12"/>
      <c r="O1108" s="12"/>
      <c r="P1108" s="12"/>
      <c r="Q1108" s="12"/>
      <c r="R1108" s="12"/>
      <c r="S1108" s="12"/>
    </row>
    <row r="1109" spans="1:19" ht="14.25" customHeight="1" x14ac:dyDescent="0.2">
      <c r="A1109" s="1" t="s">
        <v>33</v>
      </c>
      <c r="B1109" s="7">
        <v>46091.942013888889</v>
      </c>
      <c r="C1109" s="7">
        <v>46091.954594907409</v>
      </c>
      <c r="D1109" s="8">
        <v>46091</v>
      </c>
      <c r="E1109" s="9">
        <v>0.95459490740904585</v>
      </c>
      <c r="F1109" s="10" t="s">
        <v>1307</v>
      </c>
      <c r="G1109" s="10" t="s">
        <v>21</v>
      </c>
      <c r="H1109" s="10" t="s">
        <v>101</v>
      </c>
      <c r="I1109" s="10" t="s">
        <v>23</v>
      </c>
      <c r="J1109" s="11">
        <v>1.7</v>
      </c>
      <c r="K1109" s="12"/>
      <c r="L1109" s="12"/>
      <c r="M1109" s="12"/>
      <c r="N1109" s="12"/>
      <c r="O1109" s="12"/>
      <c r="P1109" s="12"/>
      <c r="Q1109" s="12"/>
      <c r="R1109" s="12"/>
      <c r="S1109" s="12"/>
    </row>
    <row r="1110" spans="1:19" ht="14.25" customHeight="1" x14ac:dyDescent="0.2">
      <c r="A1110" s="1" t="s">
        <v>63</v>
      </c>
      <c r="B1110" s="7">
        <v>46091.936365740738</v>
      </c>
      <c r="C1110" s="7">
        <v>46091.954930555556</v>
      </c>
      <c r="D1110" s="8">
        <v>46091</v>
      </c>
      <c r="E1110" s="9">
        <v>0.95493055555562023</v>
      </c>
      <c r="F1110" s="10" t="s">
        <v>1308</v>
      </c>
      <c r="G1110" s="10" t="s">
        <v>21</v>
      </c>
      <c r="H1110" s="10" t="s">
        <v>65</v>
      </c>
      <c r="I1110" s="10" t="s">
        <v>23</v>
      </c>
      <c r="J1110" s="11">
        <v>1.1299999999999999</v>
      </c>
      <c r="K1110" s="12"/>
      <c r="L1110" s="12"/>
      <c r="M1110" s="12"/>
      <c r="N1110" s="12"/>
      <c r="O1110" s="12"/>
      <c r="P1110" s="12"/>
      <c r="Q1110" s="12"/>
      <c r="R1110" s="12"/>
      <c r="S1110" s="12"/>
    </row>
    <row r="1111" spans="1:19" ht="14.25" customHeight="1" x14ac:dyDescent="0.2">
      <c r="A1111" s="1" t="s">
        <v>28</v>
      </c>
      <c r="B1111" s="7">
        <v>46091.945462962962</v>
      </c>
      <c r="C1111" s="7">
        <v>46091.95621527778</v>
      </c>
      <c r="D1111" s="8">
        <v>46091</v>
      </c>
      <c r="E1111" s="9">
        <v>0.95621527777984738</v>
      </c>
      <c r="F1111" s="10" t="s">
        <v>1309</v>
      </c>
      <c r="G1111" s="10" t="s">
        <v>21</v>
      </c>
      <c r="H1111" s="10" t="s">
        <v>101</v>
      </c>
      <c r="I1111" s="10" t="s">
        <v>23</v>
      </c>
      <c r="J1111" s="11">
        <v>1.7</v>
      </c>
      <c r="K1111" s="12"/>
      <c r="L1111" s="12"/>
      <c r="M1111" s="12"/>
      <c r="N1111" s="12"/>
      <c r="O1111" s="12"/>
      <c r="P1111" s="12"/>
      <c r="Q1111" s="12"/>
      <c r="R1111" s="12"/>
      <c r="S1111" s="12"/>
    </row>
    <row r="1112" spans="1:19" ht="14.25" customHeight="1" x14ac:dyDescent="0.2">
      <c r="A1112" s="1" t="s">
        <v>33</v>
      </c>
      <c r="B1112" s="19">
        <v>46091.934351851851</v>
      </c>
      <c r="C1112" s="19">
        <v>46091.956736111111</v>
      </c>
      <c r="D1112" s="20">
        <v>46091</v>
      </c>
      <c r="E1112" s="21">
        <v>0.95673611111124046</v>
      </c>
      <c r="F1112" s="1" t="s">
        <v>1310</v>
      </c>
      <c r="G1112" s="1" t="s">
        <v>21</v>
      </c>
      <c r="H1112" s="1" t="s">
        <v>101</v>
      </c>
      <c r="I1112" s="1" t="s">
        <v>166</v>
      </c>
      <c r="J1112" s="12">
        <v>1.7</v>
      </c>
      <c r="K1112" s="12"/>
      <c r="L1112" s="12"/>
      <c r="M1112" s="12"/>
      <c r="N1112" s="12"/>
      <c r="O1112" s="12"/>
      <c r="P1112" s="12"/>
      <c r="Q1112" s="12"/>
      <c r="R1112" s="12"/>
      <c r="S1112" s="12"/>
    </row>
    <row r="1113" spans="1:19" ht="14.25" customHeight="1" x14ac:dyDescent="0.2">
      <c r="A1113" s="1" t="s">
        <v>24</v>
      </c>
      <c r="B1113" s="7">
        <v>46091.911226851851</v>
      </c>
      <c r="C1113" s="7">
        <v>46091.95952546296</v>
      </c>
      <c r="D1113" s="8">
        <v>46091</v>
      </c>
      <c r="E1113" s="9">
        <v>0.9595254629603005</v>
      </c>
      <c r="F1113" s="10" t="s">
        <v>1311</v>
      </c>
      <c r="G1113" s="10" t="s">
        <v>21</v>
      </c>
      <c r="H1113" s="10" t="s">
        <v>216</v>
      </c>
      <c r="I1113" s="10" t="s">
        <v>23</v>
      </c>
      <c r="J1113" s="11">
        <v>0.98</v>
      </c>
      <c r="K1113" s="12"/>
      <c r="L1113" s="12">
        <f>SUM(J1113:J1126)</f>
        <v>15.939999999999998</v>
      </c>
      <c r="M1113" s="13">
        <f>L1113*65</f>
        <v>1036.0999999999999</v>
      </c>
      <c r="N1113" s="14">
        <f>MAX(500,M1113)</f>
        <v>1036.0999999999999</v>
      </c>
      <c r="O1113" s="12"/>
      <c r="P1113" s="12"/>
      <c r="Q1113" s="12"/>
      <c r="R1113" s="12"/>
      <c r="S1113" s="12"/>
    </row>
    <row r="1114" spans="1:19" ht="14.25" customHeight="1" x14ac:dyDescent="0.2">
      <c r="A1114" s="1" t="s">
        <v>24</v>
      </c>
      <c r="B1114" s="7">
        <v>46091.911226851851</v>
      </c>
      <c r="C1114" s="7">
        <v>46091.960023148145</v>
      </c>
      <c r="D1114" s="8">
        <v>46091</v>
      </c>
      <c r="E1114" s="9">
        <v>0.96002314814541023</v>
      </c>
      <c r="F1114" s="10" t="s">
        <v>1312</v>
      </c>
      <c r="G1114" s="10" t="s">
        <v>21</v>
      </c>
      <c r="H1114" s="10" t="s">
        <v>598</v>
      </c>
      <c r="I1114" s="10" t="s">
        <v>23</v>
      </c>
      <c r="J1114" s="11">
        <v>0.98</v>
      </c>
      <c r="K1114" s="12"/>
      <c r="L1114" s="12"/>
      <c r="M1114" s="12"/>
      <c r="N1114" s="12"/>
      <c r="O1114" s="12"/>
      <c r="P1114" s="12"/>
      <c r="Q1114" s="12"/>
      <c r="R1114" s="12"/>
      <c r="S1114" s="12"/>
    </row>
    <row r="1115" spans="1:19" ht="14.25" customHeight="1" x14ac:dyDescent="0.2">
      <c r="A1115" s="1" t="s">
        <v>24</v>
      </c>
      <c r="B1115" s="7">
        <v>46091.954108796293</v>
      </c>
      <c r="C1115" s="7">
        <v>46091.966585648152</v>
      </c>
      <c r="D1115" s="8">
        <v>46091</v>
      </c>
      <c r="E1115" s="9">
        <v>0.96658564815152204</v>
      </c>
      <c r="F1115" s="10" t="s">
        <v>1313</v>
      </c>
      <c r="G1115" s="10" t="s">
        <v>21</v>
      </c>
      <c r="H1115" s="10" t="s">
        <v>41</v>
      </c>
      <c r="I1115" s="10" t="s">
        <v>23</v>
      </c>
      <c r="J1115" s="11">
        <v>1.77</v>
      </c>
      <c r="K1115" s="12"/>
      <c r="L1115" s="12"/>
      <c r="M1115" s="12"/>
      <c r="N1115" s="12"/>
      <c r="O1115" s="12"/>
      <c r="P1115" s="12"/>
      <c r="Q1115" s="12"/>
      <c r="R1115" s="12"/>
      <c r="S1115" s="12"/>
    </row>
    <row r="1116" spans="1:19" ht="14.25" customHeight="1" x14ac:dyDescent="0.2">
      <c r="A1116" s="1" t="s">
        <v>24</v>
      </c>
      <c r="B1116" s="19">
        <v>46091.911226851851</v>
      </c>
      <c r="C1116" s="19">
        <v>46091.96775462963</v>
      </c>
      <c r="D1116" s="20">
        <v>46091</v>
      </c>
      <c r="E1116" s="21">
        <v>0.96775462962978054</v>
      </c>
      <c r="F1116" s="1" t="s">
        <v>1314</v>
      </c>
      <c r="G1116" s="1" t="s">
        <v>21</v>
      </c>
      <c r="H1116" s="1" t="s">
        <v>22</v>
      </c>
      <c r="I1116" s="1" t="s">
        <v>166</v>
      </c>
      <c r="J1116" s="12">
        <v>0.83</v>
      </c>
      <c r="K1116" s="12"/>
      <c r="L1116" s="12"/>
      <c r="M1116" s="12"/>
      <c r="N1116" s="12"/>
      <c r="O1116" s="12"/>
      <c r="P1116" s="12"/>
      <c r="Q1116" s="12"/>
      <c r="R1116" s="12"/>
      <c r="S1116" s="12"/>
    </row>
    <row r="1117" spans="1:19" ht="14.25" customHeight="1" x14ac:dyDescent="0.2">
      <c r="A1117" s="1" t="s">
        <v>19</v>
      </c>
      <c r="B1117" s="7">
        <v>46091.934629629628</v>
      </c>
      <c r="C1117" s="7">
        <v>46091.971238425926</v>
      </c>
      <c r="D1117" s="8">
        <v>46091</v>
      </c>
      <c r="E1117" s="9">
        <v>0.97123842592554865</v>
      </c>
      <c r="F1117" s="10" t="s">
        <v>1315</v>
      </c>
      <c r="G1117" s="10" t="s">
        <v>180</v>
      </c>
      <c r="H1117" s="10" t="s">
        <v>1182</v>
      </c>
      <c r="I1117" s="10" t="s">
        <v>23</v>
      </c>
      <c r="J1117" s="11">
        <v>1.44</v>
      </c>
      <c r="K1117" s="12"/>
      <c r="L1117" s="12"/>
      <c r="M1117" s="12"/>
      <c r="N1117" s="12"/>
      <c r="O1117" s="12"/>
      <c r="P1117" s="12"/>
      <c r="Q1117" s="12"/>
      <c r="R1117" s="12"/>
      <c r="S1117" s="12"/>
    </row>
    <row r="1118" spans="1:19" ht="14.25" customHeight="1" x14ac:dyDescent="0.2">
      <c r="A1118" s="1" t="s">
        <v>19</v>
      </c>
      <c r="B1118" s="7">
        <v>46091.934629629628</v>
      </c>
      <c r="C1118" s="7">
        <v>46091.971678240741</v>
      </c>
      <c r="D1118" s="8">
        <v>46091</v>
      </c>
      <c r="E1118" s="9">
        <v>0.97167824074131204</v>
      </c>
      <c r="F1118" s="10" t="s">
        <v>1316</v>
      </c>
      <c r="G1118" s="10" t="s">
        <v>180</v>
      </c>
      <c r="H1118" s="10" t="s">
        <v>1317</v>
      </c>
      <c r="I1118" s="10" t="s">
        <v>23</v>
      </c>
      <c r="J1118" s="11">
        <v>2.1</v>
      </c>
      <c r="K1118" s="12"/>
      <c r="L1118" s="12"/>
      <c r="M1118" s="12"/>
      <c r="N1118" s="12"/>
      <c r="O1118" s="12"/>
      <c r="P1118" s="12"/>
      <c r="Q1118" s="12"/>
      <c r="R1118" s="12"/>
      <c r="S1118" s="12"/>
    </row>
    <row r="1119" spans="1:19" ht="14.25" customHeight="1" x14ac:dyDescent="0.2">
      <c r="A1119" s="1" t="s">
        <v>19</v>
      </c>
      <c r="B1119" s="7">
        <v>46091.961909722224</v>
      </c>
      <c r="C1119" s="7">
        <v>46091.978368055556</v>
      </c>
      <c r="D1119" s="8">
        <v>46091</v>
      </c>
      <c r="E1119" s="9">
        <v>0.97836805555562023</v>
      </c>
      <c r="F1119" s="10" t="s">
        <v>1318</v>
      </c>
      <c r="G1119" s="10" t="s">
        <v>180</v>
      </c>
      <c r="H1119" s="10" t="s">
        <v>1182</v>
      </c>
      <c r="I1119" s="10" t="s">
        <v>23</v>
      </c>
      <c r="J1119" s="11">
        <v>1.44</v>
      </c>
      <c r="K1119" s="12"/>
      <c r="L1119" s="12"/>
      <c r="M1119" s="12"/>
      <c r="N1119" s="12"/>
      <c r="O1119" s="12"/>
      <c r="P1119" s="12"/>
      <c r="Q1119" s="12"/>
      <c r="R1119" s="12"/>
      <c r="S1119" s="12"/>
    </row>
    <row r="1120" spans="1:19" ht="14.25" customHeight="1" x14ac:dyDescent="0.2">
      <c r="A1120" s="1" t="s">
        <v>19</v>
      </c>
      <c r="B1120" s="7">
        <v>46091.966504629629</v>
      </c>
      <c r="C1120" s="7">
        <v>46091.985995370371</v>
      </c>
      <c r="D1120" s="8">
        <v>46091</v>
      </c>
      <c r="E1120" s="9">
        <v>0.98599537037080154</v>
      </c>
      <c r="F1120" s="10" t="s">
        <v>1319</v>
      </c>
      <c r="G1120" s="10" t="s">
        <v>21</v>
      </c>
      <c r="H1120" s="10" t="s">
        <v>22</v>
      </c>
      <c r="I1120" s="10" t="s">
        <v>23</v>
      </c>
      <c r="J1120" s="11">
        <v>0.83</v>
      </c>
      <c r="K1120" s="12"/>
      <c r="L1120" s="12"/>
      <c r="M1120" s="12"/>
      <c r="N1120" s="12"/>
      <c r="O1120" s="12"/>
      <c r="P1120" s="12"/>
      <c r="Q1120" s="12"/>
      <c r="R1120" s="12"/>
      <c r="S1120" s="12"/>
    </row>
    <row r="1121" spans="1:19" ht="14.25" customHeight="1" x14ac:dyDescent="0.2">
      <c r="A1121" s="1" t="s">
        <v>19</v>
      </c>
      <c r="B1121" s="7">
        <v>46091.966516203705</v>
      </c>
      <c r="C1121" s="7">
        <v>46091.986307870371</v>
      </c>
      <c r="D1121" s="8">
        <v>46091</v>
      </c>
      <c r="E1121" s="9">
        <v>0.98630787037109258</v>
      </c>
      <c r="F1121" s="10" t="s">
        <v>1320</v>
      </c>
      <c r="G1121" s="10" t="s">
        <v>21</v>
      </c>
      <c r="H1121" s="10" t="s">
        <v>52</v>
      </c>
      <c r="I1121" s="10" t="s">
        <v>23</v>
      </c>
      <c r="J1121" s="11">
        <v>0.98</v>
      </c>
      <c r="K1121" s="12"/>
      <c r="L1121" s="12"/>
      <c r="M1121" s="12"/>
      <c r="N1121" s="12"/>
      <c r="O1121" s="12"/>
      <c r="P1121" s="12"/>
      <c r="Q1121" s="12"/>
      <c r="R1121" s="12"/>
      <c r="S1121" s="12"/>
    </row>
    <row r="1122" spans="1:19" ht="14.25" customHeight="1" x14ac:dyDescent="0.2">
      <c r="A1122" s="1" t="s">
        <v>19</v>
      </c>
      <c r="B1122" s="7">
        <v>46091.925486111111</v>
      </c>
      <c r="C1122" s="7">
        <v>46091.987291666665</v>
      </c>
      <c r="D1122" s="8">
        <v>46091</v>
      </c>
      <c r="E1122" s="9">
        <v>0.98729166666453239</v>
      </c>
      <c r="F1122" s="10" t="s">
        <v>1321</v>
      </c>
      <c r="G1122" s="10" t="s">
        <v>44</v>
      </c>
      <c r="H1122" s="10" t="s">
        <v>1322</v>
      </c>
      <c r="I1122" s="10" t="s">
        <v>23</v>
      </c>
      <c r="J1122" s="11">
        <v>0.18</v>
      </c>
      <c r="K1122" s="12"/>
      <c r="L1122" s="12"/>
      <c r="M1122" s="12"/>
      <c r="N1122" s="12"/>
      <c r="O1122" s="12"/>
      <c r="P1122" s="12"/>
      <c r="Q1122" s="12"/>
      <c r="R1122" s="12"/>
      <c r="S1122" s="12"/>
    </row>
    <row r="1123" spans="1:19" ht="14.25" customHeight="1" x14ac:dyDescent="0.2">
      <c r="A1123" s="1" t="s">
        <v>24</v>
      </c>
      <c r="B1123" s="19">
        <v>46091.9606712963</v>
      </c>
      <c r="C1123" s="19">
        <v>46091.987337962964</v>
      </c>
      <c r="D1123" s="20">
        <v>46091</v>
      </c>
      <c r="E1123" s="21">
        <v>0.98733796296437504</v>
      </c>
      <c r="F1123" s="1" t="s">
        <v>1323</v>
      </c>
      <c r="G1123" s="1" t="s">
        <v>21</v>
      </c>
      <c r="H1123" s="1" t="s">
        <v>22</v>
      </c>
      <c r="I1123" s="1" t="s">
        <v>166</v>
      </c>
      <c r="J1123" s="12">
        <v>0.83</v>
      </c>
      <c r="K1123" s="12"/>
      <c r="L1123" s="12"/>
      <c r="M1123" s="12"/>
      <c r="N1123" s="12"/>
      <c r="O1123" s="12"/>
      <c r="P1123" s="12"/>
      <c r="Q1123" s="12"/>
      <c r="R1123" s="12"/>
      <c r="S1123" s="12"/>
    </row>
    <row r="1124" spans="1:19" ht="14.25" customHeight="1" x14ac:dyDescent="0.2">
      <c r="A1124" s="1" t="s">
        <v>19</v>
      </c>
      <c r="B1124" s="7">
        <v>46091.925486111111</v>
      </c>
      <c r="C1124" s="7">
        <v>46091.987488425926</v>
      </c>
      <c r="D1124" s="8">
        <v>46091</v>
      </c>
      <c r="E1124" s="9">
        <v>0.98748842592613073</v>
      </c>
      <c r="F1124" s="10" t="s">
        <v>1324</v>
      </c>
      <c r="G1124" s="10" t="s">
        <v>44</v>
      </c>
      <c r="H1124" s="10" t="s">
        <v>1325</v>
      </c>
      <c r="I1124" s="10" t="s">
        <v>23</v>
      </c>
      <c r="J1124" s="11">
        <v>0.18</v>
      </c>
      <c r="K1124" s="12"/>
      <c r="L1124" s="12"/>
      <c r="M1124" s="12"/>
      <c r="N1124" s="12"/>
      <c r="O1124" s="12"/>
      <c r="P1124" s="12"/>
      <c r="Q1124" s="12"/>
      <c r="R1124" s="12"/>
      <c r="S1124" s="12"/>
    </row>
    <row r="1125" spans="1:19" ht="14.25" customHeight="1" x14ac:dyDescent="0.2">
      <c r="A1125" s="1" t="s">
        <v>24</v>
      </c>
      <c r="B1125" s="7">
        <v>46091.986817129633</v>
      </c>
      <c r="C1125" s="7">
        <v>46091.99927083333</v>
      </c>
      <c r="D1125" s="8">
        <v>46091</v>
      </c>
      <c r="E1125" s="9">
        <v>0.99927083333022892</v>
      </c>
      <c r="F1125" s="10" t="s">
        <v>1326</v>
      </c>
      <c r="G1125" s="10" t="s">
        <v>21</v>
      </c>
      <c r="H1125" s="10" t="s">
        <v>101</v>
      </c>
      <c r="I1125" s="10" t="s">
        <v>23</v>
      </c>
      <c r="J1125" s="11">
        <v>1.7</v>
      </c>
      <c r="K1125" s="12"/>
      <c r="L1125" s="12"/>
      <c r="M1125" s="12"/>
      <c r="N1125" s="12"/>
      <c r="O1125" s="12"/>
      <c r="P1125" s="12"/>
      <c r="Q1125" s="12"/>
      <c r="R1125" s="12"/>
      <c r="S1125" s="12"/>
    </row>
    <row r="1126" spans="1:19" ht="14.25" customHeight="1" x14ac:dyDescent="0.2">
      <c r="A1126" s="1" t="s">
        <v>24</v>
      </c>
      <c r="B1126" s="7">
        <v>46091.98060185185</v>
      </c>
      <c r="C1126" s="7">
        <v>46091.999895833331</v>
      </c>
      <c r="D1126" s="8">
        <v>46091</v>
      </c>
      <c r="E1126" s="9">
        <v>0.999895833330811</v>
      </c>
      <c r="F1126" s="10" t="s">
        <v>1327</v>
      </c>
      <c r="G1126" s="10" t="s">
        <v>21</v>
      </c>
      <c r="H1126" s="10" t="s">
        <v>101</v>
      </c>
      <c r="I1126" s="10" t="s">
        <v>23</v>
      </c>
      <c r="J1126" s="11">
        <v>1.7</v>
      </c>
      <c r="K1126" s="12"/>
      <c r="L1126" s="12"/>
      <c r="M1126" s="12"/>
      <c r="N1126" s="12"/>
      <c r="O1126" s="12"/>
      <c r="P1126" s="12"/>
      <c r="Q1126" s="12"/>
      <c r="R1126" s="12"/>
      <c r="S1126" s="12"/>
    </row>
    <row r="1127" spans="1:19" ht="14.25" customHeight="1" x14ac:dyDescent="0.2">
      <c r="A1127" s="1" t="s">
        <v>95</v>
      </c>
      <c r="B1127" s="7">
        <v>46091.974189814813</v>
      </c>
      <c r="C1127" s="7">
        <v>46092.000173611108</v>
      </c>
      <c r="D1127" s="8">
        <v>46092</v>
      </c>
      <c r="E1127" s="9">
        <v>1.7361110803904012E-4</v>
      </c>
      <c r="F1127" s="10" t="s">
        <v>1328</v>
      </c>
      <c r="G1127" s="10" t="s">
        <v>21</v>
      </c>
      <c r="H1127" s="10" t="s">
        <v>52</v>
      </c>
      <c r="I1127" s="10" t="s">
        <v>23</v>
      </c>
      <c r="J1127" s="11">
        <v>0.98</v>
      </c>
      <c r="K1127" s="12"/>
      <c r="L1127" s="12">
        <f>SUM(J1127:J1153)</f>
        <v>26.609999999999996</v>
      </c>
      <c r="M1127" s="13">
        <f>L1127*65</f>
        <v>1729.6499999999996</v>
      </c>
      <c r="N1127" s="14">
        <f>MAX(500,M1127)</f>
        <v>1729.6499999999996</v>
      </c>
      <c r="O1127" s="12"/>
      <c r="P1127" s="12"/>
      <c r="Q1127" s="12"/>
      <c r="R1127" s="12"/>
      <c r="S1127" s="12"/>
    </row>
    <row r="1128" spans="1:19" ht="14.25" customHeight="1" x14ac:dyDescent="0.2">
      <c r="A1128" s="1" t="s">
        <v>42</v>
      </c>
      <c r="B1128" s="7">
        <v>46091.993993055556</v>
      </c>
      <c r="C1128" s="7">
        <v>46092.000717592593</v>
      </c>
      <c r="D1128" s="8">
        <v>46092</v>
      </c>
      <c r="E1128" s="9">
        <v>7.1759259299142286E-4</v>
      </c>
      <c r="F1128" s="10" t="s">
        <v>1329</v>
      </c>
      <c r="G1128" s="10" t="s">
        <v>44</v>
      </c>
      <c r="H1128" s="10" t="s">
        <v>48</v>
      </c>
      <c r="I1128" s="10" t="s">
        <v>23</v>
      </c>
      <c r="J1128" s="11">
        <v>0.21</v>
      </c>
      <c r="K1128" s="12"/>
      <c r="L1128" s="12"/>
      <c r="M1128" s="12"/>
      <c r="N1128" s="12"/>
      <c r="O1128" s="12"/>
      <c r="P1128" s="12"/>
      <c r="Q1128" s="12"/>
      <c r="R1128" s="12"/>
      <c r="S1128" s="12"/>
    </row>
    <row r="1129" spans="1:19" ht="14.25" customHeight="1" x14ac:dyDescent="0.2">
      <c r="A1129" s="1" t="s">
        <v>33</v>
      </c>
      <c r="B1129" s="7">
        <v>46091.986273148148</v>
      </c>
      <c r="C1129" s="7">
        <v>46092.001296296294</v>
      </c>
      <c r="D1129" s="8">
        <v>46092</v>
      </c>
      <c r="E1129" s="9">
        <v>1.2962962937308475E-3</v>
      </c>
      <c r="F1129" s="10" t="s">
        <v>1330</v>
      </c>
      <c r="G1129" s="10" t="s">
        <v>44</v>
      </c>
      <c r="H1129" s="10" t="s">
        <v>185</v>
      </c>
      <c r="I1129" s="10" t="s">
        <v>23</v>
      </c>
      <c r="J1129" s="11">
        <v>0.18</v>
      </c>
      <c r="K1129" s="12"/>
      <c r="L1129" s="12"/>
      <c r="M1129" s="12"/>
      <c r="N1129" s="12"/>
      <c r="O1129" s="12"/>
      <c r="P1129" s="12"/>
      <c r="Q1129" s="12"/>
      <c r="R1129" s="12"/>
      <c r="S1129" s="12"/>
    </row>
    <row r="1130" spans="1:19" ht="14.25" customHeight="1" x14ac:dyDescent="0.2">
      <c r="A1130" s="1" t="s">
        <v>42</v>
      </c>
      <c r="B1130" s="7">
        <v>46091.993425925924</v>
      </c>
      <c r="C1130" s="7">
        <v>46092.006273148145</v>
      </c>
      <c r="D1130" s="8">
        <v>46092</v>
      </c>
      <c r="E1130" s="9">
        <v>6.2731481448281556E-3</v>
      </c>
      <c r="F1130" s="10" t="s">
        <v>1331</v>
      </c>
      <c r="G1130" s="10" t="s">
        <v>21</v>
      </c>
      <c r="H1130" s="10" t="s">
        <v>227</v>
      </c>
      <c r="I1130" s="10" t="s">
        <v>23</v>
      </c>
      <c r="J1130" s="11">
        <v>0.83</v>
      </c>
      <c r="K1130" s="12"/>
      <c r="L1130" s="12"/>
      <c r="M1130" s="12"/>
      <c r="N1130" s="12"/>
      <c r="O1130" s="12"/>
      <c r="P1130" s="12"/>
      <c r="Q1130" s="12"/>
      <c r="R1130" s="12"/>
      <c r="S1130" s="12"/>
    </row>
    <row r="1131" spans="1:19" ht="14.25" customHeight="1" x14ac:dyDescent="0.2">
      <c r="A1131" s="1" t="s">
        <v>42</v>
      </c>
      <c r="B1131" s="7">
        <v>46091.979687500003</v>
      </c>
      <c r="C1131" s="7">
        <v>46092.007245370369</v>
      </c>
      <c r="D1131" s="8">
        <v>46092</v>
      </c>
      <c r="E1131" s="9">
        <v>7.2453703687642701E-3</v>
      </c>
      <c r="F1131" s="10" t="s">
        <v>1332</v>
      </c>
      <c r="G1131" s="10" t="s">
        <v>26</v>
      </c>
      <c r="H1131" s="10" t="s">
        <v>56</v>
      </c>
      <c r="I1131" s="10" t="s">
        <v>23</v>
      </c>
      <c r="J1131" s="11">
        <v>0.73</v>
      </c>
      <c r="K1131" s="12"/>
      <c r="L1131" s="12"/>
      <c r="M1131" s="12"/>
      <c r="N1131" s="12"/>
      <c r="O1131" s="12"/>
      <c r="P1131" s="12"/>
      <c r="Q1131" s="12"/>
      <c r="R1131" s="12"/>
      <c r="S1131" s="12"/>
    </row>
    <row r="1132" spans="1:19" ht="14.25" customHeight="1" x14ac:dyDescent="0.2">
      <c r="A1132" s="1" t="s">
        <v>24</v>
      </c>
      <c r="B1132" s="7">
        <v>46091.994629629633</v>
      </c>
      <c r="C1132" s="7">
        <v>46092.007488425923</v>
      </c>
      <c r="D1132" s="8">
        <v>46092</v>
      </c>
      <c r="E1132" s="9">
        <v>7.4884259229293093E-3</v>
      </c>
      <c r="F1132" s="10" t="s">
        <v>1333</v>
      </c>
      <c r="G1132" s="10" t="s">
        <v>21</v>
      </c>
      <c r="H1132" s="10" t="s">
        <v>22</v>
      </c>
      <c r="I1132" s="10" t="s">
        <v>23</v>
      </c>
      <c r="J1132" s="11">
        <v>0.83</v>
      </c>
      <c r="K1132" s="12"/>
      <c r="L1132" s="12"/>
      <c r="M1132" s="12"/>
      <c r="N1132" s="12"/>
      <c r="O1132" s="12"/>
      <c r="P1132" s="12"/>
      <c r="Q1132" s="12"/>
      <c r="R1132" s="12"/>
      <c r="S1132" s="12"/>
    </row>
    <row r="1133" spans="1:19" ht="14.25" customHeight="1" x14ac:dyDescent="0.2">
      <c r="A1133" s="1" t="s">
        <v>95</v>
      </c>
      <c r="B1133" s="19">
        <v>46091.974189814813</v>
      </c>
      <c r="C1133" s="19">
        <v>46092.008368055554</v>
      </c>
      <c r="D1133" s="20">
        <v>46092</v>
      </c>
      <c r="E1133" s="21">
        <v>8.3680555544560775E-3</v>
      </c>
      <c r="F1133" s="1" t="s">
        <v>1334</v>
      </c>
      <c r="G1133" s="1" t="s">
        <v>21</v>
      </c>
      <c r="H1133" s="1" t="s">
        <v>110</v>
      </c>
      <c r="I1133" s="1" t="s">
        <v>166</v>
      </c>
      <c r="J1133" s="12">
        <v>0.83</v>
      </c>
      <c r="K1133" s="12"/>
      <c r="L1133" s="12"/>
      <c r="M1133" s="12"/>
      <c r="N1133" s="12"/>
      <c r="O1133" s="12"/>
      <c r="P1133" s="12"/>
      <c r="Q1133" s="12"/>
      <c r="R1133" s="12"/>
      <c r="S1133" s="12"/>
    </row>
    <row r="1134" spans="1:19" ht="14.25" customHeight="1" x14ac:dyDescent="0.2">
      <c r="A1134" s="1" t="s">
        <v>42</v>
      </c>
      <c r="B1134" s="19">
        <v>46092.001087962963</v>
      </c>
      <c r="C1134" s="19">
        <v>46092.009166666663</v>
      </c>
      <c r="D1134" s="20">
        <v>46092</v>
      </c>
      <c r="E1134" s="21">
        <v>9.1666666630771942E-3</v>
      </c>
      <c r="F1134" s="1" t="s">
        <v>1335</v>
      </c>
      <c r="G1134" s="1" t="s">
        <v>44</v>
      </c>
      <c r="H1134" s="1" t="s">
        <v>48</v>
      </c>
      <c r="I1134" s="1" t="s">
        <v>166</v>
      </c>
      <c r="J1134" s="12">
        <v>0.21</v>
      </c>
      <c r="K1134" s="12"/>
      <c r="L1134" s="12"/>
      <c r="M1134" s="12"/>
      <c r="N1134" s="12"/>
      <c r="O1134" s="12"/>
      <c r="P1134" s="12"/>
      <c r="Q1134" s="12"/>
      <c r="R1134" s="12"/>
      <c r="S1134" s="12"/>
    </row>
    <row r="1135" spans="1:19" ht="14.25" customHeight="1" x14ac:dyDescent="0.2">
      <c r="A1135" s="1" t="s">
        <v>28</v>
      </c>
      <c r="B1135" s="7">
        <v>46091.998657407406</v>
      </c>
      <c r="C1135" s="7">
        <v>46092.010104166664</v>
      </c>
      <c r="D1135" s="8">
        <v>46092</v>
      </c>
      <c r="E1135" s="9">
        <v>1.0104166663950309E-2</v>
      </c>
      <c r="F1135" s="10" t="s">
        <v>1336</v>
      </c>
      <c r="G1135" s="10" t="s">
        <v>21</v>
      </c>
      <c r="H1135" s="10" t="s">
        <v>101</v>
      </c>
      <c r="I1135" s="10" t="s">
        <v>23</v>
      </c>
      <c r="J1135" s="11">
        <v>1.7</v>
      </c>
      <c r="K1135" s="12"/>
      <c r="L1135" s="12"/>
      <c r="M1135" s="12"/>
      <c r="N1135" s="12"/>
      <c r="O1135" s="12"/>
      <c r="P1135" s="12"/>
      <c r="Q1135" s="12"/>
      <c r="R1135" s="12"/>
      <c r="S1135" s="12"/>
    </row>
    <row r="1136" spans="1:19" ht="14.25" customHeight="1" x14ac:dyDescent="0.2">
      <c r="A1136" s="1" t="s">
        <v>33</v>
      </c>
      <c r="B1136" s="7">
        <v>46091.989872685182</v>
      </c>
      <c r="C1136" s="7">
        <v>46092.010277777779</v>
      </c>
      <c r="D1136" s="8">
        <v>46092</v>
      </c>
      <c r="E1136" s="9">
        <v>1.0277777779265307E-2</v>
      </c>
      <c r="F1136" s="10" t="s">
        <v>1337</v>
      </c>
      <c r="G1136" s="10" t="s">
        <v>21</v>
      </c>
      <c r="H1136" s="10" t="s">
        <v>22</v>
      </c>
      <c r="I1136" s="10" t="s">
        <v>23</v>
      </c>
      <c r="J1136" s="11">
        <v>0.83</v>
      </c>
      <c r="K1136" s="12"/>
      <c r="L1136" s="12"/>
      <c r="M1136" s="12"/>
      <c r="N1136" s="12"/>
      <c r="O1136" s="12"/>
      <c r="P1136" s="12"/>
      <c r="Q1136" s="12"/>
      <c r="R1136" s="12"/>
      <c r="S1136" s="12"/>
    </row>
    <row r="1137" spans="1:19" ht="14.25" customHeight="1" x14ac:dyDescent="0.2">
      <c r="A1137" s="1" t="s">
        <v>95</v>
      </c>
      <c r="B1137" s="19">
        <v>46091.977662037039</v>
      </c>
      <c r="C1137" s="19">
        <v>46092.010787037034</v>
      </c>
      <c r="D1137" s="20">
        <v>46092</v>
      </c>
      <c r="E1137" s="21">
        <v>1.0787037033878732E-2</v>
      </c>
      <c r="F1137" s="1" t="s">
        <v>1338</v>
      </c>
      <c r="G1137" s="1" t="s">
        <v>26</v>
      </c>
      <c r="H1137" s="1" t="s">
        <v>1339</v>
      </c>
      <c r="I1137" s="1" t="s">
        <v>166</v>
      </c>
      <c r="J1137" s="12">
        <v>0.57999999999999996</v>
      </c>
      <c r="K1137" s="12"/>
      <c r="L1137" s="12"/>
      <c r="M1137" s="12"/>
      <c r="N1137" s="12"/>
      <c r="O1137" s="12"/>
      <c r="P1137" s="12"/>
      <c r="Q1137" s="12"/>
      <c r="R1137" s="12"/>
      <c r="S1137" s="12"/>
    </row>
    <row r="1138" spans="1:19" ht="14.25" customHeight="1" x14ac:dyDescent="0.2">
      <c r="A1138" s="1" t="s">
        <v>33</v>
      </c>
      <c r="B1138" s="7">
        <v>46091.989872685182</v>
      </c>
      <c r="C1138" s="7">
        <v>46092.011157407411</v>
      </c>
      <c r="D1138" s="8">
        <v>46092</v>
      </c>
      <c r="E1138" s="9">
        <v>1.1157407410792075E-2</v>
      </c>
      <c r="F1138" s="10" t="s">
        <v>1340</v>
      </c>
      <c r="G1138" s="10" t="s">
        <v>21</v>
      </c>
      <c r="H1138" s="10" t="s">
        <v>101</v>
      </c>
      <c r="I1138" s="10" t="s">
        <v>23</v>
      </c>
      <c r="J1138" s="11">
        <v>1.7</v>
      </c>
      <c r="K1138" s="12"/>
      <c r="L1138" s="12"/>
      <c r="M1138" s="12"/>
      <c r="N1138" s="12"/>
      <c r="O1138" s="12"/>
      <c r="P1138" s="12"/>
      <c r="Q1138" s="12"/>
      <c r="R1138" s="12"/>
      <c r="S1138" s="12"/>
    </row>
    <row r="1139" spans="1:19" ht="14.25" customHeight="1" x14ac:dyDescent="0.2">
      <c r="A1139" s="1" t="s">
        <v>33</v>
      </c>
      <c r="B1139" s="19">
        <v>46092.000451388885</v>
      </c>
      <c r="C1139" s="19">
        <v>46092.013483796298</v>
      </c>
      <c r="D1139" s="20">
        <v>46092</v>
      </c>
      <c r="E1139" s="21">
        <v>1.3483796297805384E-2</v>
      </c>
      <c r="F1139" s="1" t="s">
        <v>1341</v>
      </c>
      <c r="G1139" s="1" t="s">
        <v>21</v>
      </c>
      <c r="H1139" s="1" t="s">
        <v>1342</v>
      </c>
      <c r="I1139" s="1" t="s">
        <v>166</v>
      </c>
      <c r="J1139" s="12">
        <v>0.83</v>
      </c>
      <c r="K1139" s="12"/>
      <c r="L1139" s="12"/>
      <c r="M1139" s="12"/>
      <c r="N1139" s="12"/>
      <c r="O1139" s="12"/>
      <c r="P1139" s="12"/>
      <c r="Q1139" s="12"/>
      <c r="R1139" s="12"/>
      <c r="S1139" s="12"/>
    </row>
    <row r="1140" spans="1:19" ht="14.25" customHeight="1" x14ac:dyDescent="0.2">
      <c r="A1140" s="1" t="s">
        <v>95</v>
      </c>
      <c r="B1140" s="7">
        <v>46092.008298611108</v>
      </c>
      <c r="C1140" s="7">
        <v>46092.014872685184</v>
      </c>
      <c r="D1140" s="8">
        <v>46092</v>
      </c>
      <c r="E1140" s="9">
        <v>1.4872685183945578E-2</v>
      </c>
      <c r="F1140" s="10" t="s">
        <v>1343</v>
      </c>
      <c r="G1140" s="10" t="s">
        <v>21</v>
      </c>
      <c r="H1140" s="10" t="s">
        <v>110</v>
      </c>
      <c r="I1140" s="10" t="s">
        <v>23</v>
      </c>
      <c r="J1140" s="11">
        <v>0.83</v>
      </c>
      <c r="K1140" s="12"/>
      <c r="L1140" s="12"/>
      <c r="M1140" s="12"/>
      <c r="N1140" s="12"/>
      <c r="O1140" s="12"/>
      <c r="P1140" s="12"/>
      <c r="Q1140" s="12"/>
      <c r="R1140" s="12"/>
      <c r="S1140" s="12"/>
    </row>
    <row r="1141" spans="1:19" ht="14.25" customHeight="1" x14ac:dyDescent="0.2">
      <c r="A1141" s="1" t="s">
        <v>95</v>
      </c>
      <c r="B1141" s="7">
        <v>46091.990416666667</v>
      </c>
      <c r="C1141" s="7">
        <v>46092.017754629633</v>
      </c>
      <c r="D1141" s="8">
        <v>46092</v>
      </c>
      <c r="E1141" s="9">
        <v>1.7754629632690921E-2</v>
      </c>
      <c r="F1141" s="10" t="s">
        <v>1344</v>
      </c>
      <c r="G1141" s="10" t="s">
        <v>21</v>
      </c>
      <c r="H1141" s="10" t="s">
        <v>52</v>
      </c>
      <c r="I1141" s="10" t="s">
        <v>23</v>
      </c>
      <c r="J1141" s="11">
        <v>0.98</v>
      </c>
      <c r="K1141" s="12"/>
      <c r="L1141" s="12"/>
      <c r="M1141" s="12"/>
      <c r="N1141" s="12"/>
      <c r="O1141" s="12"/>
      <c r="P1141" s="12"/>
      <c r="Q1141" s="12"/>
      <c r="R1141" s="12"/>
      <c r="S1141" s="12"/>
    </row>
    <row r="1142" spans="1:19" ht="14.25" customHeight="1" x14ac:dyDescent="0.2">
      <c r="A1142" s="1" t="s">
        <v>95</v>
      </c>
      <c r="B1142" s="7">
        <v>46091.990416666667</v>
      </c>
      <c r="C1142" s="7">
        <v>46092.017916666664</v>
      </c>
      <c r="D1142" s="8">
        <v>46092</v>
      </c>
      <c r="E1142" s="9">
        <v>1.7916666663950309E-2</v>
      </c>
      <c r="F1142" s="10" t="s">
        <v>1345</v>
      </c>
      <c r="G1142" s="10" t="s">
        <v>21</v>
      </c>
      <c r="H1142" s="10" t="s">
        <v>110</v>
      </c>
      <c r="I1142" s="10" t="s">
        <v>23</v>
      </c>
      <c r="J1142" s="11">
        <v>0.83</v>
      </c>
      <c r="K1142" s="12"/>
      <c r="L1142" s="12"/>
      <c r="M1142" s="12"/>
      <c r="N1142" s="12"/>
      <c r="O1142" s="12"/>
      <c r="P1142" s="12"/>
      <c r="Q1142" s="12"/>
      <c r="R1142" s="12"/>
      <c r="S1142" s="12"/>
    </row>
    <row r="1143" spans="1:19" ht="14.25" customHeight="1" x14ac:dyDescent="0.2">
      <c r="A1143" s="1" t="s">
        <v>19</v>
      </c>
      <c r="B1143" s="7">
        <v>46091.989155092589</v>
      </c>
      <c r="C1143" s="7">
        <v>46092.022349537037</v>
      </c>
      <c r="D1143" s="8">
        <v>46092</v>
      </c>
      <c r="E1143" s="9">
        <v>2.2349537037371192E-2</v>
      </c>
      <c r="F1143" s="10" t="s">
        <v>1346</v>
      </c>
      <c r="G1143" s="10" t="s">
        <v>26</v>
      </c>
      <c r="H1143" s="10" t="s">
        <v>1347</v>
      </c>
      <c r="I1143" s="10" t="s">
        <v>23</v>
      </c>
      <c r="J1143" s="11">
        <v>0.44</v>
      </c>
      <c r="K1143" s="12"/>
      <c r="L1143" s="12"/>
      <c r="M1143" s="12"/>
      <c r="N1143" s="12"/>
      <c r="O1143" s="12"/>
      <c r="P1143" s="12"/>
      <c r="Q1143" s="12"/>
      <c r="R1143" s="12"/>
      <c r="S1143" s="12"/>
    </row>
    <row r="1144" spans="1:19" ht="14.25" customHeight="1" x14ac:dyDescent="0.2">
      <c r="A1144" s="1" t="s">
        <v>57</v>
      </c>
      <c r="B1144" s="7">
        <v>46091.993738425925</v>
      </c>
      <c r="C1144" s="7">
        <v>46092.022569444445</v>
      </c>
      <c r="D1144" s="8">
        <v>46092</v>
      </c>
      <c r="E1144" s="9">
        <v>2.2569444445252884E-2</v>
      </c>
      <c r="F1144" s="10" t="s">
        <v>1348</v>
      </c>
      <c r="G1144" s="10" t="s">
        <v>21</v>
      </c>
      <c r="H1144" s="10" t="s">
        <v>59</v>
      </c>
      <c r="I1144" s="10" t="s">
        <v>23</v>
      </c>
      <c r="J1144" s="11">
        <v>0.83</v>
      </c>
      <c r="K1144" s="12"/>
      <c r="L1144" s="12"/>
      <c r="M1144" s="12"/>
      <c r="N1144" s="12"/>
      <c r="O1144" s="12"/>
      <c r="P1144" s="12"/>
      <c r="Q1144" s="12"/>
      <c r="R1144" s="12"/>
      <c r="S1144" s="12"/>
    </row>
    <row r="1145" spans="1:19" ht="14.25" customHeight="1" x14ac:dyDescent="0.2">
      <c r="A1145" s="1" t="s">
        <v>33</v>
      </c>
      <c r="B1145" s="19">
        <v>46092.010497685187</v>
      </c>
      <c r="C1145" s="19">
        <v>46092.023495370369</v>
      </c>
      <c r="D1145" s="20">
        <v>46092</v>
      </c>
      <c r="E1145" s="21">
        <v>2.3495370369346347E-2</v>
      </c>
      <c r="F1145" s="1" t="s">
        <v>1349</v>
      </c>
      <c r="G1145" s="1" t="s">
        <v>21</v>
      </c>
      <c r="H1145" s="1" t="s">
        <v>101</v>
      </c>
      <c r="I1145" s="1" t="s">
        <v>166</v>
      </c>
      <c r="J1145" s="12">
        <v>1.7</v>
      </c>
      <c r="K1145" s="12"/>
      <c r="L1145" s="12"/>
      <c r="M1145" s="12"/>
      <c r="N1145" s="12"/>
      <c r="O1145" s="12"/>
      <c r="P1145" s="12"/>
      <c r="Q1145" s="12"/>
      <c r="R1145" s="12"/>
      <c r="S1145" s="12"/>
    </row>
    <row r="1146" spans="1:19" ht="14.25" customHeight="1" x14ac:dyDescent="0.2">
      <c r="A1146" s="1" t="s">
        <v>57</v>
      </c>
      <c r="B1146" s="7">
        <v>46091.996782407405</v>
      </c>
      <c r="C1146" s="7">
        <v>46092.023935185185</v>
      </c>
      <c r="D1146" s="8">
        <v>46092</v>
      </c>
      <c r="E1146" s="9">
        <v>2.3935185185109731E-2</v>
      </c>
      <c r="F1146" s="10" t="s">
        <v>1350</v>
      </c>
      <c r="G1146" s="10" t="s">
        <v>21</v>
      </c>
      <c r="H1146" s="10" t="s">
        <v>687</v>
      </c>
      <c r="I1146" s="10" t="s">
        <v>23</v>
      </c>
      <c r="J1146" s="11">
        <v>1.7</v>
      </c>
      <c r="K1146" s="12"/>
      <c r="L1146" s="12"/>
      <c r="M1146" s="12"/>
      <c r="N1146" s="12"/>
      <c r="O1146" s="12"/>
      <c r="P1146" s="12"/>
      <c r="Q1146" s="12"/>
      <c r="R1146" s="12"/>
      <c r="S1146" s="12"/>
    </row>
    <row r="1147" spans="1:19" ht="14.25" customHeight="1" x14ac:dyDescent="0.2">
      <c r="A1147" s="1" t="s">
        <v>19</v>
      </c>
      <c r="B1147" s="7">
        <v>46092.010439814818</v>
      </c>
      <c r="C1147" s="7">
        <v>46092.024895833332</v>
      </c>
      <c r="D1147" s="8">
        <v>46092</v>
      </c>
      <c r="E1147" s="9">
        <v>2.4895833332266193E-2</v>
      </c>
      <c r="F1147" s="10" t="s">
        <v>1351</v>
      </c>
      <c r="G1147" s="10" t="s">
        <v>21</v>
      </c>
      <c r="H1147" s="10" t="s">
        <v>41</v>
      </c>
      <c r="I1147" s="10" t="s">
        <v>23</v>
      </c>
      <c r="J1147" s="11">
        <v>1.77</v>
      </c>
      <c r="K1147" s="12"/>
      <c r="L1147" s="12"/>
      <c r="M1147" s="12"/>
      <c r="N1147" s="12"/>
      <c r="O1147" s="12"/>
      <c r="P1147" s="12"/>
      <c r="Q1147" s="12"/>
      <c r="R1147" s="12"/>
      <c r="S1147" s="12"/>
    </row>
    <row r="1148" spans="1:19" ht="14.25" customHeight="1" x14ac:dyDescent="0.2">
      <c r="A1148" s="1" t="s">
        <v>95</v>
      </c>
      <c r="B1148" s="19">
        <v>46092.006458333337</v>
      </c>
      <c r="C1148" s="19">
        <v>46092.029490740744</v>
      </c>
      <c r="D1148" s="20">
        <v>46092</v>
      </c>
      <c r="E1148" s="21">
        <v>2.9490740744222421E-2</v>
      </c>
      <c r="F1148" s="1" t="s">
        <v>1352</v>
      </c>
      <c r="G1148" s="1" t="s">
        <v>21</v>
      </c>
      <c r="H1148" s="1" t="s">
        <v>108</v>
      </c>
      <c r="I1148" s="1" t="s">
        <v>166</v>
      </c>
      <c r="J1148" s="12">
        <v>1.7</v>
      </c>
      <c r="K1148" s="12"/>
      <c r="L1148" s="12"/>
      <c r="M1148" s="12"/>
      <c r="N1148" s="12"/>
      <c r="O1148" s="12"/>
      <c r="P1148" s="12"/>
      <c r="Q1148" s="12"/>
      <c r="R1148" s="12"/>
      <c r="S1148" s="12"/>
    </row>
    <row r="1149" spans="1:19" ht="14.25" customHeight="1" x14ac:dyDescent="0.2">
      <c r="A1149" s="1" t="s">
        <v>95</v>
      </c>
      <c r="B1149" s="19">
        <v>46092.011435185188</v>
      </c>
      <c r="C1149" s="19">
        <v>46092.035868055558</v>
      </c>
      <c r="D1149" s="20">
        <v>46092</v>
      </c>
      <c r="E1149" s="21">
        <v>3.5868055558239575E-2</v>
      </c>
      <c r="F1149" s="1" t="s">
        <v>1353</v>
      </c>
      <c r="G1149" s="1" t="s">
        <v>21</v>
      </c>
      <c r="H1149" s="1" t="s">
        <v>52</v>
      </c>
      <c r="I1149" s="1" t="s">
        <v>166</v>
      </c>
      <c r="J1149" s="12">
        <v>0.98</v>
      </c>
      <c r="K1149" s="12"/>
      <c r="L1149" s="12"/>
      <c r="M1149" s="12"/>
      <c r="N1149" s="12"/>
      <c r="O1149" s="12"/>
      <c r="P1149" s="12"/>
      <c r="Q1149" s="12"/>
      <c r="R1149" s="12"/>
      <c r="S1149" s="12"/>
    </row>
    <row r="1150" spans="1:19" ht="14.25" customHeight="1" x14ac:dyDescent="0.2">
      <c r="A1150" s="1" t="s">
        <v>95</v>
      </c>
      <c r="B1150" s="19">
        <v>46092.011435185188</v>
      </c>
      <c r="C1150" s="19">
        <v>46092.038634259261</v>
      </c>
      <c r="D1150" s="20">
        <v>46092</v>
      </c>
      <c r="E1150" s="21">
        <v>3.8634259261016268E-2</v>
      </c>
      <c r="F1150" s="1" t="s">
        <v>1354</v>
      </c>
      <c r="G1150" s="1" t="s">
        <v>21</v>
      </c>
      <c r="H1150" s="1" t="s">
        <v>110</v>
      </c>
      <c r="I1150" s="1" t="s">
        <v>166</v>
      </c>
      <c r="J1150" s="12">
        <v>0.83</v>
      </c>
      <c r="K1150" s="12"/>
      <c r="L1150" s="12"/>
      <c r="M1150" s="12"/>
      <c r="N1150" s="12"/>
      <c r="O1150" s="12"/>
      <c r="P1150" s="12"/>
      <c r="Q1150" s="12"/>
      <c r="R1150" s="12"/>
      <c r="S1150" s="12"/>
    </row>
    <row r="1151" spans="1:19" ht="14.25" customHeight="1" x14ac:dyDescent="0.2">
      <c r="A1151" s="1" t="s">
        <v>63</v>
      </c>
      <c r="B1151" s="7">
        <v>46092.009664351855</v>
      </c>
      <c r="C1151" s="7">
        <v>46092.040659722225</v>
      </c>
      <c r="D1151" s="8">
        <v>46092</v>
      </c>
      <c r="E1151" s="9">
        <v>4.0659722224518191E-2</v>
      </c>
      <c r="F1151" s="10" t="s">
        <v>1355</v>
      </c>
      <c r="G1151" s="10" t="s">
        <v>21</v>
      </c>
      <c r="H1151" s="10" t="s">
        <v>67</v>
      </c>
      <c r="I1151" s="10" t="s">
        <v>23</v>
      </c>
      <c r="J1151" s="11">
        <v>1.77</v>
      </c>
      <c r="K1151" s="12"/>
      <c r="L1151" s="12"/>
      <c r="M1151" s="12"/>
      <c r="N1151" s="12"/>
      <c r="O1151" s="12"/>
      <c r="P1151" s="12"/>
      <c r="Q1151" s="12"/>
      <c r="R1151" s="12"/>
      <c r="S1151" s="12"/>
    </row>
    <row r="1152" spans="1:19" ht="14.25" customHeight="1" x14ac:dyDescent="0.2">
      <c r="A1152" s="1" t="s">
        <v>95</v>
      </c>
      <c r="B1152" s="19">
        <v>46092.021828703706</v>
      </c>
      <c r="C1152" s="19">
        <v>46092.040798611109</v>
      </c>
      <c r="D1152" s="20">
        <v>46092</v>
      </c>
      <c r="E1152" s="21">
        <v>4.0798611109494232E-2</v>
      </c>
      <c r="F1152" s="1" t="s">
        <v>1356</v>
      </c>
      <c r="G1152" s="1" t="s">
        <v>21</v>
      </c>
      <c r="H1152" s="1" t="s">
        <v>110</v>
      </c>
      <c r="I1152" s="1" t="s">
        <v>166</v>
      </c>
      <c r="J1152" s="12">
        <v>0.83</v>
      </c>
      <c r="K1152" s="12"/>
      <c r="L1152" s="12"/>
      <c r="M1152" s="12"/>
      <c r="N1152" s="12"/>
      <c r="O1152" s="12"/>
      <c r="P1152" s="12"/>
      <c r="Q1152" s="12"/>
      <c r="R1152" s="12"/>
      <c r="S1152" s="12"/>
    </row>
    <row r="1153" spans="1:19" ht="14.25" customHeight="1" x14ac:dyDescent="0.2">
      <c r="A1153" s="1" t="s">
        <v>33</v>
      </c>
      <c r="B1153" s="7">
        <v>46092.020601851851</v>
      </c>
      <c r="C1153" s="7">
        <v>46092.04109953704</v>
      </c>
      <c r="D1153" s="8">
        <v>46092</v>
      </c>
      <c r="E1153" s="9">
        <v>4.1099537040281575E-2</v>
      </c>
      <c r="F1153" s="10" t="s">
        <v>1357</v>
      </c>
      <c r="G1153" s="10" t="s">
        <v>21</v>
      </c>
      <c r="H1153" s="10" t="s">
        <v>1358</v>
      </c>
      <c r="I1153" s="10" t="s">
        <v>23</v>
      </c>
      <c r="J1153" s="11">
        <v>0.98</v>
      </c>
      <c r="K1153" s="12"/>
      <c r="L1153" s="12"/>
      <c r="M1153" s="12"/>
      <c r="N1153" s="12"/>
      <c r="O1153" s="12"/>
      <c r="P1153" s="12"/>
      <c r="Q1153" s="12"/>
      <c r="R1153" s="12"/>
      <c r="S1153" s="12"/>
    </row>
    <row r="1154" spans="1:19" ht="14.25" customHeight="1" x14ac:dyDescent="0.2">
      <c r="A1154" s="1" t="s">
        <v>24</v>
      </c>
      <c r="B1154" s="7">
        <v>46092.024606481478</v>
      </c>
      <c r="C1154" s="7">
        <v>46092.043495370373</v>
      </c>
      <c r="D1154" s="8">
        <v>46092</v>
      </c>
      <c r="E1154" s="9">
        <v>4.3495370373420883E-2</v>
      </c>
      <c r="F1154" s="10" t="s">
        <v>1359</v>
      </c>
      <c r="G1154" s="10" t="s">
        <v>21</v>
      </c>
      <c r="H1154" s="10" t="s">
        <v>101</v>
      </c>
      <c r="I1154" s="10" t="s">
        <v>23</v>
      </c>
      <c r="J1154" s="11">
        <v>1.7</v>
      </c>
      <c r="K1154" s="12"/>
      <c r="L1154" s="12">
        <f>SUM(J1154:J1177)</f>
        <v>33.239999999999995</v>
      </c>
      <c r="M1154" s="13">
        <f>L1154*65</f>
        <v>2160.5999999999995</v>
      </c>
      <c r="N1154" s="14">
        <f>MAX(500,M1154)</f>
        <v>2160.5999999999995</v>
      </c>
      <c r="O1154" s="12"/>
      <c r="P1154" s="12"/>
      <c r="Q1154" s="12"/>
      <c r="R1154" s="12"/>
      <c r="S1154" s="12"/>
    </row>
    <row r="1155" spans="1:19" ht="14.25" customHeight="1" x14ac:dyDescent="0.2">
      <c r="A1155" s="1" t="s">
        <v>95</v>
      </c>
      <c r="B1155" s="7">
        <v>46092.0158912037</v>
      </c>
      <c r="C1155" s="7">
        <v>46092.043854166666</v>
      </c>
      <c r="D1155" s="8">
        <v>46092</v>
      </c>
      <c r="E1155" s="9">
        <v>4.3854166666278616E-2</v>
      </c>
      <c r="F1155" s="10" t="s">
        <v>1360</v>
      </c>
      <c r="G1155" s="10" t="s">
        <v>21</v>
      </c>
      <c r="H1155" s="10" t="s">
        <v>110</v>
      </c>
      <c r="I1155" s="10" t="s">
        <v>23</v>
      </c>
      <c r="J1155" s="11">
        <v>0.83</v>
      </c>
      <c r="K1155" s="12"/>
      <c r="L1155" s="12"/>
      <c r="M1155" s="12"/>
      <c r="N1155" s="12"/>
      <c r="O1155" s="12"/>
      <c r="P1155" s="12"/>
      <c r="Q1155" s="12"/>
      <c r="R1155" s="12"/>
      <c r="S1155" s="12"/>
    </row>
    <row r="1156" spans="1:19" ht="14.25" customHeight="1" x14ac:dyDescent="0.2">
      <c r="A1156" s="1" t="s">
        <v>24</v>
      </c>
      <c r="B1156" s="7">
        <v>46092.022719907407</v>
      </c>
      <c r="C1156" s="7">
        <v>46092.044062499997</v>
      </c>
      <c r="D1156" s="8">
        <v>46092</v>
      </c>
      <c r="E1156" s="9">
        <v>4.4062499997380655E-2</v>
      </c>
      <c r="F1156" s="10" t="s">
        <v>1361</v>
      </c>
      <c r="G1156" s="10" t="s">
        <v>21</v>
      </c>
      <c r="H1156" s="10" t="s">
        <v>22</v>
      </c>
      <c r="I1156" s="10" t="s">
        <v>23</v>
      </c>
      <c r="J1156" s="11">
        <v>0.83</v>
      </c>
      <c r="K1156" s="12"/>
      <c r="L1156" s="12"/>
      <c r="M1156" s="12"/>
      <c r="N1156" s="12"/>
      <c r="O1156" s="12"/>
      <c r="P1156" s="12"/>
      <c r="Q1156" s="12"/>
      <c r="R1156" s="12"/>
      <c r="S1156" s="12"/>
    </row>
    <row r="1157" spans="1:19" ht="14.25" customHeight="1" x14ac:dyDescent="0.2">
      <c r="A1157" s="1" t="s">
        <v>95</v>
      </c>
      <c r="B1157" s="19">
        <v>46092.021828703706</v>
      </c>
      <c r="C1157" s="19">
        <v>46092.044479166667</v>
      </c>
      <c r="D1157" s="20">
        <v>46092</v>
      </c>
      <c r="E1157" s="21">
        <v>4.4479166666860692E-2</v>
      </c>
      <c r="F1157" s="1" t="s">
        <v>1362</v>
      </c>
      <c r="G1157" s="1" t="s">
        <v>21</v>
      </c>
      <c r="H1157" s="1" t="s">
        <v>52</v>
      </c>
      <c r="I1157" s="1" t="s">
        <v>166</v>
      </c>
      <c r="J1157" s="12">
        <v>0.98</v>
      </c>
      <c r="K1157" s="12"/>
      <c r="L1157" s="12"/>
      <c r="M1157" s="12"/>
      <c r="N1157" s="12"/>
      <c r="O1157" s="12"/>
      <c r="P1157" s="12"/>
      <c r="Q1157" s="12"/>
      <c r="R1157" s="12"/>
      <c r="S1157" s="12"/>
    </row>
    <row r="1158" spans="1:19" ht="14.25" customHeight="1" x14ac:dyDescent="0.2">
      <c r="A1158" s="1" t="s">
        <v>95</v>
      </c>
      <c r="B1158" s="7">
        <v>46091.997361111113</v>
      </c>
      <c r="C1158" s="7">
        <v>46092.045162037037</v>
      </c>
      <c r="D1158" s="8">
        <v>46092</v>
      </c>
      <c r="E1158" s="9">
        <v>4.5162037036789116E-2</v>
      </c>
      <c r="F1158" s="10" t="s">
        <v>1363</v>
      </c>
      <c r="G1158" s="10" t="s">
        <v>21</v>
      </c>
      <c r="H1158" s="10" t="s">
        <v>97</v>
      </c>
      <c r="I1158" s="10" t="s">
        <v>23</v>
      </c>
      <c r="J1158" s="11">
        <v>1.77</v>
      </c>
      <c r="K1158" s="12"/>
      <c r="L1158" s="12"/>
      <c r="M1158" s="12"/>
      <c r="N1158" s="12"/>
      <c r="O1158" s="12"/>
      <c r="P1158" s="12"/>
      <c r="Q1158" s="12"/>
      <c r="R1158" s="12"/>
      <c r="S1158" s="12"/>
    </row>
    <row r="1159" spans="1:19" ht="14.25" customHeight="1" x14ac:dyDescent="0.2">
      <c r="A1159" s="1" t="s">
        <v>95</v>
      </c>
      <c r="B1159" s="7">
        <v>46092.018761574072</v>
      </c>
      <c r="C1159" s="7">
        <v>46092.046226851853</v>
      </c>
      <c r="D1159" s="8">
        <v>46092</v>
      </c>
      <c r="E1159" s="9">
        <v>4.6226851853134576E-2</v>
      </c>
      <c r="F1159" s="10" t="s">
        <v>1364</v>
      </c>
      <c r="G1159" s="10" t="s">
        <v>21</v>
      </c>
      <c r="H1159" s="10" t="s">
        <v>97</v>
      </c>
      <c r="I1159" s="10" t="s">
        <v>23</v>
      </c>
      <c r="J1159" s="11">
        <v>1.77</v>
      </c>
      <c r="K1159" s="12"/>
      <c r="L1159" s="12"/>
      <c r="M1159" s="12"/>
      <c r="N1159" s="12"/>
      <c r="O1159" s="12"/>
      <c r="P1159" s="12"/>
      <c r="Q1159" s="12"/>
      <c r="R1159" s="12"/>
      <c r="S1159" s="12"/>
    </row>
    <row r="1160" spans="1:19" ht="14.25" customHeight="1" x14ac:dyDescent="0.2">
      <c r="A1160" s="1" t="s">
        <v>42</v>
      </c>
      <c r="B1160" s="7">
        <v>46092.015208333331</v>
      </c>
      <c r="C1160" s="7">
        <v>46092.047152777777</v>
      </c>
      <c r="D1160" s="8">
        <v>46092</v>
      </c>
      <c r="E1160" s="9">
        <v>4.7152777777228039E-2</v>
      </c>
      <c r="F1160" s="10" t="s">
        <v>1365</v>
      </c>
      <c r="G1160" s="10" t="s">
        <v>26</v>
      </c>
      <c r="H1160" s="10" t="s">
        <v>56</v>
      </c>
      <c r="I1160" s="10" t="s">
        <v>23</v>
      </c>
      <c r="J1160" s="11">
        <v>0.73</v>
      </c>
      <c r="K1160" s="12"/>
      <c r="L1160" s="12"/>
      <c r="M1160" s="12"/>
      <c r="N1160" s="12"/>
      <c r="O1160" s="12"/>
      <c r="P1160" s="12"/>
      <c r="Q1160" s="12"/>
      <c r="R1160" s="12"/>
      <c r="S1160" s="12"/>
    </row>
    <row r="1161" spans="1:19" ht="14.25" customHeight="1" x14ac:dyDescent="0.2">
      <c r="A1161" s="1" t="s">
        <v>24</v>
      </c>
      <c r="B1161" s="7">
        <v>46092.013692129629</v>
      </c>
      <c r="C1161" s="7">
        <v>46092.04787037037</v>
      </c>
      <c r="D1161" s="8">
        <v>46092</v>
      </c>
      <c r="E1161" s="9">
        <v>4.7870370370219462E-2</v>
      </c>
      <c r="F1161" s="10" t="s">
        <v>1366</v>
      </c>
      <c r="G1161" s="10" t="s">
        <v>26</v>
      </c>
      <c r="H1161" s="10" t="s">
        <v>1367</v>
      </c>
      <c r="I1161" s="10" t="s">
        <v>23</v>
      </c>
      <c r="J1161" s="11">
        <v>0.49</v>
      </c>
      <c r="K1161" s="12"/>
      <c r="L1161" s="12"/>
      <c r="M1161" s="12"/>
      <c r="N1161" s="12"/>
      <c r="O1161" s="12"/>
      <c r="P1161" s="12"/>
      <c r="Q1161" s="12"/>
      <c r="R1161" s="12"/>
      <c r="S1161" s="12"/>
    </row>
    <row r="1162" spans="1:19" ht="14.25" customHeight="1" x14ac:dyDescent="0.2">
      <c r="A1162" s="1" t="s">
        <v>19</v>
      </c>
      <c r="B1162" s="7">
        <v>46092.02616898148</v>
      </c>
      <c r="C1162" s="7">
        <v>46092.048877314817</v>
      </c>
      <c r="D1162" s="8">
        <v>46092</v>
      </c>
      <c r="E1162" s="9">
        <v>4.8877314817218576E-2</v>
      </c>
      <c r="F1162" s="10" t="s">
        <v>1368</v>
      </c>
      <c r="G1162" s="10" t="s">
        <v>21</v>
      </c>
      <c r="H1162" s="10" t="s">
        <v>41</v>
      </c>
      <c r="I1162" s="10" t="s">
        <v>23</v>
      </c>
      <c r="J1162" s="11">
        <v>1.77</v>
      </c>
      <c r="K1162" s="12"/>
      <c r="L1162" s="12"/>
      <c r="M1162" s="12"/>
      <c r="N1162" s="12"/>
      <c r="O1162" s="12"/>
      <c r="P1162" s="12"/>
      <c r="Q1162" s="12"/>
      <c r="R1162" s="12"/>
      <c r="S1162" s="12"/>
    </row>
    <row r="1163" spans="1:19" ht="14.25" customHeight="1" x14ac:dyDescent="0.2">
      <c r="A1163" s="1" t="s">
        <v>19</v>
      </c>
      <c r="B1163" s="7">
        <v>46091.966504629629</v>
      </c>
      <c r="C1163" s="7">
        <v>46092.053599537037</v>
      </c>
      <c r="D1163" s="8">
        <v>46092</v>
      </c>
      <c r="E1163" s="9">
        <v>5.3599537037371192E-2</v>
      </c>
      <c r="F1163" s="10" t="s">
        <v>1369</v>
      </c>
      <c r="G1163" s="10" t="s">
        <v>21</v>
      </c>
      <c r="H1163" s="10" t="s">
        <v>399</v>
      </c>
      <c r="I1163" s="10" t="s">
        <v>23</v>
      </c>
      <c r="J1163" s="11">
        <v>3.92</v>
      </c>
      <c r="K1163" s="12"/>
      <c r="L1163" s="12"/>
      <c r="M1163" s="12"/>
      <c r="N1163" s="12"/>
      <c r="O1163" s="12"/>
      <c r="P1163" s="12"/>
      <c r="Q1163" s="12"/>
      <c r="R1163" s="12"/>
      <c r="S1163" s="12"/>
    </row>
    <row r="1164" spans="1:19" ht="14.25" customHeight="1" x14ac:dyDescent="0.2">
      <c r="A1164" s="1" t="s">
        <v>19</v>
      </c>
      <c r="B1164" s="7">
        <v>46092.036423611113</v>
      </c>
      <c r="C1164" s="7">
        <v>46092.053726851853</v>
      </c>
      <c r="D1164" s="8">
        <v>46092</v>
      </c>
      <c r="E1164" s="9">
        <v>5.3726851852843538E-2</v>
      </c>
      <c r="F1164" s="10" t="s">
        <v>1370</v>
      </c>
      <c r="G1164" s="10" t="s">
        <v>21</v>
      </c>
      <c r="H1164" s="10" t="s">
        <v>22</v>
      </c>
      <c r="I1164" s="10" t="s">
        <v>23</v>
      </c>
      <c r="J1164" s="11">
        <v>0.83</v>
      </c>
      <c r="K1164" s="12"/>
      <c r="L1164" s="12"/>
      <c r="M1164" s="12"/>
      <c r="N1164" s="12"/>
      <c r="O1164" s="12"/>
      <c r="P1164" s="12"/>
      <c r="Q1164" s="12"/>
      <c r="R1164" s="12"/>
      <c r="S1164" s="12"/>
    </row>
    <row r="1165" spans="1:19" ht="14.25" customHeight="1" x14ac:dyDescent="0.2">
      <c r="A1165" s="1" t="s">
        <v>95</v>
      </c>
      <c r="B1165" s="19">
        <v>46092.0078587963</v>
      </c>
      <c r="C1165" s="19">
        <v>46092.053981481484</v>
      </c>
      <c r="D1165" s="20">
        <v>46092</v>
      </c>
      <c r="E1165" s="21">
        <v>5.398148148378823E-2</v>
      </c>
      <c r="F1165" s="1" t="s">
        <v>1371</v>
      </c>
      <c r="G1165" s="1" t="s">
        <v>21</v>
      </c>
      <c r="H1165" s="1" t="s">
        <v>105</v>
      </c>
      <c r="I1165" s="1" t="s">
        <v>166</v>
      </c>
      <c r="J1165" s="12">
        <v>2.5</v>
      </c>
      <c r="K1165" s="12"/>
      <c r="L1165" s="12"/>
      <c r="M1165" s="12"/>
      <c r="N1165" s="12"/>
      <c r="O1165" s="12"/>
      <c r="P1165" s="12"/>
      <c r="Q1165" s="12"/>
      <c r="R1165" s="12"/>
      <c r="S1165" s="12"/>
    </row>
    <row r="1166" spans="1:19" ht="14.25" customHeight="1" x14ac:dyDescent="0.2">
      <c r="A1166" s="1" t="s">
        <v>19</v>
      </c>
      <c r="B1166" s="7">
        <v>46092.036423611113</v>
      </c>
      <c r="C1166" s="7">
        <v>46092.054062499999</v>
      </c>
      <c r="D1166" s="8">
        <v>46092</v>
      </c>
      <c r="E1166" s="9">
        <v>5.4062499999417923E-2</v>
      </c>
      <c r="F1166" s="10" t="s">
        <v>1372</v>
      </c>
      <c r="G1166" s="10" t="s">
        <v>21</v>
      </c>
      <c r="H1166" s="10" t="s">
        <v>142</v>
      </c>
      <c r="I1166" s="10" t="s">
        <v>23</v>
      </c>
      <c r="J1166" s="11">
        <v>0.83</v>
      </c>
      <c r="K1166" s="12"/>
      <c r="L1166" s="12"/>
      <c r="M1166" s="12"/>
      <c r="N1166" s="12"/>
      <c r="O1166" s="12"/>
      <c r="P1166" s="12"/>
      <c r="Q1166" s="12"/>
      <c r="R1166" s="12"/>
      <c r="S1166" s="12"/>
    </row>
    <row r="1167" spans="1:19" ht="14.25" customHeight="1" x14ac:dyDescent="0.2">
      <c r="A1167" s="1" t="s">
        <v>95</v>
      </c>
      <c r="B1167" s="7">
        <v>46092.012824074074</v>
      </c>
      <c r="C1167" s="7">
        <v>46092.0544212963</v>
      </c>
      <c r="D1167" s="8">
        <v>46092</v>
      </c>
      <c r="E1167" s="9">
        <v>5.4421296299551614E-2</v>
      </c>
      <c r="F1167" s="10" t="s">
        <v>1373</v>
      </c>
      <c r="G1167" s="10" t="s">
        <v>26</v>
      </c>
      <c r="H1167" s="10" t="s">
        <v>1374</v>
      </c>
      <c r="I1167" s="10" t="s">
        <v>23</v>
      </c>
      <c r="J1167" s="11">
        <v>1.34</v>
      </c>
      <c r="K1167" s="12"/>
      <c r="L1167" s="12"/>
      <c r="M1167" s="12"/>
      <c r="N1167" s="12"/>
      <c r="O1167" s="12"/>
      <c r="P1167" s="12"/>
      <c r="Q1167" s="12"/>
      <c r="R1167" s="12"/>
      <c r="S1167" s="12"/>
    </row>
    <row r="1168" spans="1:19" ht="14.25" customHeight="1" x14ac:dyDescent="0.2">
      <c r="A1168" s="1" t="s">
        <v>95</v>
      </c>
      <c r="B1168" s="19">
        <v>46092.034699074073</v>
      </c>
      <c r="C1168" s="19">
        <v>46092.055763888886</v>
      </c>
      <c r="D1168" s="20">
        <v>46092</v>
      </c>
      <c r="E1168" s="21">
        <v>5.5763888885849155E-2</v>
      </c>
      <c r="F1168" s="1" t="s">
        <v>1375</v>
      </c>
      <c r="G1168" s="1" t="s">
        <v>21</v>
      </c>
      <c r="H1168" s="1" t="s">
        <v>110</v>
      </c>
      <c r="I1168" s="1" t="s">
        <v>166</v>
      </c>
      <c r="J1168" s="12">
        <v>0.83</v>
      </c>
      <c r="K1168" s="12"/>
      <c r="L1168" s="12"/>
      <c r="M1168" s="12"/>
      <c r="N1168" s="12"/>
      <c r="O1168" s="12"/>
      <c r="P1168" s="12"/>
      <c r="Q1168" s="12"/>
      <c r="R1168" s="12"/>
      <c r="S1168" s="12"/>
    </row>
    <row r="1169" spans="1:19" ht="14.25" customHeight="1" x14ac:dyDescent="0.2">
      <c r="A1169" s="1" t="s">
        <v>95</v>
      </c>
      <c r="B1169" s="7">
        <v>46092.049050925925</v>
      </c>
      <c r="C1169" s="7">
        <v>46092.057916666665</v>
      </c>
      <c r="D1169" s="8">
        <v>46092</v>
      </c>
      <c r="E1169" s="9">
        <v>5.7916666664823424E-2</v>
      </c>
      <c r="F1169" s="10" t="s">
        <v>1376</v>
      </c>
      <c r="G1169" s="10" t="s">
        <v>21</v>
      </c>
      <c r="H1169" s="10" t="s">
        <v>97</v>
      </c>
      <c r="I1169" s="10" t="s">
        <v>23</v>
      </c>
      <c r="J1169" s="11">
        <v>1.77</v>
      </c>
      <c r="K1169" s="12"/>
      <c r="L1169" s="12"/>
      <c r="M1169" s="12"/>
      <c r="N1169" s="12"/>
      <c r="O1169" s="12"/>
      <c r="P1169" s="12"/>
      <c r="Q1169" s="12"/>
      <c r="R1169" s="12"/>
      <c r="S1169" s="12"/>
    </row>
    <row r="1170" spans="1:19" ht="14.25" customHeight="1" x14ac:dyDescent="0.2">
      <c r="A1170" s="1" t="s">
        <v>95</v>
      </c>
      <c r="B1170" s="7">
        <v>46092.039282407408</v>
      </c>
      <c r="C1170" s="7">
        <v>46092.061041666668</v>
      </c>
      <c r="D1170" s="8">
        <v>46092</v>
      </c>
      <c r="E1170" s="9">
        <v>6.1041666667733807E-2</v>
      </c>
      <c r="F1170" s="10" t="s">
        <v>1377</v>
      </c>
      <c r="G1170" s="10" t="s">
        <v>21</v>
      </c>
      <c r="H1170" s="10" t="s">
        <v>154</v>
      </c>
      <c r="I1170" s="10" t="s">
        <v>23</v>
      </c>
      <c r="J1170" s="11">
        <v>1.77</v>
      </c>
      <c r="K1170" s="12"/>
      <c r="L1170" s="12"/>
      <c r="M1170" s="12"/>
      <c r="N1170" s="12"/>
      <c r="O1170" s="12"/>
      <c r="P1170" s="12"/>
      <c r="Q1170" s="12"/>
      <c r="R1170" s="12"/>
      <c r="S1170" s="12"/>
    </row>
    <row r="1171" spans="1:19" ht="14.25" customHeight="1" x14ac:dyDescent="0.2">
      <c r="A1171" s="1" t="s">
        <v>42</v>
      </c>
      <c r="B1171" s="7">
        <v>46092.041377314818</v>
      </c>
      <c r="C1171" s="7">
        <v>46092.065787037034</v>
      </c>
      <c r="D1171" s="8">
        <v>46092</v>
      </c>
      <c r="E1171" s="9">
        <v>6.5787037034169771E-2</v>
      </c>
      <c r="F1171" s="10" t="s">
        <v>1378</v>
      </c>
      <c r="G1171" s="10" t="s">
        <v>21</v>
      </c>
      <c r="H1171" s="10" t="s">
        <v>225</v>
      </c>
      <c r="I1171" s="10" t="s">
        <v>23</v>
      </c>
      <c r="J1171" s="11">
        <v>1.77</v>
      </c>
      <c r="K1171" s="12"/>
      <c r="L1171" s="12"/>
      <c r="M1171" s="12"/>
      <c r="N1171" s="12"/>
      <c r="O1171" s="12"/>
      <c r="P1171" s="12"/>
      <c r="Q1171" s="12"/>
      <c r="R1171" s="12"/>
      <c r="S1171" s="12"/>
    </row>
    <row r="1172" spans="1:19" ht="14.25" customHeight="1" x14ac:dyDescent="0.2">
      <c r="A1172" s="1" t="s">
        <v>95</v>
      </c>
      <c r="B1172" s="7">
        <v>46092.043368055558</v>
      </c>
      <c r="C1172" s="7">
        <v>46092.066354166665</v>
      </c>
      <c r="D1172" s="8">
        <v>46092</v>
      </c>
      <c r="E1172" s="9">
        <v>6.6354166665405501E-2</v>
      </c>
      <c r="F1172" s="10" t="s">
        <v>1379</v>
      </c>
      <c r="G1172" s="10" t="s">
        <v>21</v>
      </c>
      <c r="H1172" s="10" t="s">
        <v>110</v>
      </c>
      <c r="I1172" s="10" t="s">
        <v>23</v>
      </c>
      <c r="J1172" s="11">
        <v>0.83</v>
      </c>
      <c r="K1172" s="12"/>
      <c r="L1172" s="12"/>
      <c r="M1172" s="12"/>
      <c r="N1172" s="12"/>
      <c r="O1172" s="12"/>
      <c r="P1172" s="12"/>
      <c r="Q1172" s="12"/>
      <c r="R1172" s="12"/>
      <c r="S1172" s="12"/>
    </row>
    <row r="1173" spans="1:19" ht="14.25" customHeight="1" x14ac:dyDescent="0.2">
      <c r="A1173" s="1" t="s">
        <v>42</v>
      </c>
      <c r="B1173" s="7">
        <v>46092.057303240741</v>
      </c>
      <c r="C1173" s="7">
        <v>46092.066886574074</v>
      </c>
      <c r="D1173" s="8">
        <v>46092</v>
      </c>
      <c r="E1173" s="9">
        <v>6.6886574073578231E-2</v>
      </c>
      <c r="F1173" s="10" t="s">
        <v>1380</v>
      </c>
      <c r="G1173" s="10" t="s">
        <v>21</v>
      </c>
      <c r="H1173" s="10" t="s">
        <v>108</v>
      </c>
      <c r="I1173" s="10" t="s">
        <v>23</v>
      </c>
      <c r="J1173" s="11">
        <v>1.7</v>
      </c>
      <c r="K1173" s="12"/>
      <c r="L1173" s="12"/>
      <c r="M1173" s="12"/>
      <c r="N1173" s="12"/>
      <c r="O1173" s="12"/>
      <c r="P1173" s="12"/>
      <c r="Q1173" s="12"/>
      <c r="R1173" s="12"/>
      <c r="S1173" s="12"/>
    </row>
    <row r="1174" spans="1:19" ht="14.25" customHeight="1" x14ac:dyDescent="0.2">
      <c r="A1174" s="1" t="s">
        <v>95</v>
      </c>
      <c r="B1174" s="19">
        <v>46092.04173611111</v>
      </c>
      <c r="C1174" s="19">
        <v>46092.071122685185</v>
      </c>
      <c r="D1174" s="20">
        <v>46092</v>
      </c>
      <c r="E1174" s="21">
        <v>7.1122685185400769E-2</v>
      </c>
      <c r="F1174" s="1" t="s">
        <v>1381</v>
      </c>
      <c r="G1174" s="1" t="s">
        <v>21</v>
      </c>
      <c r="H1174" s="1" t="s">
        <v>1382</v>
      </c>
      <c r="I1174" s="1" t="s">
        <v>166</v>
      </c>
      <c r="J1174" s="12">
        <v>1.77</v>
      </c>
      <c r="K1174" s="12"/>
      <c r="L1174" s="12"/>
      <c r="M1174" s="12"/>
      <c r="N1174" s="12"/>
      <c r="O1174" s="12"/>
      <c r="P1174" s="12"/>
      <c r="Q1174" s="12"/>
      <c r="R1174" s="12"/>
      <c r="S1174" s="12"/>
    </row>
    <row r="1175" spans="1:19" ht="14.25" customHeight="1" x14ac:dyDescent="0.2">
      <c r="A1175" s="1" t="s">
        <v>95</v>
      </c>
      <c r="B1175" s="7">
        <v>46092.054699074077</v>
      </c>
      <c r="C1175" s="7">
        <v>46092.071319444447</v>
      </c>
      <c r="D1175" s="8">
        <v>46092</v>
      </c>
      <c r="E1175" s="9">
        <v>7.1319444446999114E-2</v>
      </c>
      <c r="F1175" s="10" t="s">
        <v>1383</v>
      </c>
      <c r="G1175" s="10" t="s">
        <v>21</v>
      </c>
      <c r="H1175" s="10" t="s">
        <v>108</v>
      </c>
      <c r="I1175" s="10" t="s">
        <v>23</v>
      </c>
      <c r="J1175" s="11">
        <v>1.7</v>
      </c>
      <c r="K1175" s="12"/>
      <c r="L1175" s="12"/>
      <c r="M1175" s="12"/>
      <c r="N1175" s="12"/>
      <c r="O1175" s="12"/>
      <c r="P1175" s="12"/>
      <c r="Q1175" s="12"/>
      <c r="R1175" s="12"/>
      <c r="S1175" s="12"/>
    </row>
    <row r="1176" spans="1:19" ht="14.25" customHeight="1" x14ac:dyDescent="0.2">
      <c r="A1176" s="1" t="s">
        <v>42</v>
      </c>
      <c r="B1176" s="7">
        <v>46092.064363425925</v>
      </c>
      <c r="C1176" s="7">
        <v>46092.076006944444</v>
      </c>
      <c r="D1176" s="8">
        <v>46092</v>
      </c>
      <c r="E1176" s="9">
        <v>7.6006944444088731E-2</v>
      </c>
      <c r="F1176" s="10" t="s">
        <v>1384</v>
      </c>
      <c r="G1176" s="10" t="s">
        <v>44</v>
      </c>
      <c r="H1176" s="10" t="s">
        <v>1144</v>
      </c>
      <c r="I1176" s="10" t="s">
        <v>23</v>
      </c>
      <c r="J1176" s="11">
        <v>0.18</v>
      </c>
      <c r="K1176" s="12"/>
      <c r="L1176" s="12"/>
      <c r="M1176" s="12"/>
      <c r="N1176" s="12"/>
      <c r="O1176" s="12"/>
      <c r="P1176" s="12"/>
      <c r="Q1176" s="12"/>
      <c r="R1176" s="12"/>
      <c r="S1176" s="12"/>
    </row>
    <row r="1177" spans="1:19" ht="14.25" customHeight="1" x14ac:dyDescent="0.2">
      <c r="A1177" s="1" t="s">
        <v>42</v>
      </c>
      <c r="B1177" s="7">
        <v>46092.057719907411</v>
      </c>
      <c r="C1177" s="7">
        <v>46092.076608796298</v>
      </c>
      <c r="D1177" s="8">
        <v>46092</v>
      </c>
      <c r="E1177" s="9">
        <v>7.660879629838746E-2</v>
      </c>
      <c r="F1177" s="10" t="s">
        <v>1385</v>
      </c>
      <c r="G1177" s="10" t="s">
        <v>26</v>
      </c>
      <c r="H1177" s="10" t="s">
        <v>125</v>
      </c>
      <c r="I1177" s="10" t="s">
        <v>23</v>
      </c>
      <c r="J1177" s="11">
        <v>0.63</v>
      </c>
      <c r="K1177" s="12"/>
      <c r="L1177" s="12"/>
      <c r="M1177" s="12"/>
      <c r="N1177" s="12"/>
      <c r="O1177" s="12"/>
      <c r="P1177" s="12"/>
      <c r="Q1177" s="12"/>
      <c r="R1177" s="12"/>
      <c r="S1177" s="12"/>
    </row>
    <row r="1178" spans="1:19" ht="14.25" customHeight="1" x14ac:dyDescent="0.2">
      <c r="A1178" s="1" t="s">
        <v>112</v>
      </c>
      <c r="B1178" s="7">
        <v>46092.078368055554</v>
      </c>
      <c r="C1178" s="7">
        <v>46092.083425925928</v>
      </c>
      <c r="D1178" s="8">
        <v>46092</v>
      </c>
      <c r="E1178" s="9">
        <v>8.3425925928167999E-2</v>
      </c>
      <c r="F1178" s="10" t="s">
        <v>1386</v>
      </c>
      <c r="G1178" s="10" t="s">
        <v>21</v>
      </c>
      <c r="H1178" s="10" t="s">
        <v>117</v>
      </c>
      <c r="I1178" s="10" t="s">
        <v>23</v>
      </c>
      <c r="J1178" s="11">
        <v>0.83</v>
      </c>
      <c r="K1178" s="12"/>
      <c r="L1178" s="12">
        <f>SUM(J1178:J1189)</f>
        <v>13.01</v>
      </c>
      <c r="M1178" s="13">
        <f>L1178*65</f>
        <v>845.65</v>
      </c>
      <c r="N1178" s="14">
        <f>MAX(500,M1178)</f>
        <v>845.65</v>
      </c>
      <c r="O1178" s="12"/>
      <c r="P1178" s="12"/>
      <c r="Q1178" s="12"/>
      <c r="R1178" s="12"/>
      <c r="S1178" s="12"/>
    </row>
    <row r="1179" spans="1:19" ht="14.25" customHeight="1" x14ac:dyDescent="0.2">
      <c r="A1179" s="1" t="s">
        <v>42</v>
      </c>
      <c r="B1179" s="19">
        <v>46092.061689814815</v>
      </c>
      <c r="C1179" s="19">
        <v>46092.087604166663</v>
      </c>
      <c r="D1179" s="20">
        <v>46092</v>
      </c>
      <c r="E1179" s="21">
        <v>8.7604166663368233E-2</v>
      </c>
      <c r="F1179" s="1" t="s">
        <v>1387</v>
      </c>
      <c r="G1179" s="1" t="s">
        <v>26</v>
      </c>
      <c r="H1179" s="1" t="s">
        <v>391</v>
      </c>
      <c r="I1179" s="1" t="s">
        <v>166</v>
      </c>
      <c r="J1179" s="12">
        <v>0.67</v>
      </c>
      <c r="K1179" s="12"/>
      <c r="L1179" s="12"/>
      <c r="M1179" s="12"/>
      <c r="N1179" s="12"/>
      <c r="O1179" s="12"/>
      <c r="P1179" s="12"/>
      <c r="Q1179" s="12"/>
      <c r="R1179" s="12"/>
      <c r="S1179" s="12"/>
    </row>
    <row r="1180" spans="1:19" ht="14.25" customHeight="1" x14ac:dyDescent="0.2">
      <c r="A1180" s="1" t="s">
        <v>19</v>
      </c>
      <c r="B1180" s="7">
        <v>46092.009594907409</v>
      </c>
      <c r="C1180" s="7">
        <v>46092.090462962966</v>
      </c>
      <c r="D1180" s="8">
        <v>46092</v>
      </c>
      <c r="E1180" s="9">
        <v>9.0462962965830229E-2</v>
      </c>
      <c r="F1180" s="10" t="s">
        <v>1388</v>
      </c>
      <c r="G1180" s="10" t="s">
        <v>21</v>
      </c>
      <c r="H1180" s="10" t="s">
        <v>216</v>
      </c>
      <c r="I1180" s="10" t="s">
        <v>23</v>
      </c>
      <c r="J1180" s="11">
        <v>0.98</v>
      </c>
      <c r="K1180" s="12"/>
      <c r="L1180" s="12"/>
      <c r="M1180" s="12"/>
      <c r="N1180" s="12"/>
      <c r="O1180" s="12"/>
      <c r="P1180" s="12"/>
      <c r="Q1180" s="12"/>
      <c r="R1180" s="12"/>
      <c r="S1180" s="12"/>
    </row>
    <row r="1181" spans="1:19" ht="14.25" customHeight="1" x14ac:dyDescent="0.2">
      <c r="A1181" s="1" t="s">
        <v>95</v>
      </c>
      <c r="B1181" s="7">
        <v>46092.069687499999</v>
      </c>
      <c r="C1181" s="7">
        <v>46092.096203703702</v>
      </c>
      <c r="D1181" s="8">
        <v>46092</v>
      </c>
      <c r="E1181" s="9">
        <v>9.6203703702485655E-2</v>
      </c>
      <c r="F1181" s="10" t="s">
        <v>1389</v>
      </c>
      <c r="G1181" s="10" t="s">
        <v>21</v>
      </c>
      <c r="H1181" s="10" t="s">
        <v>97</v>
      </c>
      <c r="I1181" s="10" t="s">
        <v>23</v>
      </c>
      <c r="J1181" s="11">
        <v>1.77</v>
      </c>
      <c r="K1181" s="12"/>
      <c r="L1181" s="12"/>
      <c r="M1181" s="12"/>
      <c r="N1181" s="12"/>
      <c r="O1181" s="12"/>
      <c r="P1181" s="12"/>
      <c r="Q1181" s="12"/>
      <c r="R1181" s="12"/>
      <c r="S1181" s="12"/>
    </row>
    <row r="1182" spans="1:19" ht="14.25" customHeight="1" x14ac:dyDescent="0.2">
      <c r="A1182" s="1" t="s">
        <v>95</v>
      </c>
      <c r="B1182" s="7">
        <v>46092.069687499999</v>
      </c>
      <c r="C1182" s="7">
        <v>46092.097361111111</v>
      </c>
      <c r="D1182" s="8">
        <v>46092</v>
      </c>
      <c r="E1182" s="9">
        <v>9.7361111111240461E-2</v>
      </c>
      <c r="F1182" s="10" t="s">
        <v>1390</v>
      </c>
      <c r="G1182" s="10" t="s">
        <v>21</v>
      </c>
      <c r="H1182" s="10" t="s">
        <v>435</v>
      </c>
      <c r="I1182" s="10" t="s">
        <v>23</v>
      </c>
      <c r="J1182" s="11">
        <v>1.1299999999999999</v>
      </c>
      <c r="K1182" s="12"/>
      <c r="L1182" s="12"/>
      <c r="M1182" s="12"/>
      <c r="N1182" s="12"/>
      <c r="O1182" s="12"/>
      <c r="P1182" s="12"/>
      <c r="Q1182" s="12"/>
      <c r="R1182" s="12"/>
      <c r="S1182" s="12"/>
    </row>
    <row r="1183" spans="1:19" ht="14.25" customHeight="1" x14ac:dyDescent="0.2">
      <c r="A1183" s="1" t="s">
        <v>19</v>
      </c>
      <c r="B1183" s="7">
        <v>46092.084733796299</v>
      </c>
      <c r="C1183" s="7">
        <v>46092.097881944443</v>
      </c>
      <c r="D1183" s="8">
        <v>46092</v>
      </c>
      <c r="E1183" s="9">
        <v>9.7881944442633539E-2</v>
      </c>
      <c r="F1183" s="10" t="s">
        <v>1391</v>
      </c>
      <c r="G1183" s="10" t="s">
        <v>21</v>
      </c>
      <c r="H1183" s="10" t="s">
        <v>101</v>
      </c>
      <c r="I1183" s="10" t="s">
        <v>23</v>
      </c>
      <c r="J1183" s="11">
        <v>1.7</v>
      </c>
      <c r="K1183" s="12"/>
      <c r="L1183" s="12"/>
      <c r="M1183" s="12"/>
      <c r="N1183" s="12"/>
      <c r="O1183" s="12"/>
      <c r="P1183" s="12"/>
      <c r="Q1183" s="12"/>
      <c r="R1183" s="12"/>
      <c r="S1183" s="12"/>
    </row>
    <row r="1184" spans="1:19" ht="14.25" customHeight="1" x14ac:dyDescent="0.2">
      <c r="A1184" s="1" t="s">
        <v>19</v>
      </c>
      <c r="B1184" s="19">
        <v>46092.009606481479</v>
      </c>
      <c r="C1184" s="19">
        <v>46092.104745370372</v>
      </c>
      <c r="D1184" s="20">
        <v>46092</v>
      </c>
      <c r="E1184" s="21">
        <v>0.10474537037225673</v>
      </c>
      <c r="F1184" s="1" t="s">
        <v>1392</v>
      </c>
      <c r="G1184" s="1" t="s">
        <v>21</v>
      </c>
      <c r="H1184" s="1" t="s">
        <v>1082</v>
      </c>
      <c r="I1184" s="1" t="s">
        <v>166</v>
      </c>
      <c r="J1184" s="12">
        <v>1.19</v>
      </c>
      <c r="K1184" s="12"/>
      <c r="L1184" s="12"/>
      <c r="M1184" s="12"/>
      <c r="N1184" s="12"/>
      <c r="O1184" s="12"/>
      <c r="P1184" s="12"/>
      <c r="Q1184" s="12"/>
      <c r="R1184" s="12"/>
      <c r="S1184" s="12"/>
    </row>
    <row r="1185" spans="1:19" ht="14.25" customHeight="1" x14ac:dyDescent="0.2">
      <c r="A1185" s="1" t="s">
        <v>24</v>
      </c>
      <c r="B1185" s="7">
        <v>46092.082002314812</v>
      </c>
      <c r="C1185" s="7">
        <v>46092.105405092596</v>
      </c>
      <c r="D1185" s="8">
        <v>46092</v>
      </c>
      <c r="E1185" s="9">
        <v>0.10540509259590181</v>
      </c>
      <c r="F1185" s="10" t="s">
        <v>1393</v>
      </c>
      <c r="G1185" s="10" t="s">
        <v>26</v>
      </c>
      <c r="H1185" s="10" t="s">
        <v>202</v>
      </c>
      <c r="I1185" s="10" t="s">
        <v>23</v>
      </c>
      <c r="J1185" s="11">
        <v>0.57999999999999996</v>
      </c>
      <c r="K1185" s="12"/>
      <c r="L1185" s="12"/>
      <c r="M1185" s="12"/>
      <c r="N1185" s="12"/>
      <c r="O1185" s="12"/>
      <c r="P1185" s="12"/>
      <c r="Q1185" s="12"/>
      <c r="R1185" s="12"/>
      <c r="S1185" s="12"/>
    </row>
    <row r="1186" spans="1:19" ht="14.25" customHeight="1" x14ac:dyDescent="0.2">
      <c r="A1186" s="1" t="s">
        <v>42</v>
      </c>
      <c r="B1186" s="19">
        <v>46092.078692129631</v>
      </c>
      <c r="C1186" s="19">
        <v>46092.106886574074</v>
      </c>
      <c r="D1186" s="20">
        <v>46092</v>
      </c>
      <c r="E1186" s="21">
        <v>0.10688657407445135</v>
      </c>
      <c r="F1186" s="1" t="s">
        <v>1394</v>
      </c>
      <c r="G1186" s="1" t="s">
        <v>26</v>
      </c>
      <c r="H1186" s="1" t="s">
        <v>157</v>
      </c>
      <c r="I1186" s="1" t="s">
        <v>166</v>
      </c>
      <c r="J1186" s="12">
        <v>0.73</v>
      </c>
      <c r="K1186" s="12"/>
      <c r="L1186" s="12"/>
      <c r="M1186" s="12"/>
      <c r="N1186" s="12"/>
      <c r="O1186" s="12"/>
      <c r="P1186" s="12"/>
      <c r="Q1186" s="12"/>
      <c r="R1186" s="12"/>
      <c r="S1186" s="12"/>
    </row>
    <row r="1187" spans="1:19" ht="14.25" customHeight="1" x14ac:dyDescent="0.2">
      <c r="A1187" s="1" t="s">
        <v>19</v>
      </c>
      <c r="B1187" s="19">
        <v>46092.09474537037</v>
      </c>
      <c r="C1187" s="19">
        <v>46092.110243055555</v>
      </c>
      <c r="D1187" s="20">
        <v>46092</v>
      </c>
      <c r="E1187" s="21">
        <v>0.11024305555474712</v>
      </c>
      <c r="F1187" s="1" t="s">
        <v>1395</v>
      </c>
      <c r="G1187" s="1" t="s">
        <v>21</v>
      </c>
      <c r="H1187" s="1" t="s">
        <v>22</v>
      </c>
      <c r="I1187" s="1" t="s">
        <v>166</v>
      </c>
      <c r="J1187" s="12">
        <v>0.83</v>
      </c>
      <c r="K1187" s="12"/>
      <c r="L1187" s="12"/>
      <c r="M1187" s="12"/>
      <c r="N1187" s="12"/>
      <c r="O1187" s="12"/>
      <c r="P1187" s="12"/>
      <c r="Q1187" s="12"/>
      <c r="R1187" s="12"/>
      <c r="S1187" s="12"/>
    </row>
    <row r="1188" spans="1:19" ht="14.25" customHeight="1" x14ac:dyDescent="0.2">
      <c r="A1188" s="1" t="s">
        <v>24</v>
      </c>
      <c r="B1188" s="7">
        <v>46092.11451388889</v>
      </c>
      <c r="C1188" s="7">
        <v>46092.124594907407</v>
      </c>
      <c r="D1188" s="8">
        <v>46092</v>
      </c>
      <c r="E1188" s="9">
        <v>0.12459490740729962</v>
      </c>
      <c r="F1188" s="10" t="s">
        <v>1396</v>
      </c>
      <c r="G1188" s="10" t="s">
        <v>21</v>
      </c>
      <c r="H1188" s="10" t="s">
        <v>22</v>
      </c>
      <c r="I1188" s="10" t="s">
        <v>23</v>
      </c>
      <c r="J1188" s="11">
        <v>0.83</v>
      </c>
      <c r="K1188" s="12"/>
      <c r="L1188" s="12"/>
      <c r="M1188" s="12"/>
      <c r="N1188" s="12"/>
      <c r="O1188" s="12"/>
      <c r="P1188" s="12"/>
      <c r="Q1188" s="12"/>
      <c r="R1188" s="12"/>
      <c r="S1188" s="12"/>
    </row>
    <row r="1189" spans="1:19" ht="14.25" customHeight="1" x14ac:dyDescent="0.2">
      <c r="A1189" s="1" t="s">
        <v>24</v>
      </c>
      <c r="B1189" s="19">
        <v>46092.103518518517</v>
      </c>
      <c r="C1189" s="19">
        <v>46092.125034722223</v>
      </c>
      <c r="D1189" s="20">
        <v>46092</v>
      </c>
      <c r="E1189" s="21">
        <v>0.125034722223063</v>
      </c>
      <c r="F1189" s="1" t="s">
        <v>1397</v>
      </c>
      <c r="G1189" s="1" t="s">
        <v>21</v>
      </c>
      <c r="H1189" s="1" t="s">
        <v>41</v>
      </c>
      <c r="I1189" s="1" t="s">
        <v>166</v>
      </c>
      <c r="J1189" s="12">
        <v>1.77</v>
      </c>
      <c r="K1189" s="12"/>
      <c r="L1189" s="12"/>
      <c r="M1189" s="12"/>
      <c r="N1189" s="12"/>
      <c r="O1189" s="12"/>
      <c r="P1189" s="12"/>
      <c r="Q1189" s="12"/>
      <c r="R1189" s="12"/>
      <c r="S1189" s="12"/>
    </row>
    <row r="1190" spans="1:19" ht="14.25" customHeight="1" x14ac:dyDescent="0.2">
      <c r="A1190" s="1" t="s">
        <v>24</v>
      </c>
      <c r="B1190" s="7">
        <v>46092.109120370369</v>
      </c>
      <c r="C1190" s="7">
        <v>46092.126006944447</v>
      </c>
      <c r="D1190" s="8">
        <v>46092</v>
      </c>
      <c r="E1190" s="9">
        <v>0.12600694444699911</v>
      </c>
      <c r="F1190" s="10" t="s">
        <v>1398</v>
      </c>
      <c r="G1190" s="10" t="s">
        <v>21</v>
      </c>
      <c r="H1190" s="10" t="s">
        <v>101</v>
      </c>
      <c r="I1190" s="10" t="s">
        <v>23</v>
      </c>
      <c r="J1190" s="11">
        <v>1.7</v>
      </c>
      <c r="K1190" s="12">
        <f>SUM(J1190:J1202)</f>
        <v>18.279999999999998</v>
      </c>
      <c r="L1190" s="12">
        <f>SUM(J1190:J1197)</f>
        <v>12.7</v>
      </c>
      <c r="M1190" s="13">
        <f>L1190*65</f>
        <v>825.5</v>
      </c>
      <c r="N1190" s="14">
        <f>MAX(500,M1190)</f>
        <v>825.5</v>
      </c>
      <c r="O1190" s="12"/>
      <c r="P1190" s="12"/>
      <c r="Q1190" s="12"/>
      <c r="R1190" s="12"/>
      <c r="S1190" s="12"/>
    </row>
    <row r="1191" spans="1:19" ht="14.25" customHeight="1" x14ac:dyDescent="0.2">
      <c r="A1191" s="1" t="s">
        <v>24</v>
      </c>
      <c r="B1191" s="7">
        <v>46092.120428240742</v>
      </c>
      <c r="C1191" s="7">
        <v>46092.130740740744</v>
      </c>
      <c r="D1191" s="8">
        <v>46092</v>
      </c>
      <c r="E1191" s="9">
        <v>0.13074074074393138</v>
      </c>
      <c r="F1191" s="10" t="s">
        <v>1399</v>
      </c>
      <c r="G1191" s="10" t="s">
        <v>21</v>
      </c>
      <c r="H1191" s="10" t="s">
        <v>22</v>
      </c>
      <c r="I1191" s="10" t="s">
        <v>23</v>
      </c>
      <c r="J1191" s="11">
        <v>0.83</v>
      </c>
      <c r="K1191" s="12"/>
      <c r="L1191" s="12"/>
      <c r="M1191" s="12"/>
      <c r="N1191" s="12"/>
      <c r="O1191" s="12"/>
      <c r="P1191" s="12"/>
      <c r="Q1191" s="12"/>
      <c r="R1191" s="12"/>
      <c r="S1191" s="12"/>
    </row>
    <row r="1192" spans="1:19" ht="14.25" customHeight="1" x14ac:dyDescent="0.2">
      <c r="A1192" s="1" t="s">
        <v>28</v>
      </c>
      <c r="B1192" s="7">
        <v>46092.11990740741</v>
      </c>
      <c r="C1192" s="7">
        <v>46092.131956018522</v>
      </c>
      <c r="D1192" s="8">
        <v>46092</v>
      </c>
      <c r="E1192" s="9">
        <v>0.13195601852203254</v>
      </c>
      <c r="F1192" s="10" t="s">
        <v>1400</v>
      </c>
      <c r="G1192" s="10" t="s">
        <v>21</v>
      </c>
      <c r="H1192" s="10" t="s">
        <v>101</v>
      </c>
      <c r="I1192" s="10" t="s">
        <v>23</v>
      </c>
      <c r="J1192" s="11">
        <v>1.7</v>
      </c>
      <c r="K1192" s="12"/>
      <c r="L1192" s="12"/>
      <c r="M1192" s="12"/>
      <c r="N1192" s="12"/>
      <c r="O1192" s="12"/>
      <c r="P1192" s="12"/>
      <c r="Q1192" s="12"/>
      <c r="R1192" s="12"/>
      <c r="S1192" s="12"/>
    </row>
    <row r="1193" spans="1:19" ht="14.25" customHeight="1" x14ac:dyDescent="0.2">
      <c r="A1193" s="1" t="s">
        <v>95</v>
      </c>
      <c r="B1193" s="7">
        <v>46092.108252314814</v>
      </c>
      <c r="C1193" s="7">
        <v>46092.139189814814</v>
      </c>
      <c r="D1193" s="8">
        <v>46092</v>
      </c>
      <c r="E1193" s="9">
        <v>0.13918981481401715</v>
      </c>
      <c r="F1193" s="10" t="s">
        <v>1401</v>
      </c>
      <c r="G1193" s="10" t="s">
        <v>44</v>
      </c>
      <c r="H1193" s="10" t="s">
        <v>45</v>
      </c>
      <c r="I1193" s="10" t="s">
        <v>23</v>
      </c>
      <c r="J1193" s="11">
        <v>0.18</v>
      </c>
      <c r="K1193" s="12"/>
      <c r="L1193" s="12"/>
      <c r="M1193" s="12"/>
      <c r="N1193" s="12"/>
      <c r="O1193" s="12"/>
      <c r="P1193" s="12"/>
      <c r="Q1193" s="12"/>
      <c r="R1193" s="12"/>
      <c r="S1193" s="12"/>
    </row>
    <row r="1194" spans="1:19" ht="14.25" customHeight="1" x14ac:dyDescent="0.2">
      <c r="A1194" s="1" t="s">
        <v>57</v>
      </c>
      <c r="B1194" s="7">
        <v>46092.125868055555</v>
      </c>
      <c r="C1194" s="7">
        <v>46092.159386574072</v>
      </c>
      <c r="D1194" s="8">
        <v>46092</v>
      </c>
      <c r="E1194" s="9">
        <v>0.15938657407241408</v>
      </c>
      <c r="F1194" s="10" t="s">
        <v>1402</v>
      </c>
      <c r="G1194" s="10" t="s">
        <v>21</v>
      </c>
      <c r="H1194" s="10" t="s">
        <v>59</v>
      </c>
      <c r="I1194" s="10" t="s">
        <v>23</v>
      </c>
      <c r="J1194" s="11">
        <v>0.83</v>
      </c>
      <c r="K1194" s="12"/>
      <c r="L1194" s="12"/>
      <c r="M1194" s="12"/>
      <c r="N1194" s="12"/>
      <c r="O1194" s="12"/>
      <c r="P1194" s="12"/>
      <c r="Q1194" s="12"/>
      <c r="R1194" s="12"/>
      <c r="S1194" s="12"/>
    </row>
    <row r="1195" spans="1:19" ht="14.25" customHeight="1" x14ac:dyDescent="0.2">
      <c r="A1195" s="1" t="s">
        <v>57</v>
      </c>
      <c r="B1195" s="7">
        <v>46092.130532407406</v>
      </c>
      <c r="C1195" s="7">
        <v>46092.159918981481</v>
      </c>
      <c r="D1195" s="8">
        <v>46092</v>
      </c>
      <c r="E1195" s="9">
        <v>0.15991898148058681</v>
      </c>
      <c r="F1195" s="10" t="s">
        <v>1403</v>
      </c>
      <c r="G1195" s="10" t="s">
        <v>21</v>
      </c>
      <c r="H1195" s="10" t="s">
        <v>303</v>
      </c>
      <c r="I1195" s="10" t="s">
        <v>23</v>
      </c>
      <c r="J1195" s="11">
        <v>1.77</v>
      </c>
      <c r="K1195" s="12"/>
      <c r="L1195" s="12"/>
      <c r="M1195" s="12"/>
      <c r="N1195" s="12"/>
      <c r="O1195" s="12"/>
      <c r="P1195" s="12"/>
      <c r="Q1195" s="12"/>
      <c r="R1195" s="12"/>
      <c r="S1195" s="12"/>
    </row>
    <row r="1196" spans="1:19" ht="14.25" customHeight="1" x14ac:dyDescent="0.2">
      <c r="A1196" s="1" t="s">
        <v>57</v>
      </c>
      <c r="B1196" s="7">
        <v>46092.111319444448</v>
      </c>
      <c r="C1196" s="7">
        <v>46092.16097222222</v>
      </c>
      <c r="D1196" s="8">
        <v>46092</v>
      </c>
      <c r="E1196" s="9">
        <v>0.16097222222015262</v>
      </c>
      <c r="F1196" s="10" t="s">
        <v>1404</v>
      </c>
      <c r="G1196" s="10" t="s">
        <v>21</v>
      </c>
      <c r="H1196" s="10" t="s">
        <v>303</v>
      </c>
      <c r="I1196" s="10" t="s">
        <v>23</v>
      </c>
      <c r="J1196" s="11">
        <v>1.77</v>
      </c>
      <c r="K1196" s="12"/>
      <c r="L1196" s="12"/>
      <c r="M1196" s="12"/>
      <c r="N1196" s="12"/>
      <c r="O1196" s="12"/>
      <c r="P1196" s="12"/>
      <c r="Q1196" s="12"/>
      <c r="R1196" s="12"/>
      <c r="S1196" s="12"/>
    </row>
    <row r="1197" spans="1:19" ht="14.25" customHeight="1" x14ac:dyDescent="0.2">
      <c r="A1197" s="1" t="s">
        <v>19</v>
      </c>
      <c r="B1197" s="7">
        <v>46092.115497685183</v>
      </c>
      <c r="C1197" s="7">
        <v>46092.161874999998</v>
      </c>
      <c r="D1197" s="8">
        <v>46092</v>
      </c>
      <c r="E1197" s="9">
        <v>0.16187499999796273</v>
      </c>
      <c r="F1197" s="10" t="s">
        <v>1405</v>
      </c>
      <c r="G1197" s="10" t="s">
        <v>21</v>
      </c>
      <c r="H1197" s="10" t="s">
        <v>399</v>
      </c>
      <c r="I1197" s="10" t="s">
        <v>23</v>
      </c>
      <c r="J1197" s="11">
        <v>3.92</v>
      </c>
      <c r="K1197" s="12"/>
      <c r="L1197" s="12"/>
      <c r="M1197" s="12"/>
      <c r="N1197" s="12"/>
      <c r="O1197" s="12"/>
      <c r="P1197" s="12"/>
      <c r="Q1197" s="12"/>
      <c r="R1197" s="12"/>
      <c r="S1197" s="12"/>
    </row>
    <row r="1198" spans="1:19" ht="14.25" customHeight="1" x14ac:dyDescent="0.2">
      <c r="A1198" s="1" t="s">
        <v>19</v>
      </c>
      <c r="B1198" s="7">
        <v>46092.180393518516</v>
      </c>
      <c r="C1198" s="7">
        <v>46092.209826388891</v>
      </c>
      <c r="D1198" s="8">
        <v>46092</v>
      </c>
      <c r="E1198" s="9">
        <v>0.20982638889108784</v>
      </c>
      <c r="F1198" s="10" t="s">
        <v>1406</v>
      </c>
      <c r="G1198" s="10" t="s">
        <v>26</v>
      </c>
      <c r="H1198" s="10" t="s">
        <v>92</v>
      </c>
      <c r="I1198" s="10" t="s">
        <v>23</v>
      </c>
      <c r="J1198" s="11">
        <v>0.63</v>
      </c>
      <c r="K1198" s="12"/>
      <c r="L1198" s="12">
        <f>SUM(J1198:J1202)</f>
        <v>5.58</v>
      </c>
      <c r="M1198" s="13">
        <f>L1198*65</f>
        <v>362.7</v>
      </c>
      <c r="N1198" s="14">
        <f>MAX(500,M1198)</f>
        <v>500</v>
      </c>
      <c r="O1198" s="12"/>
      <c r="P1198" s="12"/>
      <c r="Q1198" s="12"/>
      <c r="R1198" s="12"/>
      <c r="S1198" s="12"/>
    </row>
    <row r="1199" spans="1:19" ht="14.25" customHeight="1" x14ac:dyDescent="0.2">
      <c r="A1199" s="1" t="s">
        <v>24</v>
      </c>
      <c r="B1199" s="7">
        <v>46092.204143518517</v>
      </c>
      <c r="C1199" s="7">
        <v>46092.22210648148</v>
      </c>
      <c r="D1199" s="8">
        <v>46092</v>
      </c>
      <c r="E1199" s="9">
        <v>0.22210648148029577</v>
      </c>
      <c r="F1199" s="10" t="s">
        <v>1407</v>
      </c>
      <c r="G1199" s="10" t="s">
        <v>21</v>
      </c>
      <c r="H1199" s="10" t="s">
        <v>41</v>
      </c>
      <c r="I1199" s="10" t="s">
        <v>23</v>
      </c>
      <c r="J1199" s="11">
        <v>1.77</v>
      </c>
      <c r="K1199" s="12"/>
      <c r="L1199" s="12"/>
      <c r="M1199" s="12"/>
      <c r="N1199" s="12"/>
      <c r="O1199" s="12"/>
      <c r="P1199" s="12"/>
      <c r="Q1199" s="12"/>
      <c r="R1199" s="12"/>
      <c r="S1199" s="12"/>
    </row>
    <row r="1200" spans="1:19" ht="14.25" customHeight="1" x14ac:dyDescent="0.2">
      <c r="A1200" s="1" t="s">
        <v>95</v>
      </c>
      <c r="B1200" s="7">
        <v>46092.232361111113</v>
      </c>
      <c r="C1200" s="7">
        <v>46092.238541666666</v>
      </c>
      <c r="D1200" s="8">
        <v>46092</v>
      </c>
      <c r="E1200" s="9">
        <v>0.23854166666569654</v>
      </c>
      <c r="F1200" s="10" t="s">
        <v>1408</v>
      </c>
      <c r="G1200" s="10" t="s">
        <v>21</v>
      </c>
      <c r="H1200" s="10" t="s">
        <v>97</v>
      </c>
      <c r="I1200" s="10" t="s">
        <v>23</v>
      </c>
      <c r="J1200" s="11">
        <v>1.77</v>
      </c>
      <c r="K1200" s="12"/>
      <c r="L1200" s="12"/>
      <c r="M1200" s="12"/>
      <c r="N1200" s="12"/>
      <c r="O1200" s="12"/>
      <c r="P1200" s="12"/>
      <c r="Q1200" s="12"/>
      <c r="R1200" s="12"/>
      <c r="S1200" s="12"/>
    </row>
    <row r="1201" spans="1:19" ht="14.25" customHeight="1" x14ac:dyDescent="0.2">
      <c r="A1201" s="1" t="s">
        <v>24</v>
      </c>
      <c r="B1201" s="7">
        <v>46092.231273148151</v>
      </c>
      <c r="C1201" s="7">
        <v>46092.238819444443</v>
      </c>
      <c r="D1201" s="8">
        <v>46092</v>
      </c>
      <c r="E1201" s="9">
        <v>0.23881944444292458</v>
      </c>
      <c r="F1201" s="10" t="s">
        <v>1409</v>
      </c>
      <c r="G1201" s="10" t="s">
        <v>21</v>
      </c>
      <c r="H1201" s="10" t="s">
        <v>22</v>
      </c>
      <c r="I1201" s="10" t="s">
        <v>23</v>
      </c>
      <c r="J1201" s="11">
        <v>0.83</v>
      </c>
      <c r="K1201" s="12"/>
      <c r="L1201" s="12"/>
      <c r="M1201" s="12"/>
      <c r="N1201" s="12"/>
      <c r="O1201" s="12"/>
      <c r="P1201" s="12"/>
      <c r="Q1201" s="12"/>
      <c r="R1201" s="12"/>
      <c r="S1201" s="12"/>
    </row>
    <row r="1202" spans="1:19" ht="14.25" customHeight="1" x14ac:dyDescent="0.2">
      <c r="A1202" s="1" t="s">
        <v>95</v>
      </c>
      <c r="B1202" s="7">
        <v>46092.217453703706</v>
      </c>
      <c r="C1202" s="7">
        <v>46092.239618055559</v>
      </c>
      <c r="D1202" s="8">
        <v>46092</v>
      </c>
      <c r="E1202" s="9">
        <v>0.23961805555882165</v>
      </c>
      <c r="F1202" s="10" t="s">
        <v>1410</v>
      </c>
      <c r="G1202" s="10" t="s">
        <v>26</v>
      </c>
      <c r="H1202" s="10" t="s">
        <v>1411</v>
      </c>
      <c r="I1202" s="10" t="s">
        <v>23</v>
      </c>
      <c r="J1202" s="11">
        <v>0.57999999999999996</v>
      </c>
      <c r="K1202" s="12"/>
      <c r="L1202" s="12"/>
      <c r="M1202" s="12"/>
      <c r="N1202" s="12"/>
      <c r="O1202" s="12"/>
      <c r="P1202" s="12"/>
      <c r="Q1202" s="12"/>
      <c r="R1202" s="12"/>
      <c r="S1202" s="12"/>
    </row>
    <row r="1203" spans="1:19" ht="14.25" customHeight="1" x14ac:dyDescent="0.2">
      <c r="A1203" s="1" t="s">
        <v>33</v>
      </c>
      <c r="B1203" s="7">
        <v>46092.862002314818</v>
      </c>
      <c r="C1203" s="7">
        <v>46092.881064814814</v>
      </c>
      <c r="D1203" s="8">
        <v>46092</v>
      </c>
      <c r="E1203" s="9">
        <v>0.88106481481372612</v>
      </c>
      <c r="F1203" s="10" t="s">
        <v>1412</v>
      </c>
      <c r="G1203" s="10" t="s">
        <v>21</v>
      </c>
      <c r="H1203" s="10" t="s">
        <v>22</v>
      </c>
      <c r="I1203" s="10" t="s">
        <v>23</v>
      </c>
      <c r="J1203" s="11">
        <v>0.83</v>
      </c>
      <c r="K1203" s="12">
        <f>SUM(J1203:J1237,J1240:J1242,J1250,J1252,J1253,J1255,J1256,J1257,J1258,J1259,J1261:J1267,J1270,J1271,J1273:J1276,J1279:J1305)</f>
        <v>100.65999999999995</v>
      </c>
      <c r="L1203" s="12">
        <f>SUM(J1203:J1224)</f>
        <v>25.799999999999997</v>
      </c>
      <c r="M1203" s="13">
        <f>L1203*65</f>
        <v>1676.9999999999998</v>
      </c>
      <c r="N1203" s="14">
        <f>MAX(500,M1203)</f>
        <v>1676.9999999999998</v>
      </c>
      <c r="O1203" s="12"/>
      <c r="P1203" s="12"/>
      <c r="Q1203" s="12"/>
      <c r="R1203" s="12"/>
      <c r="S1203" s="12"/>
    </row>
    <row r="1204" spans="1:19" ht="14.25" customHeight="1" x14ac:dyDescent="0.2">
      <c r="A1204" s="1" t="s">
        <v>33</v>
      </c>
      <c r="B1204" s="7">
        <v>46092.862002314818</v>
      </c>
      <c r="C1204" s="7">
        <v>46092.88380787037</v>
      </c>
      <c r="D1204" s="8">
        <v>46092</v>
      </c>
      <c r="E1204" s="9">
        <v>0.88380787037021946</v>
      </c>
      <c r="F1204" s="10" t="s">
        <v>1413</v>
      </c>
      <c r="G1204" s="10" t="s">
        <v>21</v>
      </c>
      <c r="H1204" s="10" t="s">
        <v>52</v>
      </c>
      <c r="I1204" s="10" t="s">
        <v>23</v>
      </c>
      <c r="J1204" s="11">
        <v>0.98</v>
      </c>
      <c r="K1204" s="12"/>
      <c r="L1204" s="12"/>
      <c r="M1204" s="12"/>
      <c r="N1204" s="12"/>
      <c r="O1204" s="12"/>
      <c r="P1204" s="12"/>
      <c r="Q1204" s="12"/>
      <c r="R1204" s="12"/>
      <c r="S1204" s="12"/>
    </row>
    <row r="1205" spans="1:19" ht="14.25" customHeight="1" x14ac:dyDescent="0.2">
      <c r="A1205" s="1" t="s">
        <v>28</v>
      </c>
      <c r="B1205" s="7">
        <v>46092.836261574077</v>
      </c>
      <c r="C1205" s="7">
        <v>46092.88486111111</v>
      </c>
      <c r="D1205" s="8">
        <v>46092</v>
      </c>
      <c r="E1205" s="9">
        <v>0.88486111110978527</v>
      </c>
      <c r="F1205" s="10" t="s">
        <v>1414</v>
      </c>
      <c r="G1205" s="10" t="s">
        <v>21</v>
      </c>
      <c r="H1205" s="10" t="s">
        <v>52</v>
      </c>
      <c r="I1205" s="10" t="s">
        <v>23</v>
      </c>
      <c r="J1205" s="11">
        <v>0.98</v>
      </c>
      <c r="K1205" s="12"/>
      <c r="L1205" s="12"/>
      <c r="M1205" s="12"/>
      <c r="N1205" s="12"/>
      <c r="O1205" s="12"/>
      <c r="P1205" s="12"/>
      <c r="Q1205" s="12"/>
      <c r="R1205" s="12"/>
      <c r="S1205" s="12"/>
    </row>
    <row r="1206" spans="1:19" ht="14.25" customHeight="1" x14ac:dyDescent="0.2">
      <c r="A1206" s="1" t="s">
        <v>19</v>
      </c>
      <c r="B1206" s="7">
        <v>46092.866851851853</v>
      </c>
      <c r="C1206" s="7">
        <v>46092.886064814818</v>
      </c>
      <c r="D1206" s="8">
        <v>46092</v>
      </c>
      <c r="E1206" s="9">
        <v>0.88606481481838273</v>
      </c>
      <c r="F1206" s="10" t="s">
        <v>1415</v>
      </c>
      <c r="G1206" s="10" t="s">
        <v>21</v>
      </c>
      <c r="H1206" s="10" t="s">
        <v>41</v>
      </c>
      <c r="I1206" s="10" t="s">
        <v>23</v>
      </c>
      <c r="J1206" s="11">
        <v>1.77</v>
      </c>
      <c r="K1206" s="12"/>
      <c r="L1206" s="12"/>
      <c r="M1206" s="12"/>
      <c r="N1206" s="12"/>
      <c r="O1206" s="12"/>
      <c r="P1206" s="12"/>
      <c r="Q1206" s="12"/>
      <c r="R1206" s="12"/>
      <c r="S1206" s="12"/>
    </row>
    <row r="1207" spans="1:19" ht="14.25" customHeight="1" x14ac:dyDescent="0.2">
      <c r="A1207" s="1" t="s">
        <v>57</v>
      </c>
      <c r="B1207" s="7">
        <v>46092.864432870374</v>
      </c>
      <c r="C1207" s="7">
        <v>46092.886712962965</v>
      </c>
      <c r="D1207" s="8">
        <v>46092</v>
      </c>
      <c r="E1207" s="9">
        <v>0.88671296296524815</v>
      </c>
      <c r="F1207" s="10" t="s">
        <v>1416</v>
      </c>
      <c r="G1207" s="10" t="s">
        <v>21</v>
      </c>
      <c r="H1207" s="10" t="s">
        <v>712</v>
      </c>
      <c r="I1207" s="10" t="s">
        <v>23</v>
      </c>
      <c r="J1207" s="11">
        <v>1.77</v>
      </c>
      <c r="K1207" s="12"/>
      <c r="L1207" s="12"/>
      <c r="M1207" s="12"/>
      <c r="N1207" s="12"/>
      <c r="O1207" s="12"/>
      <c r="P1207" s="12"/>
      <c r="Q1207" s="12"/>
      <c r="R1207" s="12"/>
      <c r="S1207" s="12"/>
    </row>
    <row r="1208" spans="1:19" ht="14.25" customHeight="1" x14ac:dyDescent="0.2">
      <c r="A1208" s="1" t="s">
        <v>28</v>
      </c>
      <c r="B1208" s="7">
        <v>46092.840810185182</v>
      </c>
      <c r="C1208" s="7">
        <v>46092.887106481481</v>
      </c>
      <c r="D1208" s="8">
        <v>46092</v>
      </c>
      <c r="E1208" s="9">
        <v>0.88710648148116888</v>
      </c>
      <c r="F1208" s="10" t="s">
        <v>1417</v>
      </c>
      <c r="G1208" s="10" t="s">
        <v>21</v>
      </c>
      <c r="H1208" s="10" t="s">
        <v>268</v>
      </c>
      <c r="I1208" s="10" t="s">
        <v>23</v>
      </c>
      <c r="J1208" s="11">
        <v>1.35</v>
      </c>
      <c r="K1208" s="12"/>
      <c r="L1208" s="12"/>
      <c r="M1208" s="12"/>
      <c r="N1208" s="12"/>
      <c r="O1208" s="12"/>
      <c r="P1208" s="12"/>
      <c r="Q1208" s="12"/>
      <c r="R1208" s="12"/>
      <c r="S1208" s="12"/>
    </row>
    <row r="1209" spans="1:19" ht="14.25" customHeight="1" x14ac:dyDescent="0.2">
      <c r="A1209" s="1" t="s">
        <v>28</v>
      </c>
      <c r="B1209" s="7">
        <v>46092.832476851851</v>
      </c>
      <c r="C1209" s="7">
        <v>46092.887835648151</v>
      </c>
      <c r="D1209" s="8">
        <v>46092</v>
      </c>
      <c r="E1209" s="9">
        <v>0.88783564815093996</v>
      </c>
      <c r="F1209" s="10" t="s">
        <v>1418</v>
      </c>
      <c r="G1209" s="10" t="s">
        <v>21</v>
      </c>
      <c r="H1209" s="10" t="s">
        <v>464</v>
      </c>
      <c r="I1209" s="10" t="s">
        <v>23</v>
      </c>
      <c r="J1209" s="11">
        <v>0.98</v>
      </c>
      <c r="K1209" s="12"/>
      <c r="L1209" s="12"/>
      <c r="M1209" s="12"/>
      <c r="N1209" s="12"/>
      <c r="O1209" s="12"/>
      <c r="P1209" s="12"/>
      <c r="Q1209" s="12"/>
      <c r="R1209" s="12"/>
      <c r="S1209" s="12"/>
    </row>
    <row r="1210" spans="1:19" ht="14.25" customHeight="1" x14ac:dyDescent="0.2">
      <c r="A1210" s="1" t="s">
        <v>19</v>
      </c>
      <c r="B1210" s="7">
        <v>46092.865717592591</v>
      </c>
      <c r="C1210" s="7">
        <v>46092.889050925929</v>
      </c>
      <c r="D1210" s="8">
        <v>46092</v>
      </c>
      <c r="E1210" s="9">
        <v>0.88905092592904111</v>
      </c>
      <c r="F1210" s="10" t="s">
        <v>1419</v>
      </c>
      <c r="G1210" s="10" t="s">
        <v>180</v>
      </c>
      <c r="H1210" s="10" t="s">
        <v>1016</v>
      </c>
      <c r="I1210" s="10" t="s">
        <v>23</v>
      </c>
      <c r="J1210" s="11">
        <v>1.44</v>
      </c>
      <c r="K1210" s="12"/>
      <c r="L1210" s="12"/>
      <c r="M1210" s="12"/>
      <c r="N1210" s="12"/>
      <c r="O1210" s="12"/>
      <c r="P1210" s="12"/>
      <c r="Q1210" s="12"/>
      <c r="R1210" s="12"/>
      <c r="S1210" s="12"/>
    </row>
    <row r="1211" spans="1:19" ht="14.25" customHeight="1" x14ac:dyDescent="0.2">
      <c r="A1211" s="1" t="s">
        <v>42</v>
      </c>
      <c r="B1211" s="7">
        <v>46092.855613425927</v>
      </c>
      <c r="C1211" s="7">
        <v>46092.889641203707</v>
      </c>
      <c r="D1211" s="8">
        <v>46092</v>
      </c>
      <c r="E1211" s="9">
        <v>0.88964120370656019</v>
      </c>
      <c r="F1211" s="10" t="s">
        <v>1420</v>
      </c>
      <c r="G1211" s="10" t="s">
        <v>26</v>
      </c>
      <c r="H1211" s="10" t="s">
        <v>56</v>
      </c>
      <c r="I1211" s="10" t="s">
        <v>23</v>
      </c>
      <c r="J1211" s="11">
        <v>0.73</v>
      </c>
      <c r="K1211" s="12"/>
      <c r="L1211" s="12"/>
      <c r="M1211" s="12"/>
      <c r="N1211" s="12"/>
      <c r="O1211" s="12"/>
      <c r="P1211" s="12"/>
      <c r="Q1211" s="12"/>
      <c r="R1211" s="12"/>
      <c r="S1211" s="12"/>
    </row>
    <row r="1212" spans="1:19" ht="14.25" customHeight="1" x14ac:dyDescent="0.2">
      <c r="A1212" s="1" t="s">
        <v>42</v>
      </c>
      <c r="B1212" s="7">
        <v>46092.850532407407</v>
      </c>
      <c r="C1212" s="7">
        <v>46092.890405092592</v>
      </c>
      <c r="D1212" s="8">
        <v>46092</v>
      </c>
      <c r="E1212" s="9">
        <v>0.89040509259211831</v>
      </c>
      <c r="F1212" s="10" t="s">
        <v>1421</v>
      </c>
      <c r="G1212" s="10" t="s">
        <v>26</v>
      </c>
      <c r="H1212" s="10" t="s">
        <v>56</v>
      </c>
      <c r="I1212" s="10" t="s">
        <v>23</v>
      </c>
      <c r="J1212" s="11">
        <v>0.73</v>
      </c>
      <c r="K1212" s="12"/>
      <c r="L1212" s="12"/>
      <c r="M1212" s="12"/>
      <c r="N1212" s="12"/>
      <c r="O1212" s="12"/>
      <c r="P1212" s="12"/>
      <c r="Q1212" s="12"/>
      <c r="R1212" s="12"/>
      <c r="S1212" s="12"/>
    </row>
    <row r="1213" spans="1:19" ht="14.25" customHeight="1" x14ac:dyDescent="0.2">
      <c r="A1213" s="1" t="s">
        <v>24</v>
      </c>
      <c r="B1213" s="7">
        <v>46092.871388888889</v>
      </c>
      <c r="C1213" s="7">
        <v>46092.890601851854</v>
      </c>
      <c r="D1213" s="8">
        <v>46092</v>
      </c>
      <c r="E1213" s="9">
        <v>0.89060185185371665</v>
      </c>
      <c r="F1213" s="10" t="s">
        <v>1422</v>
      </c>
      <c r="G1213" s="10" t="s">
        <v>21</v>
      </c>
      <c r="H1213" s="10" t="s">
        <v>52</v>
      </c>
      <c r="I1213" s="10" t="s">
        <v>23</v>
      </c>
      <c r="J1213" s="11">
        <v>0.98</v>
      </c>
      <c r="K1213" s="12"/>
      <c r="L1213" s="12"/>
      <c r="M1213" s="12"/>
      <c r="N1213" s="12"/>
      <c r="O1213" s="12"/>
      <c r="P1213" s="12"/>
      <c r="Q1213" s="12"/>
      <c r="R1213" s="12"/>
      <c r="S1213" s="12"/>
    </row>
    <row r="1214" spans="1:19" ht="14.25" customHeight="1" x14ac:dyDescent="0.2">
      <c r="A1214" s="1" t="s">
        <v>28</v>
      </c>
      <c r="B1214" s="7">
        <v>46092.87023148148</v>
      </c>
      <c r="C1214" s="7">
        <v>46092.891192129631</v>
      </c>
      <c r="D1214" s="8">
        <v>46092</v>
      </c>
      <c r="E1214" s="9">
        <v>0.89119212963123573</v>
      </c>
      <c r="F1214" s="10" t="s">
        <v>1423</v>
      </c>
      <c r="G1214" s="10" t="s">
        <v>21</v>
      </c>
      <c r="H1214" s="10" t="s">
        <v>1424</v>
      </c>
      <c r="I1214" s="10" t="s">
        <v>23</v>
      </c>
      <c r="J1214" s="11">
        <v>0.98</v>
      </c>
      <c r="K1214" s="12"/>
      <c r="L1214" s="12"/>
      <c r="M1214" s="12"/>
      <c r="N1214" s="12"/>
      <c r="O1214" s="12"/>
      <c r="P1214" s="12"/>
      <c r="Q1214" s="12"/>
      <c r="R1214" s="12"/>
      <c r="S1214" s="12"/>
    </row>
    <row r="1215" spans="1:19" ht="14.25" customHeight="1" x14ac:dyDescent="0.2">
      <c r="A1215" s="1" t="s">
        <v>24</v>
      </c>
      <c r="B1215" s="7">
        <v>46092.876770833333</v>
      </c>
      <c r="C1215" s="7">
        <v>46092.891388888886</v>
      </c>
      <c r="D1215" s="8">
        <v>46092</v>
      </c>
      <c r="E1215" s="9">
        <v>0.89138888888555812</v>
      </c>
      <c r="F1215" s="10" t="s">
        <v>1425</v>
      </c>
      <c r="G1215" s="10" t="s">
        <v>21</v>
      </c>
      <c r="H1215" s="10" t="s">
        <v>22</v>
      </c>
      <c r="I1215" s="10" t="s">
        <v>23</v>
      </c>
      <c r="J1215" s="11">
        <v>0.83</v>
      </c>
      <c r="K1215" s="12"/>
      <c r="L1215" s="12"/>
      <c r="M1215" s="12"/>
      <c r="N1215" s="12"/>
      <c r="O1215" s="12"/>
      <c r="P1215" s="12"/>
      <c r="Q1215" s="12"/>
      <c r="R1215" s="12"/>
      <c r="S1215" s="12"/>
    </row>
    <row r="1216" spans="1:19" ht="14.25" customHeight="1" x14ac:dyDescent="0.2">
      <c r="A1216" s="1" t="s">
        <v>24</v>
      </c>
      <c r="B1216" s="7">
        <v>46092.881898148145</v>
      </c>
      <c r="C1216" s="7">
        <v>46092.891631944447</v>
      </c>
      <c r="D1216" s="8">
        <v>46092</v>
      </c>
      <c r="E1216" s="9">
        <v>0.89163194444699911</v>
      </c>
      <c r="F1216" s="10" t="s">
        <v>1426</v>
      </c>
      <c r="G1216" s="10" t="s">
        <v>21</v>
      </c>
      <c r="H1216" s="10" t="s">
        <v>22</v>
      </c>
      <c r="I1216" s="10" t="s">
        <v>23</v>
      </c>
      <c r="J1216" s="11">
        <v>0.83</v>
      </c>
      <c r="K1216" s="12"/>
      <c r="L1216" s="12"/>
      <c r="M1216" s="12"/>
      <c r="N1216" s="12"/>
      <c r="O1216" s="12"/>
      <c r="P1216" s="12"/>
      <c r="Q1216" s="12"/>
      <c r="R1216" s="12"/>
      <c r="S1216" s="12"/>
    </row>
    <row r="1217" spans="1:19" ht="14.25" customHeight="1" x14ac:dyDescent="0.2">
      <c r="A1217" s="1" t="s">
        <v>33</v>
      </c>
      <c r="B1217" s="7">
        <v>46092.879918981482</v>
      </c>
      <c r="C1217" s="7">
        <v>46092.891805555555</v>
      </c>
      <c r="D1217" s="8">
        <v>46092</v>
      </c>
      <c r="E1217" s="9">
        <v>0.89180555555503815</v>
      </c>
      <c r="F1217" s="10" t="s">
        <v>1427</v>
      </c>
      <c r="G1217" s="10" t="s">
        <v>21</v>
      </c>
      <c r="H1217" s="10" t="s">
        <v>22</v>
      </c>
      <c r="I1217" s="10" t="s">
        <v>23</v>
      </c>
      <c r="J1217" s="11">
        <v>0.83</v>
      </c>
      <c r="K1217" s="12"/>
      <c r="L1217" s="12"/>
      <c r="M1217" s="12"/>
      <c r="N1217" s="12"/>
      <c r="O1217" s="12"/>
      <c r="P1217" s="12"/>
      <c r="Q1217" s="12"/>
      <c r="R1217" s="12"/>
      <c r="S1217" s="12"/>
    </row>
    <row r="1218" spans="1:19" ht="14.25" customHeight="1" x14ac:dyDescent="0.2">
      <c r="A1218" s="1" t="s">
        <v>24</v>
      </c>
      <c r="B1218" s="7">
        <v>46092.876770833333</v>
      </c>
      <c r="C1218" s="7">
        <v>46092.892384259256</v>
      </c>
      <c r="D1218" s="8">
        <v>46092</v>
      </c>
      <c r="E1218" s="9">
        <v>0.89238425925577758</v>
      </c>
      <c r="F1218" s="10" t="s">
        <v>1428</v>
      </c>
      <c r="G1218" s="10" t="s">
        <v>21</v>
      </c>
      <c r="H1218" s="10" t="s">
        <v>101</v>
      </c>
      <c r="I1218" s="10" t="s">
        <v>23</v>
      </c>
      <c r="J1218" s="11">
        <v>1.7</v>
      </c>
      <c r="K1218" s="12"/>
      <c r="L1218" s="12"/>
      <c r="M1218" s="12"/>
      <c r="N1218" s="12"/>
      <c r="O1218" s="12"/>
      <c r="P1218" s="12"/>
      <c r="Q1218" s="12"/>
      <c r="R1218" s="12"/>
      <c r="S1218" s="12"/>
    </row>
    <row r="1219" spans="1:19" ht="14.25" customHeight="1" x14ac:dyDescent="0.2">
      <c r="A1219" s="1" t="s">
        <v>33</v>
      </c>
      <c r="B1219" s="7">
        <v>46092.879918981482</v>
      </c>
      <c r="C1219" s="7">
        <v>46092.897476851853</v>
      </c>
      <c r="D1219" s="8">
        <v>46092</v>
      </c>
      <c r="E1219" s="9">
        <v>0.89747685185284354</v>
      </c>
      <c r="F1219" s="10" t="s">
        <v>1429</v>
      </c>
      <c r="G1219" s="10" t="s">
        <v>21</v>
      </c>
      <c r="H1219" s="10" t="s">
        <v>52</v>
      </c>
      <c r="I1219" s="10" t="s">
        <v>23</v>
      </c>
      <c r="J1219" s="11">
        <v>0.98</v>
      </c>
      <c r="K1219" s="12"/>
      <c r="L1219" s="12"/>
      <c r="M1219" s="12"/>
      <c r="N1219" s="12"/>
      <c r="O1219" s="12"/>
      <c r="P1219" s="12"/>
      <c r="Q1219" s="12"/>
      <c r="R1219" s="12"/>
      <c r="S1219" s="12"/>
    </row>
    <row r="1220" spans="1:19" ht="14.25" customHeight="1" x14ac:dyDescent="0.2">
      <c r="A1220" s="1" t="s">
        <v>230</v>
      </c>
      <c r="B1220" s="7">
        <v>46092.886446759258</v>
      </c>
      <c r="C1220" s="7">
        <v>46092.898206018515</v>
      </c>
      <c r="D1220" s="8">
        <v>46092</v>
      </c>
      <c r="E1220" s="9">
        <v>0.89820601851533866</v>
      </c>
      <c r="F1220" s="10" t="s">
        <v>1430</v>
      </c>
      <c r="G1220" s="10" t="s">
        <v>21</v>
      </c>
      <c r="H1220" s="10" t="s">
        <v>1431</v>
      </c>
      <c r="I1220" s="10" t="s">
        <v>23</v>
      </c>
      <c r="J1220" s="11">
        <v>1.77</v>
      </c>
      <c r="K1220" s="12"/>
      <c r="L1220" s="12"/>
      <c r="M1220" s="12"/>
      <c r="N1220" s="12"/>
      <c r="O1220" s="12"/>
      <c r="P1220" s="12"/>
      <c r="Q1220" s="12"/>
      <c r="R1220" s="12"/>
      <c r="S1220" s="12"/>
    </row>
    <row r="1221" spans="1:19" ht="14.25" customHeight="1" x14ac:dyDescent="0.2">
      <c r="A1221" s="1" t="s">
        <v>28</v>
      </c>
      <c r="B1221" s="7">
        <v>46092.886921296296</v>
      </c>
      <c r="C1221" s="7">
        <v>46092.904004629629</v>
      </c>
      <c r="D1221" s="8">
        <v>46092</v>
      </c>
      <c r="E1221" s="9">
        <v>0.90400462962861639</v>
      </c>
      <c r="F1221" s="10" t="s">
        <v>1432</v>
      </c>
      <c r="G1221" s="10" t="s">
        <v>21</v>
      </c>
      <c r="H1221" s="10" t="s">
        <v>41</v>
      </c>
      <c r="I1221" s="10" t="s">
        <v>23</v>
      </c>
      <c r="J1221" s="11">
        <v>1.77</v>
      </c>
      <c r="K1221" s="12"/>
      <c r="L1221" s="12"/>
      <c r="M1221" s="12"/>
      <c r="N1221" s="12"/>
      <c r="O1221" s="12"/>
      <c r="P1221" s="12"/>
      <c r="Q1221" s="12"/>
      <c r="R1221" s="12"/>
      <c r="S1221" s="12"/>
    </row>
    <row r="1222" spans="1:19" ht="14.25" customHeight="1" x14ac:dyDescent="0.2">
      <c r="A1222" s="1" t="s">
        <v>28</v>
      </c>
      <c r="B1222" s="7">
        <v>46092.878437500003</v>
      </c>
      <c r="C1222" s="7">
        <v>46092.905798611115</v>
      </c>
      <c r="D1222" s="8">
        <v>46092</v>
      </c>
      <c r="E1222" s="9">
        <v>0.90579861111473292</v>
      </c>
      <c r="F1222" s="10" t="s">
        <v>1433</v>
      </c>
      <c r="G1222" s="10" t="s">
        <v>26</v>
      </c>
      <c r="H1222" s="10" t="s">
        <v>128</v>
      </c>
      <c r="I1222" s="10" t="s">
        <v>23</v>
      </c>
      <c r="J1222" s="11">
        <v>0.97</v>
      </c>
      <c r="K1222" s="12"/>
      <c r="L1222" s="12"/>
      <c r="M1222" s="12"/>
      <c r="N1222" s="12"/>
      <c r="O1222" s="12"/>
      <c r="P1222" s="12"/>
      <c r="Q1222" s="12"/>
      <c r="R1222" s="12"/>
      <c r="S1222" s="12"/>
    </row>
    <row r="1223" spans="1:19" ht="14.25" customHeight="1" x14ac:dyDescent="0.2">
      <c r="A1223" s="1" t="s">
        <v>57</v>
      </c>
      <c r="B1223" s="7">
        <v>46092.885555555556</v>
      </c>
      <c r="C1223" s="7">
        <v>46092.910532407404</v>
      </c>
      <c r="D1223" s="8">
        <v>46092</v>
      </c>
      <c r="E1223" s="9">
        <v>0.91053240740438923</v>
      </c>
      <c r="F1223" s="10" t="s">
        <v>1434</v>
      </c>
      <c r="G1223" s="10" t="s">
        <v>21</v>
      </c>
      <c r="H1223" s="10" t="s">
        <v>303</v>
      </c>
      <c r="I1223" s="10" t="s">
        <v>23</v>
      </c>
      <c r="J1223" s="11">
        <v>1.77</v>
      </c>
      <c r="K1223" s="12"/>
      <c r="L1223" s="12"/>
      <c r="M1223" s="12"/>
      <c r="N1223" s="12"/>
      <c r="O1223" s="12"/>
      <c r="P1223" s="12"/>
      <c r="Q1223" s="12"/>
      <c r="R1223" s="12"/>
      <c r="S1223" s="12"/>
    </row>
    <row r="1224" spans="1:19" ht="14.25" customHeight="1" x14ac:dyDescent="0.2">
      <c r="A1224" s="1" t="s">
        <v>24</v>
      </c>
      <c r="B1224" s="7">
        <v>46092.903877314813</v>
      </c>
      <c r="C1224" s="7">
        <v>46092.914918981478</v>
      </c>
      <c r="D1224" s="8">
        <v>46092</v>
      </c>
      <c r="E1224" s="9">
        <v>0.91491898147796746</v>
      </c>
      <c r="F1224" s="10" t="s">
        <v>1435</v>
      </c>
      <c r="G1224" s="10" t="s">
        <v>21</v>
      </c>
      <c r="H1224" s="10" t="s">
        <v>54</v>
      </c>
      <c r="I1224" s="10" t="s">
        <v>23</v>
      </c>
      <c r="J1224" s="11">
        <v>0.83</v>
      </c>
      <c r="K1224" s="12"/>
      <c r="L1224" s="12"/>
      <c r="M1224" s="12"/>
      <c r="N1224" s="12"/>
      <c r="O1224" s="12"/>
      <c r="P1224" s="12"/>
      <c r="Q1224" s="12"/>
      <c r="R1224" s="12"/>
      <c r="S1224" s="12"/>
    </row>
    <row r="1225" spans="1:19" ht="14.25" customHeight="1" x14ac:dyDescent="0.2">
      <c r="A1225" s="1" t="s">
        <v>19</v>
      </c>
      <c r="B1225" s="7">
        <v>46092.894212962965</v>
      </c>
      <c r="C1225" s="7">
        <v>46092.916701388887</v>
      </c>
      <c r="D1225" s="8">
        <v>46092</v>
      </c>
      <c r="E1225" s="9">
        <v>0.91670138888730435</v>
      </c>
      <c r="F1225" s="10" t="s">
        <v>1436</v>
      </c>
      <c r="G1225" s="10" t="s">
        <v>26</v>
      </c>
      <c r="H1225" s="10" t="s">
        <v>27</v>
      </c>
      <c r="I1225" s="10" t="s">
        <v>23</v>
      </c>
      <c r="J1225" s="11">
        <v>0.68</v>
      </c>
      <c r="K1225" s="12"/>
      <c r="L1225" s="12">
        <f>SUM(J1225:J1235)</f>
        <v>13.24</v>
      </c>
      <c r="M1225" s="13">
        <f>L1225*65</f>
        <v>860.6</v>
      </c>
      <c r="N1225" s="14">
        <f>MAX(500,M1225)</f>
        <v>860.6</v>
      </c>
      <c r="O1225" s="12"/>
      <c r="P1225" s="12"/>
      <c r="Q1225" s="12"/>
      <c r="R1225" s="12"/>
      <c r="S1225" s="12"/>
    </row>
    <row r="1226" spans="1:19" ht="14.25" customHeight="1" x14ac:dyDescent="0.2">
      <c r="A1226" s="1" t="s">
        <v>33</v>
      </c>
      <c r="B1226" s="7">
        <v>46092.887418981481</v>
      </c>
      <c r="C1226" s="7">
        <v>46092.917673611111</v>
      </c>
      <c r="D1226" s="8">
        <v>46092</v>
      </c>
      <c r="E1226" s="9">
        <v>0.91767361111124046</v>
      </c>
      <c r="F1226" s="10" t="s">
        <v>1437</v>
      </c>
      <c r="G1226" s="10" t="s">
        <v>26</v>
      </c>
      <c r="H1226" s="10" t="s">
        <v>37</v>
      </c>
      <c r="I1226" s="10" t="s">
        <v>23</v>
      </c>
      <c r="J1226" s="11">
        <v>0.88</v>
      </c>
      <c r="K1226" s="12"/>
      <c r="L1226" s="12"/>
      <c r="M1226" s="12"/>
      <c r="N1226" s="12"/>
      <c r="O1226" s="12"/>
      <c r="P1226" s="12"/>
      <c r="Q1226" s="12"/>
      <c r="R1226" s="12"/>
      <c r="S1226" s="12"/>
    </row>
    <row r="1227" spans="1:19" ht="14.25" customHeight="1" x14ac:dyDescent="0.2">
      <c r="A1227" s="1" t="s">
        <v>19</v>
      </c>
      <c r="B1227" s="7">
        <v>46092.865023148152</v>
      </c>
      <c r="C1227" s="7">
        <v>46092.918379629627</v>
      </c>
      <c r="D1227" s="8">
        <v>46092</v>
      </c>
      <c r="E1227" s="9">
        <v>0.91837962962745223</v>
      </c>
      <c r="F1227" s="10" t="s">
        <v>1438</v>
      </c>
      <c r="G1227" s="10" t="s">
        <v>26</v>
      </c>
      <c r="H1227" s="10" t="s">
        <v>128</v>
      </c>
      <c r="I1227" s="10" t="s">
        <v>23</v>
      </c>
      <c r="J1227" s="11">
        <v>0.97</v>
      </c>
      <c r="K1227" s="12"/>
      <c r="L1227" s="12"/>
      <c r="M1227" s="12"/>
      <c r="N1227" s="12"/>
      <c r="O1227" s="12"/>
      <c r="P1227" s="12"/>
      <c r="Q1227" s="12"/>
      <c r="R1227" s="12"/>
      <c r="S1227" s="12"/>
    </row>
    <row r="1228" spans="1:19" ht="14.25" customHeight="1" x14ac:dyDescent="0.2">
      <c r="A1228" s="1" t="s">
        <v>33</v>
      </c>
      <c r="B1228" s="7">
        <v>46092.867314814815</v>
      </c>
      <c r="C1228" s="7">
        <v>46092.921122685184</v>
      </c>
      <c r="D1228" s="8">
        <v>46092</v>
      </c>
      <c r="E1228" s="9">
        <v>0.92112268518394558</v>
      </c>
      <c r="F1228" s="10" t="s">
        <v>1439</v>
      </c>
      <c r="G1228" s="10" t="s">
        <v>26</v>
      </c>
      <c r="H1228" s="10" t="s">
        <v>205</v>
      </c>
      <c r="I1228" s="10" t="s">
        <v>23</v>
      </c>
      <c r="J1228" s="11">
        <v>0.57999999999999996</v>
      </c>
      <c r="K1228" s="12"/>
      <c r="L1228" s="12"/>
      <c r="M1228" s="12"/>
      <c r="N1228" s="12"/>
      <c r="O1228" s="12"/>
      <c r="P1228" s="12"/>
      <c r="Q1228" s="12"/>
      <c r="R1228" s="12"/>
      <c r="S1228" s="12"/>
    </row>
    <row r="1229" spans="1:19" ht="14.25" customHeight="1" x14ac:dyDescent="0.2">
      <c r="A1229" s="1" t="s">
        <v>33</v>
      </c>
      <c r="B1229" s="7">
        <v>46092.913506944446</v>
      </c>
      <c r="C1229" s="7">
        <v>46092.926192129627</v>
      </c>
      <c r="D1229" s="8">
        <v>46092</v>
      </c>
      <c r="E1229" s="9">
        <v>0.92619212962745223</v>
      </c>
      <c r="F1229" s="10" t="s">
        <v>1440</v>
      </c>
      <c r="G1229" s="10" t="s">
        <v>21</v>
      </c>
      <c r="H1229" s="10" t="s">
        <v>22</v>
      </c>
      <c r="I1229" s="10" t="s">
        <v>23</v>
      </c>
      <c r="J1229" s="11">
        <v>0.83</v>
      </c>
      <c r="K1229" s="12"/>
      <c r="L1229" s="12"/>
      <c r="M1229" s="12"/>
      <c r="N1229" s="12"/>
      <c r="O1229" s="12"/>
      <c r="P1229" s="12"/>
      <c r="Q1229" s="12"/>
      <c r="R1229" s="12"/>
      <c r="S1229" s="12"/>
    </row>
    <row r="1230" spans="1:19" ht="14.25" customHeight="1" x14ac:dyDescent="0.2">
      <c r="A1230" s="1" t="s">
        <v>57</v>
      </c>
      <c r="B1230" s="7">
        <v>46092.900196759256</v>
      </c>
      <c r="C1230" s="7">
        <v>46092.926851851851</v>
      </c>
      <c r="D1230" s="8">
        <v>46092</v>
      </c>
      <c r="E1230" s="9">
        <v>0.92685185185109731</v>
      </c>
      <c r="F1230" s="10" t="s">
        <v>1441</v>
      </c>
      <c r="G1230" s="10" t="s">
        <v>21</v>
      </c>
      <c r="H1230" s="10" t="s">
        <v>1442</v>
      </c>
      <c r="I1230" s="10" t="s">
        <v>23</v>
      </c>
      <c r="J1230" s="11">
        <v>0.83</v>
      </c>
      <c r="K1230" s="12"/>
      <c r="L1230" s="12"/>
      <c r="M1230" s="12"/>
      <c r="N1230" s="12"/>
      <c r="O1230" s="12"/>
      <c r="P1230" s="12"/>
      <c r="Q1230" s="12"/>
      <c r="R1230" s="12"/>
      <c r="S1230" s="12"/>
    </row>
    <row r="1231" spans="1:19" ht="14.25" customHeight="1" x14ac:dyDescent="0.2">
      <c r="A1231" s="1" t="s">
        <v>57</v>
      </c>
      <c r="B1231" s="7">
        <v>46092.903761574074</v>
      </c>
      <c r="C1231" s="7">
        <v>46092.928761574076</v>
      </c>
      <c r="D1231" s="8">
        <v>46092</v>
      </c>
      <c r="E1231" s="9">
        <v>0.92876157407590654</v>
      </c>
      <c r="F1231" s="10" t="s">
        <v>1443</v>
      </c>
      <c r="G1231" s="10" t="s">
        <v>21</v>
      </c>
      <c r="H1231" s="10" t="s">
        <v>1444</v>
      </c>
      <c r="I1231" s="10" t="s">
        <v>23</v>
      </c>
      <c r="J1231" s="11">
        <v>1.71</v>
      </c>
      <c r="K1231" s="12"/>
      <c r="L1231" s="12"/>
      <c r="M1231" s="12"/>
      <c r="N1231" s="12"/>
      <c r="O1231" s="12"/>
      <c r="P1231" s="12"/>
      <c r="Q1231" s="12"/>
      <c r="R1231" s="12"/>
      <c r="S1231" s="12"/>
    </row>
    <row r="1232" spans="1:19" ht="14.25" customHeight="1" x14ac:dyDescent="0.2">
      <c r="A1232" s="1" t="s">
        <v>57</v>
      </c>
      <c r="B1232" s="7">
        <v>46092.901747685188</v>
      </c>
      <c r="C1232" s="7">
        <v>46092.929027777776</v>
      </c>
      <c r="D1232" s="8">
        <v>46092</v>
      </c>
      <c r="E1232" s="9">
        <v>0.92902777777635492</v>
      </c>
      <c r="F1232" s="10" t="s">
        <v>1445</v>
      </c>
      <c r="G1232" s="10" t="s">
        <v>21</v>
      </c>
      <c r="H1232" s="10" t="s">
        <v>1446</v>
      </c>
      <c r="I1232" s="10" t="s">
        <v>23</v>
      </c>
      <c r="J1232" s="11">
        <v>1.71</v>
      </c>
      <c r="K1232" s="12"/>
      <c r="L1232" s="12"/>
      <c r="M1232" s="12"/>
      <c r="N1232" s="12"/>
      <c r="O1232" s="12"/>
      <c r="P1232" s="12"/>
      <c r="Q1232" s="12"/>
      <c r="R1232" s="12"/>
      <c r="S1232" s="12"/>
    </row>
    <row r="1233" spans="1:19" ht="14.25" customHeight="1" x14ac:dyDescent="0.2">
      <c r="A1233" s="1" t="s">
        <v>24</v>
      </c>
      <c r="B1233" s="7">
        <v>46092.905266203707</v>
      </c>
      <c r="C1233" s="7">
        <v>46092.929918981485</v>
      </c>
      <c r="D1233" s="8">
        <v>46092</v>
      </c>
      <c r="E1233" s="9">
        <v>0.92991898148466134</v>
      </c>
      <c r="F1233" s="10" t="s">
        <v>1447</v>
      </c>
      <c r="G1233" s="10" t="s">
        <v>21</v>
      </c>
      <c r="H1233" s="10" t="s">
        <v>61</v>
      </c>
      <c r="I1233" s="10" t="s">
        <v>23</v>
      </c>
      <c r="J1233" s="11">
        <v>2.5</v>
      </c>
      <c r="K1233" s="12"/>
      <c r="L1233" s="12"/>
      <c r="M1233" s="12"/>
      <c r="N1233" s="12"/>
      <c r="O1233" s="12"/>
      <c r="P1233" s="12"/>
      <c r="Q1233" s="12"/>
      <c r="R1233" s="12"/>
      <c r="S1233" s="12"/>
    </row>
    <row r="1234" spans="1:19" ht="14.25" customHeight="1" x14ac:dyDescent="0.2">
      <c r="A1234" s="1" t="s">
        <v>57</v>
      </c>
      <c r="B1234" s="7">
        <v>46092.917511574073</v>
      </c>
      <c r="C1234" s="7">
        <v>46092.943969907406</v>
      </c>
      <c r="D1234" s="8">
        <v>46092</v>
      </c>
      <c r="E1234" s="9">
        <v>0.9439699074064265</v>
      </c>
      <c r="F1234" s="10" t="s">
        <v>1448</v>
      </c>
      <c r="G1234" s="10" t="s">
        <v>21</v>
      </c>
      <c r="H1234" s="10" t="s">
        <v>303</v>
      </c>
      <c r="I1234" s="10" t="s">
        <v>23</v>
      </c>
      <c r="J1234" s="11">
        <v>1.77</v>
      </c>
      <c r="K1234" s="12"/>
      <c r="L1234" s="12"/>
      <c r="M1234" s="12"/>
      <c r="N1234" s="12"/>
      <c r="O1234" s="12"/>
      <c r="P1234" s="12"/>
      <c r="Q1234" s="12"/>
      <c r="R1234" s="12"/>
      <c r="S1234" s="12"/>
    </row>
    <row r="1235" spans="1:19" ht="14.25" customHeight="1" x14ac:dyDescent="0.2">
      <c r="A1235" s="1" t="s">
        <v>24</v>
      </c>
      <c r="B1235" s="7">
        <v>46092.913055555553</v>
      </c>
      <c r="C1235" s="7">
        <v>46092.945243055554</v>
      </c>
      <c r="D1235" s="8">
        <v>46092</v>
      </c>
      <c r="E1235" s="9">
        <v>0.945243055553874</v>
      </c>
      <c r="F1235" s="10" t="s">
        <v>1449</v>
      </c>
      <c r="G1235" s="10" t="s">
        <v>26</v>
      </c>
      <c r="H1235" s="10" t="s">
        <v>1450</v>
      </c>
      <c r="I1235" s="10" t="s">
        <v>23</v>
      </c>
      <c r="J1235" s="11">
        <v>0.78</v>
      </c>
      <c r="K1235" s="12"/>
      <c r="L1235" s="12"/>
      <c r="M1235" s="12"/>
      <c r="N1235" s="12"/>
      <c r="O1235" s="12"/>
      <c r="P1235" s="12"/>
      <c r="Q1235" s="12"/>
      <c r="R1235" s="12"/>
      <c r="S1235" s="12"/>
    </row>
    <row r="1236" spans="1:19" ht="14.25" customHeight="1" x14ac:dyDescent="0.2">
      <c r="A1236" s="1" t="s">
        <v>42</v>
      </c>
      <c r="B1236" s="7">
        <v>46092.891574074078</v>
      </c>
      <c r="C1236" s="7">
        <v>46092.961689814816</v>
      </c>
      <c r="D1236" s="8">
        <v>46092</v>
      </c>
      <c r="E1236" s="9">
        <v>0.96168981481605442</v>
      </c>
      <c r="F1236" s="10" t="s">
        <v>1451</v>
      </c>
      <c r="G1236" s="10" t="s">
        <v>21</v>
      </c>
      <c r="H1236" s="10" t="s">
        <v>225</v>
      </c>
      <c r="I1236" s="10" t="s">
        <v>23</v>
      </c>
      <c r="J1236" s="11">
        <v>1.77</v>
      </c>
      <c r="K1236" s="12"/>
      <c r="L1236" s="12">
        <f>SUM(J1236:J1257)</f>
        <v>15.249999999999996</v>
      </c>
      <c r="M1236" s="13">
        <f>L1236*65</f>
        <v>991.24999999999977</v>
      </c>
      <c r="N1236" s="14">
        <f>MAX(500,M1236)</f>
        <v>991.24999999999977</v>
      </c>
      <c r="O1236" s="12"/>
      <c r="P1236" s="12"/>
      <c r="Q1236" s="12"/>
      <c r="R1236" s="12"/>
      <c r="S1236" s="12"/>
    </row>
    <row r="1237" spans="1:19" ht="14.25" customHeight="1" x14ac:dyDescent="0.2">
      <c r="A1237" s="1" t="s">
        <v>24</v>
      </c>
      <c r="B1237" s="7">
        <v>46092.943657407406</v>
      </c>
      <c r="C1237" s="7">
        <v>46092.962013888886</v>
      </c>
      <c r="D1237" s="8">
        <v>46092</v>
      </c>
      <c r="E1237" s="9">
        <v>0.96201388888584916</v>
      </c>
      <c r="F1237" s="10" t="s">
        <v>1452</v>
      </c>
      <c r="G1237" s="10" t="s">
        <v>26</v>
      </c>
      <c r="H1237" s="10" t="s">
        <v>251</v>
      </c>
      <c r="I1237" s="10" t="s">
        <v>23</v>
      </c>
      <c r="J1237" s="11">
        <v>0.62</v>
      </c>
      <c r="K1237" s="12"/>
      <c r="L1237" s="12"/>
      <c r="M1237" s="12"/>
      <c r="N1237" s="12"/>
      <c r="O1237" s="12"/>
      <c r="P1237" s="12"/>
      <c r="Q1237" s="12"/>
      <c r="R1237" s="12"/>
      <c r="S1237" s="12"/>
    </row>
    <row r="1238" spans="1:19" ht="14.25" customHeight="1" x14ac:dyDescent="0.2">
      <c r="A1238" s="22" t="s">
        <v>57</v>
      </c>
      <c r="B1238" s="23">
        <v>46092.94</v>
      </c>
      <c r="C1238" s="23">
        <v>46092.965497685182</v>
      </c>
      <c r="D1238" s="24">
        <v>46092</v>
      </c>
      <c r="E1238" s="25">
        <v>0.96549768518161727</v>
      </c>
      <c r="F1238" s="22" t="s">
        <v>1453</v>
      </c>
      <c r="G1238" s="22" t="s">
        <v>21</v>
      </c>
      <c r="H1238" s="22" t="s">
        <v>710</v>
      </c>
      <c r="I1238" s="22" t="s">
        <v>583</v>
      </c>
      <c r="J1238" s="26">
        <v>0.98</v>
      </c>
      <c r="K1238" s="26"/>
      <c r="L1238" s="26"/>
      <c r="M1238" s="26"/>
      <c r="N1238" s="26"/>
      <c r="O1238" s="26"/>
      <c r="P1238" s="26"/>
      <c r="Q1238" s="26"/>
      <c r="R1238" s="26"/>
      <c r="S1238" s="26"/>
    </row>
    <row r="1239" spans="1:19" ht="14.25" customHeight="1" x14ac:dyDescent="0.2">
      <c r="A1239" s="22" t="s">
        <v>24</v>
      </c>
      <c r="B1239" s="23">
        <v>46092.889560185184</v>
      </c>
      <c r="C1239" s="23">
        <v>46092.96837962963</v>
      </c>
      <c r="D1239" s="24">
        <v>46092</v>
      </c>
      <c r="E1239" s="25">
        <v>0.96837962963036261</v>
      </c>
      <c r="F1239" s="22" t="s">
        <v>1454</v>
      </c>
      <c r="G1239" s="22" t="s">
        <v>44</v>
      </c>
      <c r="H1239" s="22" t="s">
        <v>185</v>
      </c>
      <c r="I1239" s="22" t="s">
        <v>583</v>
      </c>
      <c r="J1239" s="26">
        <v>0.18</v>
      </c>
      <c r="K1239" s="26"/>
      <c r="L1239" s="26"/>
      <c r="M1239" s="26"/>
      <c r="N1239" s="26"/>
      <c r="O1239" s="26"/>
      <c r="P1239" s="26"/>
      <c r="Q1239" s="26"/>
      <c r="R1239" s="26"/>
      <c r="S1239" s="26"/>
    </row>
    <row r="1240" spans="1:19" ht="14.25" customHeight="1" x14ac:dyDescent="0.2">
      <c r="A1240" s="1" t="s">
        <v>95</v>
      </c>
      <c r="B1240" s="7">
        <v>46092.95894675926</v>
      </c>
      <c r="C1240" s="7">
        <v>46092.969583333332</v>
      </c>
      <c r="D1240" s="8">
        <v>46092</v>
      </c>
      <c r="E1240" s="9">
        <v>0.96958333333168412</v>
      </c>
      <c r="F1240" s="10" t="s">
        <v>1455</v>
      </c>
      <c r="G1240" s="10" t="s">
        <v>21</v>
      </c>
      <c r="H1240" s="10" t="s">
        <v>110</v>
      </c>
      <c r="I1240" s="10" t="s">
        <v>23</v>
      </c>
      <c r="J1240" s="11">
        <v>0.83</v>
      </c>
      <c r="K1240" s="12"/>
      <c r="L1240" s="12"/>
      <c r="M1240" s="12"/>
      <c r="N1240" s="12"/>
      <c r="O1240" s="12"/>
      <c r="P1240" s="12"/>
      <c r="Q1240" s="12"/>
      <c r="R1240" s="12"/>
      <c r="S1240" s="12"/>
    </row>
    <row r="1241" spans="1:19" ht="14.25" customHeight="1" x14ac:dyDescent="0.2">
      <c r="A1241" s="1" t="s">
        <v>95</v>
      </c>
      <c r="B1241" s="7">
        <v>46092.960868055554</v>
      </c>
      <c r="C1241" s="7">
        <v>46092.969849537039</v>
      </c>
      <c r="D1241" s="8">
        <v>46092</v>
      </c>
      <c r="E1241" s="9">
        <v>0.96984953703940846</v>
      </c>
      <c r="F1241" s="10" t="s">
        <v>1456</v>
      </c>
      <c r="G1241" s="10" t="s">
        <v>21</v>
      </c>
      <c r="H1241" s="10" t="s">
        <v>52</v>
      </c>
      <c r="I1241" s="10" t="s">
        <v>23</v>
      </c>
      <c r="J1241" s="11">
        <v>0.98</v>
      </c>
      <c r="K1241" s="12"/>
      <c r="L1241" s="12"/>
      <c r="M1241" s="12"/>
      <c r="N1241" s="12"/>
      <c r="O1241" s="12"/>
      <c r="P1241" s="12"/>
      <c r="Q1241" s="12"/>
      <c r="R1241" s="12"/>
      <c r="S1241" s="12"/>
    </row>
    <row r="1242" spans="1:19" ht="14.25" customHeight="1" x14ac:dyDescent="0.2">
      <c r="A1242" s="1" t="s">
        <v>24</v>
      </c>
      <c r="B1242" s="7">
        <v>46092.963969907411</v>
      </c>
      <c r="C1242" s="7">
        <v>46092.975335648145</v>
      </c>
      <c r="D1242" s="8">
        <v>46092</v>
      </c>
      <c r="E1242" s="9">
        <v>0.97533564814511919</v>
      </c>
      <c r="F1242" s="10" t="s">
        <v>1457</v>
      </c>
      <c r="G1242" s="10" t="s">
        <v>26</v>
      </c>
      <c r="H1242" s="10" t="s">
        <v>202</v>
      </c>
      <c r="I1242" s="10" t="s">
        <v>23</v>
      </c>
      <c r="J1242" s="11">
        <v>0.57999999999999996</v>
      </c>
      <c r="K1242" s="12"/>
      <c r="L1242" s="12"/>
      <c r="M1242" s="12"/>
      <c r="N1242" s="12"/>
      <c r="O1242" s="12"/>
      <c r="P1242" s="12"/>
      <c r="Q1242" s="12"/>
      <c r="R1242" s="12"/>
      <c r="S1242" s="12"/>
    </row>
    <row r="1243" spans="1:19" ht="14.25" customHeight="1" x14ac:dyDescent="0.2">
      <c r="A1243" s="22" t="s">
        <v>24</v>
      </c>
      <c r="B1243" s="23">
        <v>46092.932615740741</v>
      </c>
      <c r="C1243" s="23">
        <v>46092.975937499999</v>
      </c>
      <c r="D1243" s="24">
        <v>46092</v>
      </c>
      <c r="E1243" s="25">
        <v>0.97593749999941792</v>
      </c>
      <c r="F1243" s="22" t="s">
        <v>1458</v>
      </c>
      <c r="G1243" s="22" t="s">
        <v>21</v>
      </c>
      <c r="H1243" s="22" t="s">
        <v>39</v>
      </c>
      <c r="I1243" s="22" t="s">
        <v>583</v>
      </c>
      <c r="J1243" s="26">
        <v>1.77</v>
      </c>
      <c r="K1243" s="26"/>
      <c r="L1243" s="26"/>
      <c r="M1243" s="26"/>
      <c r="N1243" s="26"/>
      <c r="O1243" s="26"/>
      <c r="P1243" s="26"/>
      <c r="Q1243" s="26"/>
      <c r="R1243" s="26"/>
      <c r="S1243" s="26"/>
    </row>
    <row r="1244" spans="1:19" ht="14.25" customHeight="1" x14ac:dyDescent="0.2">
      <c r="A1244" s="22" t="s">
        <v>24</v>
      </c>
      <c r="B1244" s="23">
        <v>46092.872442129628</v>
      </c>
      <c r="C1244" s="23">
        <v>46092.978703703702</v>
      </c>
      <c r="D1244" s="24">
        <v>46092</v>
      </c>
      <c r="E1244" s="25">
        <v>0.97870370370219462</v>
      </c>
      <c r="F1244" s="22" t="s">
        <v>1459</v>
      </c>
      <c r="G1244" s="22" t="s">
        <v>44</v>
      </c>
      <c r="H1244" s="22" t="s">
        <v>185</v>
      </c>
      <c r="I1244" s="22" t="s">
        <v>583</v>
      </c>
      <c r="J1244" s="26">
        <v>0.18</v>
      </c>
      <c r="K1244" s="26"/>
      <c r="L1244" s="26"/>
      <c r="M1244" s="26"/>
      <c r="N1244" s="26"/>
      <c r="O1244" s="26"/>
      <c r="P1244" s="26"/>
      <c r="Q1244" s="26"/>
      <c r="R1244" s="26"/>
      <c r="S1244" s="26"/>
    </row>
    <row r="1245" spans="1:19" ht="14.25" customHeight="1" x14ac:dyDescent="0.2">
      <c r="A1245" s="22" t="s">
        <v>24</v>
      </c>
      <c r="B1245" s="23">
        <v>46092.873611111114</v>
      </c>
      <c r="C1245" s="23">
        <v>46092.981134259258</v>
      </c>
      <c r="D1245" s="24">
        <v>46092</v>
      </c>
      <c r="E1245" s="25">
        <v>0.98113425925839692</v>
      </c>
      <c r="F1245" s="22" t="s">
        <v>1460</v>
      </c>
      <c r="G1245" s="22" t="s">
        <v>44</v>
      </c>
      <c r="H1245" s="22" t="s">
        <v>185</v>
      </c>
      <c r="I1245" s="22" t="s">
        <v>583</v>
      </c>
      <c r="J1245" s="26">
        <v>0.18</v>
      </c>
      <c r="K1245" s="26"/>
      <c r="L1245" s="26"/>
      <c r="M1245" s="26"/>
      <c r="N1245" s="26"/>
      <c r="O1245" s="26"/>
      <c r="P1245" s="26"/>
      <c r="Q1245" s="26"/>
      <c r="R1245" s="26"/>
      <c r="S1245" s="26"/>
    </row>
    <row r="1246" spans="1:19" ht="14.25" customHeight="1" x14ac:dyDescent="0.2">
      <c r="A1246" s="22" t="s">
        <v>24</v>
      </c>
      <c r="B1246" s="23">
        <v>46092.887418981481</v>
      </c>
      <c r="C1246" s="23">
        <v>46092.983101851853</v>
      </c>
      <c r="D1246" s="24">
        <v>46092</v>
      </c>
      <c r="E1246" s="25">
        <v>0.9831018518525525</v>
      </c>
      <c r="F1246" s="22" t="s">
        <v>1461</v>
      </c>
      <c r="G1246" s="22" t="s">
        <v>44</v>
      </c>
      <c r="H1246" s="22" t="s">
        <v>185</v>
      </c>
      <c r="I1246" s="22" t="s">
        <v>583</v>
      </c>
      <c r="J1246" s="26">
        <v>0.18</v>
      </c>
      <c r="K1246" s="26"/>
      <c r="L1246" s="26"/>
      <c r="M1246" s="26"/>
      <c r="N1246" s="26"/>
      <c r="O1246" s="26"/>
      <c r="P1246" s="26"/>
      <c r="Q1246" s="26"/>
      <c r="R1246" s="26"/>
      <c r="S1246" s="26"/>
    </row>
    <row r="1247" spans="1:19" ht="14.25" customHeight="1" x14ac:dyDescent="0.2">
      <c r="A1247" s="22" t="s">
        <v>63</v>
      </c>
      <c r="B1247" s="23">
        <v>46092.887199074074</v>
      </c>
      <c r="C1247" s="23">
        <v>46092.985115740739</v>
      </c>
      <c r="D1247" s="24">
        <v>46092</v>
      </c>
      <c r="E1247" s="25">
        <v>0.98511574073927477</v>
      </c>
      <c r="F1247" s="22" t="s">
        <v>1462</v>
      </c>
      <c r="G1247" s="22" t="s">
        <v>44</v>
      </c>
      <c r="H1247" s="22" t="s">
        <v>45</v>
      </c>
      <c r="I1247" s="22" t="s">
        <v>583</v>
      </c>
      <c r="J1247" s="26">
        <v>0.18</v>
      </c>
      <c r="K1247" s="26"/>
      <c r="L1247" s="26"/>
      <c r="M1247" s="26"/>
      <c r="N1247" s="26"/>
      <c r="O1247" s="26"/>
      <c r="P1247" s="26"/>
      <c r="Q1247" s="26"/>
      <c r="R1247" s="26"/>
      <c r="S1247" s="26"/>
    </row>
    <row r="1248" spans="1:19" ht="14.25" customHeight="1" x14ac:dyDescent="0.2">
      <c r="A1248" s="22" t="s">
        <v>24</v>
      </c>
      <c r="B1248" s="23">
        <v>46092.966990740744</v>
      </c>
      <c r="C1248" s="23">
        <v>46092.987164351849</v>
      </c>
      <c r="D1248" s="24">
        <v>46092</v>
      </c>
      <c r="E1248" s="25">
        <v>0.98716435184906004</v>
      </c>
      <c r="F1248" s="22" t="s">
        <v>1463</v>
      </c>
      <c r="G1248" s="22" t="s">
        <v>44</v>
      </c>
      <c r="H1248" s="22" t="s">
        <v>185</v>
      </c>
      <c r="I1248" s="22" t="s">
        <v>583</v>
      </c>
      <c r="J1248" s="26">
        <v>0.18</v>
      </c>
      <c r="K1248" s="26"/>
      <c r="L1248" s="26"/>
      <c r="M1248" s="26"/>
      <c r="N1248" s="26"/>
      <c r="O1248" s="26"/>
      <c r="P1248" s="26"/>
      <c r="Q1248" s="26"/>
      <c r="R1248" s="26"/>
      <c r="S1248" s="26"/>
    </row>
    <row r="1249" spans="1:19" ht="14.25" customHeight="1" x14ac:dyDescent="0.2">
      <c r="A1249" s="22" t="s">
        <v>28</v>
      </c>
      <c r="B1249" s="23">
        <v>46092.944305555553</v>
      </c>
      <c r="C1249" s="23">
        <v>46092.988854166666</v>
      </c>
      <c r="D1249" s="24">
        <v>46092</v>
      </c>
      <c r="E1249" s="25">
        <v>0.98885416666598758</v>
      </c>
      <c r="F1249" s="22" t="s">
        <v>1464</v>
      </c>
      <c r="G1249" s="22" t="s">
        <v>44</v>
      </c>
      <c r="H1249" s="22" t="s">
        <v>185</v>
      </c>
      <c r="I1249" s="22" t="s">
        <v>583</v>
      </c>
      <c r="J1249" s="26">
        <v>0.18</v>
      </c>
      <c r="K1249" s="26"/>
      <c r="L1249" s="26"/>
      <c r="M1249" s="26"/>
      <c r="N1249" s="26"/>
      <c r="O1249" s="26"/>
      <c r="P1249" s="26"/>
      <c r="Q1249" s="26"/>
      <c r="R1249" s="26"/>
      <c r="S1249" s="26"/>
    </row>
    <row r="1250" spans="1:19" ht="14.25" customHeight="1" x14ac:dyDescent="0.2">
      <c r="A1250" s="1" t="s">
        <v>24</v>
      </c>
      <c r="B1250" s="7">
        <v>46092.979560185187</v>
      </c>
      <c r="C1250" s="7">
        <v>46092.994189814817</v>
      </c>
      <c r="D1250" s="8">
        <v>46092</v>
      </c>
      <c r="E1250" s="9">
        <v>0.99418981481721858</v>
      </c>
      <c r="F1250" s="10" t="s">
        <v>1465</v>
      </c>
      <c r="G1250" s="10" t="s">
        <v>21</v>
      </c>
      <c r="H1250" s="10" t="s">
        <v>101</v>
      </c>
      <c r="I1250" s="10" t="s">
        <v>23</v>
      </c>
      <c r="J1250" s="11">
        <v>1.7</v>
      </c>
      <c r="K1250" s="12"/>
      <c r="L1250" s="12"/>
      <c r="M1250" s="12"/>
      <c r="N1250" s="12"/>
      <c r="O1250" s="12"/>
      <c r="P1250" s="12"/>
      <c r="Q1250" s="12"/>
      <c r="R1250" s="12"/>
      <c r="S1250" s="12"/>
    </row>
    <row r="1251" spans="1:19" ht="14.25" customHeight="1" x14ac:dyDescent="0.2">
      <c r="A1251" s="22" t="s">
        <v>33</v>
      </c>
      <c r="B1251" s="23">
        <v>46092.977569444447</v>
      </c>
      <c r="C1251" s="23">
        <v>46092.994791666664</v>
      </c>
      <c r="D1251" s="24">
        <v>46092</v>
      </c>
      <c r="E1251" s="25">
        <v>0.99479166666424135</v>
      </c>
      <c r="F1251" s="22" t="s">
        <v>1466</v>
      </c>
      <c r="G1251" s="22" t="s">
        <v>21</v>
      </c>
      <c r="H1251" s="22" t="s">
        <v>54</v>
      </c>
      <c r="I1251" s="22" t="s">
        <v>583</v>
      </c>
      <c r="J1251" s="26">
        <v>0.83</v>
      </c>
      <c r="K1251" s="26"/>
      <c r="L1251" s="26"/>
      <c r="M1251" s="26"/>
      <c r="N1251" s="26"/>
      <c r="O1251" s="26"/>
      <c r="P1251" s="26"/>
      <c r="Q1251" s="26"/>
      <c r="R1251" s="26"/>
      <c r="S1251" s="26"/>
    </row>
    <row r="1252" spans="1:19" ht="14.25" customHeight="1" x14ac:dyDescent="0.2">
      <c r="A1252" s="1" t="s">
        <v>24</v>
      </c>
      <c r="B1252" s="7">
        <v>46092.8596412037</v>
      </c>
      <c r="C1252" s="7">
        <v>46092.994849537034</v>
      </c>
      <c r="D1252" s="8">
        <v>46092</v>
      </c>
      <c r="E1252" s="9">
        <v>0.99484953703358769</v>
      </c>
      <c r="F1252" s="10" t="s">
        <v>1467</v>
      </c>
      <c r="G1252" s="10" t="s">
        <v>26</v>
      </c>
      <c r="H1252" s="10" t="s">
        <v>948</v>
      </c>
      <c r="I1252" s="10" t="s">
        <v>23</v>
      </c>
      <c r="J1252" s="11">
        <v>0.75</v>
      </c>
      <c r="K1252" s="12"/>
      <c r="L1252" s="12"/>
      <c r="M1252" s="12"/>
      <c r="N1252" s="12"/>
      <c r="O1252" s="12"/>
      <c r="P1252" s="12"/>
      <c r="Q1252" s="12"/>
      <c r="R1252" s="12"/>
      <c r="S1252" s="12"/>
    </row>
    <row r="1253" spans="1:19" ht="14.25" customHeight="1" x14ac:dyDescent="0.2">
      <c r="A1253" s="1" t="s">
        <v>28</v>
      </c>
      <c r="B1253" s="7">
        <v>46092.986631944441</v>
      </c>
      <c r="C1253" s="7">
        <v>46092.995069444441</v>
      </c>
      <c r="D1253" s="8">
        <v>46092</v>
      </c>
      <c r="E1253" s="9">
        <v>0.99506944444146939</v>
      </c>
      <c r="F1253" s="10" t="s">
        <v>1468</v>
      </c>
      <c r="G1253" s="10" t="s">
        <v>21</v>
      </c>
      <c r="H1253" s="10" t="s">
        <v>142</v>
      </c>
      <c r="I1253" s="10" t="s">
        <v>23</v>
      </c>
      <c r="J1253" s="11">
        <v>0.83</v>
      </c>
      <c r="K1253" s="12"/>
      <c r="L1253" s="12"/>
      <c r="M1253" s="12"/>
      <c r="N1253" s="12"/>
      <c r="O1253" s="12"/>
      <c r="P1253" s="12"/>
      <c r="Q1253" s="12"/>
      <c r="R1253" s="12"/>
      <c r="S1253" s="12"/>
    </row>
    <row r="1254" spans="1:19" ht="14.25" customHeight="1" x14ac:dyDescent="0.2">
      <c r="A1254" s="22" t="s">
        <v>28</v>
      </c>
      <c r="B1254" s="23">
        <v>46092.924699074072</v>
      </c>
      <c r="C1254" s="23">
        <v>46092.996979166666</v>
      </c>
      <c r="D1254" s="24">
        <v>46092</v>
      </c>
      <c r="E1254" s="25">
        <v>0.99697916666627862</v>
      </c>
      <c r="F1254" s="22" t="s">
        <v>1469</v>
      </c>
      <c r="G1254" s="22" t="s">
        <v>44</v>
      </c>
      <c r="H1254" s="22" t="s">
        <v>185</v>
      </c>
      <c r="I1254" s="22" t="s">
        <v>583</v>
      </c>
      <c r="J1254" s="26">
        <v>0.18</v>
      </c>
      <c r="K1254" s="26"/>
      <c r="L1254" s="26"/>
      <c r="M1254" s="26"/>
      <c r="N1254" s="26"/>
      <c r="O1254" s="26"/>
      <c r="P1254" s="26"/>
      <c r="Q1254" s="26"/>
      <c r="R1254" s="26"/>
      <c r="S1254" s="26"/>
    </row>
    <row r="1255" spans="1:19" ht="14.25" customHeight="1" x14ac:dyDescent="0.2">
      <c r="A1255" s="1" t="s">
        <v>24</v>
      </c>
      <c r="B1255" s="7">
        <v>46092.978645833333</v>
      </c>
      <c r="C1255" s="7">
        <v>46092.998437499999</v>
      </c>
      <c r="D1255" s="8">
        <v>46092</v>
      </c>
      <c r="E1255" s="9">
        <v>0.99843749999854481</v>
      </c>
      <c r="F1255" s="10" t="s">
        <v>1470</v>
      </c>
      <c r="G1255" s="10" t="s">
        <v>26</v>
      </c>
      <c r="H1255" s="10" t="s">
        <v>1019</v>
      </c>
      <c r="I1255" s="10" t="s">
        <v>23</v>
      </c>
      <c r="J1255" s="11">
        <v>0.67</v>
      </c>
      <c r="K1255" s="12"/>
      <c r="L1255" s="12"/>
      <c r="M1255" s="12"/>
      <c r="N1255" s="12"/>
      <c r="O1255" s="12"/>
      <c r="P1255" s="12"/>
      <c r="Q1255" s="12"/>
      <c r="R1255" s="12"/>
      <c r="S1255" s="12"/>
    </row>
    <row r="1256" spans="1:19" ht="14.25" customHeight="1" x14ac:dyDescent="0.2">
      <c r="A1256" s="1" t="s">
        <v>24</v>
      </c>
      <c r="B1256" s="7">
        <v>46092.982592592591</v>
      </c>
      <c r="C1256" s="7">
        <v>46092.998622685183</v>
      </c>
      <c r="D1256" s="8">
        <v>46092</v>
      </c>
      <c r="E1256" s="9">
        <v>0.9986226851833635</v>
      </c>
      <c r="F1256" s="10" t="s">
        <v>1471</v>
      </c>
      <c r="G1256" s="10" t="s">
        <v>21</v>
      </c>
      <c r="H1256" s="10" t="s">
        <v>22</v>
      </c>
      <c r="I1256" s="10" t="s">
        <v>23</v>
      </c>
      <c r="J1256" s="11">
        <v>0.83</v>
      </c>
      <c r="K1256" s="12"/>
      <c r="L1256" s="12"/>
      <c r="M1256" s="12"/>
      <c r="N1256" s="12"/>
      <c r="O1256" s="12"/>
      <c r="P1256" s="12"/>
      <c r="Q1256" s="12"/>
      <c r="R1256" s="12"/>
      <c r="S1256" s="12"/>
    </row>
    <row r="1257" spans="1:19" ht="14.25" customHeight="1" x14ac:dyDescent="0.2">
      <c r="A1257" s="1" t="s">
        <v>42</v>
      </c>
      <c r="B1257" s="7">
        <v>46092.973483796297</v>
      </c>
      <c r="C1257" s="7">
        <v>46092.999131944445</v>
      </c>
      <c r="D1257" s="8">
        <v>46092</v>
      </c>
      <c r="E1257" s="9">
        <v>0.99913194444525288</v>
      </c>
      <c r="F1257" s="10" t="s">
        <v>1472</v>
      </c>
      <c r="G1257" s="10" t="s">
        <v>26</v>
      </c>
      <c r="H1257" s="10" t="s">
        <v>172</v>
      </c>
      <c r="I1257" s="10" t="s">
        <v>23</v>
      </c>
      <c r="J1257" s="11">
        <v>0.67</v>
      </c>
      <c r="K1257" s="12"/>
      <c r="L1257" s="12"/>
      <c r="M1257" s="12"/>
      <c r="N1257" s="12"/>
      <c r="O1257" s="12"/>
      <c r="P1257" s="12"/>
      <c r="Q1257" s="12"/>
      <c r="R1257" s="12"/>
      <c r="S1257" s="12"/>
    </row>
    <row r="1258" spans="1:19" ht="14.25" customHeight="1" x14ac:dyDescent="0.2">
      <c r="A1258" s="1" t="s">
        <v>24</v>
      </c>
      <c r="B1258" s="7">
        <v>46092.985914351855</v>
      </c>
      <c r="C1258" s="7">
        <v>46093.004374999997</v>
      </c>
      <c r="D1258" s="8">
        <v>46093</v>
      </c>
      <c r="E1258" s="9">
        <v>4.3749999967985786E-3</v>
      </c>
      <c r="F1258" s="10" t="s">
        <v>1473</v>
      </c>
      <c r="G1258" s="10" t="s">
        <v>21</v>
      </c>
      <c r="H1258" s="10" t="s">
        <v>41</v>
      </c>
      <c r="I1258" s="10" t="s">
        <v>23</v>
      </c>
      <c r="J1258" s="11">
        <v>1.77</v>
      </c>
      <c r="K1258" s="12"/>
      <c r="L1258" s="12">
        <f>SUM(J1258:J1277)</f>
        <v>27.129999999999995</v>
      </c>
      <c r="M1258" s="13">
        <f>L1258*65</f>
        <v>1763.4499999999998</v>
      </c>
      <c r="N1258" s="14">
        <f>MAX(500,M1258)</f>
        <v>1763.4499999999998</v>
      </c>
      <c r="O1258" s="12"/>
      <c r="P1258" s="12"/>
      <c r="Q1258" s="12"/>
      <c r="R1258" s="12"/>
      <c r="S1258" s="12"/>
    </row>
    <row r="1259" spans="1:19" ht="14.25" customHeight="1" x14ac:dyDescent="0.2">
      <c r="A1259" s="1" t="s">
        <v>95</v>
      </c>
      <c r="B1259" s="7">
        <v>46093.000671296293</v>
      </c>
      <c r="C1259" s="7">
        <v>46093.006076388891</v>
      </c>
      <c r="D1259" s="8">
        <v>46093</v>
      </c>
      <c r="E1259" s="9">
        <v>6.0763888905057684E-3</v>
      </c>
      <c r="F1259" s="10" t="s">
        <v>1474</v>
      </c>
      <c r="G1259" s="10" t="s">
        <v>21</v>
      </c>
      <c r="H1259" s="10" t="s">
        <v>108</v>
      </c>
      <c r="I1259" s="10" t="s">
        <v>23</v>
      </c>
      <c r="J1259" s="11">
        <v>1.7</v>
      </c>
      <c r="K1259" s="12"/>
      <c r="L1259" s="12"/>
      <c r="M1259" s="12"/>
      <c r="N1259" s="12"/>
      <c r="O1259" s="12"/>
      <c r="P1259" s="12"/>
      <c r="Q1259" s="12"/>
      <c r="R1259" s="12"/>
      <c r="S1259" s="12"/>
    </row>
    <row r="1260" spans="1:19" ht="14.25" customHeight="1" x14ac:dyDescent="0.2">
      <c r="A1260" s="22" t="s">
        <v>33</v>
      </c>
      <c r="B1260" s="23">
        <v>46092.977569444447</v>
      </c>
      <c r="C1260" s="23">
        <v>46093.006215277775</v>
      </c>
      <c r="D1260" s="24">
        <v>46093</v>
      </c>
      <c r="E1260" s="25">
        <v>6.2152777754818089E-3</v>
      </c>
      <c r="F1260" s="22" t="s">
        <v>1475</v>
      </c>
      <c r="G1260" s="22" t="s">
        <v>21</v>
      </c>
      <c r="H1260" s="22" t="s">
        <v>35</v>
      </c>
      <c r="I1260" s="22" t="s">
        <v>583</v>
      </c>
      <c r="J1260" s="26">
        <v>2.5</v>
      </c>
      <c r="K1260" s="26"/>
      <c r="L1260" s="26"/>
      <c r="M1260" s="26"/>
      <c r="N1260" s="26"/>
      <c r="O1260" s="26"/>
      <c r="P1260" s="26"/>
      <c r="Q1260" s="26"/>
      <c r="R1260" s="26"/>
      <c r="S1260" s="26"/>
    </row>
    <row r="1261" spans="1:19" ht="14.25" customHeight="1" x14ac:dyDescent="0.2">
      <c r="A1261" s="1" t="s">
        <v>24</v>
      </c>
      <c r="B1261" s="7">
        <v>46092.997928240744</v>
      </c>
      <c r="C1261" s="7">
        <v>46093.009699074071</v>
      </c>
      <c r="D1261" s="8">
        <v>46093</v>
      </c>
      <c r="E1261" s="9">
        <v>9.6990740712499246E-3</v>
      </c>
      <c r="F1261" s="10" t="s">
        <v>1476</v>
      </c>
      <c r="G1261" s="10" t="s">
        <v>26</v>
      </c>
      <c r="H1261" s="10" t="s">
        <v>202</v>
      </c>
      <c r="I1261" s="10" t="s">
        <v>23</v>
      </c>
      <c r="J1261" s="11">
        <v>0.57999999999999996</v>
      </c>
      <c r="K1261" s="12"/>
      <c r="L1261" s="12"/>
      <c r="M1261" s="12"/>
      <c r="N1261" s="12"/>
      <c r="O1261" s="12"/>
      <c r="P1261" s="12"/>
      <c r="Q1261" s="12"/>
      <c r="R1261" s="12"/>
      <c r="S1261" s="12"/>
    </row>
    <row r="1262" spans="1:19" ht="14.25" customHeight="1" x14ac:dyDescent="0.2">
      <c r="A1262" s="1" t="s">
        <v>19</v>
      </c>
      <c r="B1262" s="7">
        <v>46092.993946759256</v>
      </c>
      <c r="C1262" s="7">
        <v>46093.010243055556</v>
      </c>
      <c r="D1262" s="8">
        <v>46093</v>
      </c>
      <c r="E1262" s="9">
        <v>1.0243055556202307E-2</v>
      </c>
      <c r="F1262" s="10" t="s">
        <v>1477</v>
      </c>
      <c r="G1262" s="10" t="s">
        <v>21</v>
      </c>
      <c r="H1262" s="10" t="s">
        <v>1478</v>
      </c>
      <c r="I1262" s="10" t="s">
        <v>23</v>
      </c>
      <c r="J1262" s="11">
        <v>0.98</v>
      </c>
      <c r="K1262" s="12"/>
      <c r="L1262" s="12"/>
      <c r="M1262" s="12"/>
      <c r="N1262" s="12"/>
      <c r="O1262" s="12"/>
      <c r="P1262" s="12"/>
      <c r="Q1262" s="12"/>
      <c r="R1262" s="12"/>
      <c r="S1262" s="12"/>
    </row>
    <row r="1263" spans="1:19" ht="14.25" customHeight="1" x14ac:dyDescent="0.2">
      <c r="A1263" s="1" t="s">
        <v>33</v>
      </c>
      <c r="B1263" s="7">
        <v>46093.000162037039</v>
      </c>
      <c r="C1263" s="7">
        <v>46093.014733796299</v>
      </c>
      <c r="D1263" s="8">
        <v>46093</v>
      </c>
      <c r="E1263" s="9">
        <v>1.4733796298969537E-2</v>
      </c>
      <c r="F1263" s="10" t="s">
        <v>1479</v>
      </c>
      <c r="G1263" s="10" t="s">
        <v>21</v>
      </c>
      <c r="H1263" s="10" t="s">
        <v>41</v>
      </c>
      <c r="I1263" s="10" t="s">
        <v>23</v>
      </c>
      <c r="J1263" s="11">
        <v>1.77</v>
      </c>
      <c r="K1263" s="12"/>
      <c r="L1263" s="12"/>
      <c r="M1263" s="12"/>
      <c r="N1263" s="12"/>
      <c r="O1263" s="12"/>
      <c r="P1263" s="12"/>
      <c r="Q1263" s="12"/>
      <c r="R1263" s="12"/>
      <c r="S1263" s="12"/>
    </row>
    <row r="1264" spans="1:19" ht="14.25" customHeight="1" x14ac:dyDescent="0.2">
      <c r="A1264" s="1" t="s">
        <v>42</v>
      </c>
      <c r="B1264" s="7">
        <v>46092.94158564815</v>
      </c>
      <c r="C1264" s="7">
        <v>46093.015266203707</v>
      </c>
      <c r="D1264" s="8">
        <v>46093</v>
      </c>
      <c r="E1264" s="9">
        <v>1.5266203707142267E-2</v>
      </c>
      <c r="F1264" s="10" t="s">
        <v>1480</v>
      </c>
      <c r="G1264" s="10" t="s">
        <v>21</v>
      </c>
      <c r="H1264" s="10" t="s">
        <v>225</v>
      </c>
      <c r="I1264" s="10" t="s">
        <v>23</v>
      </c>
      <c r="J1264" s="11">
        <v>1.77</v>
      </c>
      <c r="K1264" s="12"/>
      <c r="L1264" s="12"/>
      <c r="M1264" s="12"/>
      <c r="N1264" s="12"/>
      <c r="O1264" s="12"/>
      <c r="P1264" s="12"/>
      <c r="Q1264" s="12"/>
      <c r="R1264" s="12"/>
      <c r="S1264" s="12"/>
    </row>
    <row r="1265" spans="1:19" ht="14.25" customHeight="1" x14ac:dyDescent="0.2">
      <c r="A1265" s="1" t="s">
        <v>28</v>
      </c>
      <c r="B1265" s="7">
        <v>46093.002881944441</v>
      </c>
      <c r="C1265" s="7">
        <v>46093.016006944446</v>
      </c>
      <c r="D1265" s="8">
        <v>46093</v>
      </c>
      <c r="E1265" s="9">
        <v>1.6006944446417037E-2</v>
      </c>
      <c r="F1265" s="10" t="s">
        <v>1481</v>
      </c>
      <c r="G1265" s="10" t="s">
        <v>21</v>
      </c>
      <c r="H1265" s="10" t="s">
        <v>41</v>
      </c>
      <c r="I1265" s="10" t="s">
        <v>23</v>
      </c>
      <c r="J1265" s="11">
        <v>1.77</v>
      </c>
      <c r="K1265" s="12"/>
      <c r="L1265" s="12"/>
      <c r="M1265" s="12"/>
      <c r="N1265" s="12"/>
      <c r="O1265" s="12"/>
      <c r="P1265" s="12"/>
      <c r="Q1265" s="12"/>
      <c r="R1265" s="12"/>
      <c r="S1265" s="12"/>
    </row>
    <row r="1266" spans="1:19" ht="14.25" customHeight="1" x14ac:dyDescent="0.2">
      <c r="A1266" s="1" t="s">
        <v>19</v>
      </c>
      <c r="B1266" s="7">
        <v>46092.976909722223</v>
      </c>
      <c r="C1266" s="7">
        <v>46093.017002314817</v>
      </c>
      <c r="D1266" s="8">
        <v>46093</v>
      </c>
      <c r="E1266" s="9">
        <v>1.7002314816636499E-2</v>
      </c>
      <c r="F1266" s="10" t="s">
        <v>1482</v>
      </c>
      <c r="G1266" s="10" t="s">
        <v>26</v>
      </c>
      <c r="H1266" s="10" t="s">
        <v>287</v>
      </c>
      <c r="I1266" s="10" t="s">
        <v>23</v>
      </c>
      <c r="J1266" s="11">
        <v>0.98</v>
      </c>
      <c r="K1266" s="12"/>
      <c r="L1266" s="12"/>
      <c r="M1266" s="12"/>
      <c r="N1266" s="12"/>
      <c r="O1266" s="12"/>
      <c r="P1266" s="12"/>
      <c r="Q1266" s="12"/>
      <c r="R1266" s="12"/>
      <c r="S1266" s="12"/>
    </row>
    <row r="1267" spans="1:19" ht="14.25" customHeight="1" x14ac:dyDescent="0.2">
      <c r="A1267" s="1" t="s">
        <v>95</v>
      </c>
      <c r="B1267" s="7">
        <v>46093.00403935185</v>
      </c>
      <c r="C1267" s="7">
        <v>46093.018263888887</v>
      </c>
      <c r="D1267" s="8">
        <v>46093</v>
      </c>
      <c r="E1267" s="9">
        <v>1.8263888887304347E-2</v>
      </c>
      <c r="F1267" s="10" t="s">
        <v>1483</v>
      </c>
      <c r="G1267" s="10" t="s">
        <v>21</v>
      </c>
      <c r="H1267" s="10" t="s">
        <v>216</v>
      </c>
      <c r="I1267" s="10" t="s">
        <v>23</v>
      </c>
      <c r="J1267" s="11">
        <v>0.98</v>
      </c>
      <c r="K1267" s="12"/>
      <c r="L1267" s="12"/>
      <c r="M1267" s="12"/>
      <c r="N1267" s="12"/>
      <c r="O1267" s="12"/>
      <c r="P1267" s="12"/>
      <c r="Q1267" s="12"/>
      <c r="R1267" s="12"/>
      <c r="S1267" s="12"/>
    </row>
    <row r="1268" spans="1:19" ht="14.25" customHeight="1" x14ac:dyDescent="0.2">
      <c r="A1268" s="22" t="s">
        <v>95</v>
      </c>
      <c r="B1268" s="23">
        <v>46092.988599537035</v>
      </c>
      <c r="C1268" s="23">
        <v>46093.018692129626</v>
      </c>
      <c r="D1268" s="24">
        <v>46093</v>
      </c>
      <c r="E1268" s="25">
        <v>1.8692129626288079E-2</v>
      </c>
      <c r="F1268" s="22" t="s">
        <v>1484</v>
      </c>
      <c r="G1268" s="22" t="s">
        <v>21</v>
      </c>
      <c r="H1268" s="22" t="s">
        <v>97</v>
      </c>
      <c r="I1268" s="22" t="s">
        <v>583</v>
      </c>
      <c r="J1268" s="26">
        <v>1.77</v>
      </c>
      <c r="K1268" s="26"/>
      <c r="L1268" s="26"/>
      <c r="M1268" s="26"/>
      <c r="N1268" s="26"/>
      <c r="O1268" s="26"/>
      <c r="P1268" s="26"/>
      <c r="Q1268" s="26"/>
      <c r="R1268" s="26"/>
      <c r="S1268" s="26"/>
    </row>
    <row r="1269" spans="1:19" ht="14.25" customHeight="1" x14ac:dyDescent="0.2">
      <c r="A1269" s="22" t="s">
        <v>19</v>
      </c>
      <c r="B1269" s="23">
        <v>46092.928831018522</v>
      </c>
      <c r="C1269" s="23">
        <v>46093.02107638889</v>
      </c>
      <c r="D1269" s="24">
        <v>46093</v>
      </c>
      <c r="E1269" s="25">
        <v>2.1076388889923692E-2</v>
      </c>
      <c r="F1269" s="22" t="s">
        <v>1485</v>
      </c>
      <c r="G1269" s="22" t="s">
        <v>44</v>
      </c>
      <c r="H1269" s="22" t="s">
        <v>185</v>
      </c>
      <c r="I1269" s="22" t="s">
        <v>583</v>
      </c>
      <c r="J1269" s="26">
        <v>0.18</v>
      </c>
      <c r="K1269" s="26"/>
      <c r="L1269" s="26"/>
      <c r="M1269" s="26"/>
      <c r="N1269" s="26"/>
      <c r="O1269" s="26"/>
      <c r="P1269" s="26"/>
      <c r="Q1269" s="26"/>
      <c r="R1269" s="26"/>
      <c r="S1269" s="26"/>
    </row>
    <row r="1270" spans="1:19" ht="14.25" customHeight="1" x14ac:dyDescent="0.2">
      <c r="A1270" s="1" t="s">
        <v>95</v>
      </c>
      <c r="B1270" s="7">
        <v>46092.99664351852</v>
      </c>
      <c r="C1270" s="7">
        <v>46093.021932870368</v>
      </c>
      <c r="D1270" s="8">
        <v>46093</v>
      </c>
      <c r="E1270" s="9">
        <v>2.1932870367891155E-2</v>
      </c>
      <c r="F1270" s="10" t="s">
        <v>1486</v>
      </c>
      <c r="G1270" s="10" t="s">
        <v>21</v>
      </c>
      <c r="H1270" s="10" t="s">
        <v>154</v>
      </c>
      <c r="I1270" s="10" t="s">
        <v>23</v>
      </c>
      <c r="J1270" s="11">
        <v>1.77</v>
      </c>
      <c r="K1270" s="12"/>
      <c r="L1270" s="12"/>
      <c r="M1270" s="12"/>
      <c r="N1270" s="12"/>
      <c r="O1270" s="12"/>
      <c r="P1270" s="12"/>
      <c r="Q1270" s="12"/>
      <c r="R1270" s="12"/>
      <c r="S1270" s="12"/>
    </row>
    <row r="1271" spans="1:19" ht="14.25" customHeight="1" x14ac:dyDescent="0.2">
      <c r="A1271" s="1" t="s">
        <v>19</v>
      </c>
      <c r="B1271" s="7">
        <v>46092.998229166667</v>
      </c>
      <c r="C1271" s="7">
        <v>46093.031030092592</v>
      </c>
      <c r="D1271" s="8">
        <v>46093</v>
      </c>
      <c r="E1271" s="9">
        <v>3.1030092592118308E-2</v>
      </c>
      <c r="F1271" s="10" t="s">
        <v>1487</v>
      </c>
      <c r="G1271" s="10" t="s">
        <v>21</v>
      </c>
      <c r="H1271" s="10" t="s">
        <v>39</v>
      </c>
      <c r="I1271" s="10" t="s">
        <v>23</v>
      </c>
      <c r="J1271" s="11">
        <v>1.77</v>
      </c>
      <c r="K1271" s="12"/>
      <c r="L1271" s="12"/>
      <c r="M1271" s="12"/>
      <c r="N1271" s="12"/>
      <c r="O1271" s="12"/>
      <c r="P1271" s="12"/>
      <c r="Q1271" s="12"/>
      <c r="R1271" s="12"/>
      <c r="S1271" s="12"/>
    </row>
    <row r="1272" spans="1:19" ht="14.25" customHeight="1" x14ac:dyDescent="0.2">
      <c r="A1272" s="22" t="s">
        <v>95</v>
      </c>
      <c r="B1272" s="23">
        <v>46092.99664351852</v>
      </c>
      <c r="C1272" s="23">
        <v>46093.031319444446</v>
      </c>
      <c r="D1272" s="24">
        <v>46093</v>
      </c>
      <c r="E1272" s="25">
        <v>3.1319444446125999E-2</v>
      </c>
      <c r="F1272" s="22" t="s">
        <v>1488</v>
      </c>
      <c r="G1272" s="22" t="s">
        <v>21</v>
      </c>
      <c r="H1272" s="22" t="s">
        <v>97</v>
      </c>
      <c r="I1272" s="22" t="s">
        <v>583</v>
      </c>
      <c r="J1272" s="26">
        <v>1.77</v>
      </c>
      <c r="K1272" s="26"/>
      <c r="L1272" s="26"/>
      <c r="M1272" s="26"/>
      <c r="N1272" s="26"/>
      <c r="O1272" s="26"/>
      <c r="P1272" s="26"/>
      <c r="Q1272" s="26"/>
      <c r="R1272" s="26"/>
      <c r="S1272" s="26"/>
    </row>
    <row r="1273" spans="1:19" ht="14.25" customHeight="1" x14ac:dyDescent="0.2">
      <c r="A1273" s="1" t="s">
        <v>24</v>
      </c>
      <c r="B1273" s="7">
        <v>46093.013356481482</v>
      </c>
      <c r="C1273" s="7">
        <v>46093.031504629631</v>
      </c>
      <c r="D1273" s="8">
        <v>46093</v>
      </c>
      <c r="E1273" s="9">
        <v>3.1504629630944692E-2</v>
      </c>
      <c r="F1273" s="10" t="s">
        <v>1489</v>
      </c>
      <c r="G1273" s="10" t="s">
        <v>26</v>
      </c>
      <c r="H1273" s="10" t="s">
        <v>1490</v>
      </c>
      <c r="I1273" s="10" t="s">
        <v>23</v>
      </c>
      <c r="J1273" s="11">
        <v>0.5</v>
      </c>
      <c r="K1273" s="12"/>
      <c r="L1273" s="12"/>
      <c r="M1273" s="12"/>
      <c r="N1273" s="12"/>
      <c r="O1273" s="12"/>
      <c r="P1273" s="12"/>
      <c r="Q1273" s="12"/>
      <c r="R1273" s="12"/>
      <c r="S1273" s="12"/>
    </row>
    <row r="1274" spans="1:19" ht="14.25" customHeight="1" x14ac:dyDescent="0.2">
      <c r="A1274" s="1" t="s">
        <v>24</v>
      </c>
      <c r="B1274" s="7">
        <v>46093.016134259262</v>
      </c>
      <c r="C1274" s="7">
        <v>46093.031689814816</v>
      </c>
      <c r="D1274" s="8">
        <v>46093</v>
      </c>
      <c r="E1274" s="9">
        <v>3.1689814815763384E-2</v>
      </c>
      <c r="F1274" s="10" t="s">
        <v>1491</v>
      </c>
      <c r="G1274" s="10" t="s">
        <v>26</v>
      </c>
      <c r="H1274" s="10" t="s">
        <v>37</v>
      </c>
      <c r="I1274" s="10" t="s">
        <v>23</v>
      </c>
      <c r="J1274" s="11">
        <v>0.88</v>
      </c>
      <c r="K1274" s="12"/>
      <c r="L1274" s="12"/>
      <c r="M1274" s="12"/>
      <c r="N1274" s="12"/>
      <c r="O1274" s="12"/>
      <c r="P1274" s="12"/>
      <c r="Q1274" s="12"/>
      <c r="R1274" s="12"/>
      <c r="S1274" s="12"/>
    </row>
    <row r="1275" spans="1:19" ht="14.25" customHeight="1" x14ac:dyDescent="0.2">
      <c r="A1275" s="1" t="s">
        <v>95</v>
      </c>
      <c r="B1275" s="7">
        <v>46093.016215277778</v>
      </c>
      <c r="C1275" s="7">
        <v>46093.032129629632</v>
      </c>
      <c r="D1275" s="8">
        <v>46093</v>
      </c>
      <c r="E1275" s="9">
        <v>3.2129629631526768E-2</v>
      </c>
      <c r="F1275" s="10" t="s">
        <v>1492</v>
      </c>
      <c r="G1275" s="10" t="s">
        <v>21</v>
      </c>
      <c r="H1275" s="10" t="s">
        <v>1493</v>
      </c>
      <c r="I1275" s="10" t="s">
        <v>23</v>
      </c>
      <c r="J1275" s="11">
        <v>1.1299999999999999</v>
      </c>
      <c r="K1275" s="12"/>
      <c r="L1275" s="12"/>
      <c r="M1275" s="12"/>
      <c r="N1275" s="12"/>
      <c r="O1275" s="12"/>
      <c r="P1275" s="12"/>
      <c r="Q1275" s="12"/>
      <c r="R1275" s="12"/>
      <c r="S1275" s="12"/>
    </row>
    <row r="1276" spans="1:19" ht="14.25" customHeight="1" x14ac:dyDescent="0.2">
      <c r="A1276" s="1" t="s">
        <v>42</v>
      </c>
      <c r="B1276" s="7">
        <v>46092.995393518519</v>
      </c>
      <c r="C1276" s="7">
        <v>46093.037048611113</v>
      </c>
      <c r="D1276" s="8">
        <v>46093</v>
      </c>
      <c r="E1276" s="9">
        <v>3.704861111327773E-2</v>
      </c>
      <c r="F1276" s="10" t="s">
        <v>1494</v>
      </c>
      <c r="G1276" s="10" t="s">
        <v>26</v>
      </c>
      <c r="H1276" s="10" t="s">
        <v>653</v>
      </c>
      <c r="I1276" s="10" t="s">
        <v>23</v>
      </c>
      <c r="J1276" s="11">
        <v>0.79</v>
      </c>
      <c r="K1276" s="12"/>
      <c r="L1276" s="12"/>
      <c r="M1276" s="12"/>
      <c r="N1276" s="12"/>
      <c r="O1276" s="12"/>
      <c r="P1276" s="12"/>
      <c r="Q1276" s="12"/>
      <c r="R1276" s="12"/>
      <c r="S1276" s="12"/>
    </row>
    <row r="1277" spans="1:19" ht="14.25" customHeight="1" x14ac:dyDescent="0.2">
      <c r="A1277" s="22" t="s">
        <v>95</v>
      </c>
      <c r="B1277" s="23">
        <v>46092.99732638889</v>
      </c>
      <c r="C1277" s="23">
        <v>46093.040625000001</v>
      </c>
      <c r="D1277" s="24">
        <v>46093</v>
      </c>
      <c r="E1277" s="25">
        <v>4.0625000001455192E-2</v>
      </c>
      <c r="F1277" s="22" t="s">
        <v>1495</v>
      </c>
      <c r="G1277" s="22" t="s">
        <v>21</v>
      </c>
      <c r="H1277" s="22" t="s">
        <v>97</v>
      </c>
      <c r="I1277" s="22" t="s">
        <v>583</v>
      </c>
      <c r="J1277" s="26">
        <v>1.77</v>
      </c>
      <c r="K1277" s="26"/>
      <c r="L1277" s="26"/>
      <c r="M1277" s="26"/>
      <c r="N1277" s="26"/>
      <c r="O1277" s="26"/>
      <c r="P1277" s="26"/>
      <c r="Q1277" s="26"/>
      <c r="R1277" s="26"/>
      <c r="S1277" s="26"/>
    </row>
    <row r="1278" spans="1:19" ht="14.25" customHeight="1" x14ac:dyDescent="0.2">
      <c r="A1278" s="22" t="s">
        <v>24</v>
      </c>
      <c r="B1278" s="23">
        <v>46092.947430555556</v>
      </c>
      <c r="C1278" s="23">
        <v>46093.042592592596</v>
      </c>
      <c r="D1278" s="24">
        <v>46093</v>
      </c>
      <c r="E1278" s="25">
        <v>4.2592592595610768E-2</v>
      </c>
      <c r="F1278" s="22" t="s">
        <v>1496</v>
      </c>
      <c r="G1278" s="22" t="s">
        <v>44</v>
      </c>
      <c r="H1278" s="22" t="s">
        <v>185</v>
      </c>
      <c r="I1278" s="22" t="s">
        <v>583</v>
      </c>
      <c r="J1278" s="26">
        <v>0.18</v>
      </c>
      <c r="K1278" s="26"/>
      <c r="L1278" s="26">
        <f>SUM(J1278:J1293)</f>
        <v>18.510000000000005</v>
      </c>
      <c r="M1278" s="13">
        <f>L1278*65</f>
        <v>1203.1500000000003</v>
      </c>
      <c r="N1278" s="14">
        <f>MAX(500,M1278)</f>
        <v>1203.1500000000003</v>
      </c>
      <c r="O1278" s="26"/>
      <c r="P1278" s="26"/>
      <c r="Q1278" s="26"/>
      <c r="R1278" s="26"/>
      <c r="S1278" s="26"/>
    </row>
    <row r="1279" spans="1:19" ht="14.25" customHeight="1" x14ac:dyDescent="0.2">
      <c r="A1279" s="1" t="s">
        <v>57</v>
      </c>
      <c r="B1279" s="7">
        <v>46093.023263888892</v>
      </c>
      <c r="C1279" s="7">
        <v>46093.048182870371</v>
      </c>
      <c r="D1279" s="8">
        <v>46093</v>
      </c>
      <c r="E1279" s="9">
        <v>4.81828703705105E-2</v>
      </c>
      <c r="F1279" s="10" t="s">
        <v>1497</v>
      </c>
      <c r="G1279" s="10" t="s">
        <v>21</v>
      </c>
      <c r="H1279" s="10" t="s">
        <v>59</v>
      </c>
      <c r="I1279" s="10" t="s">
        <v>23</v>
      </c>
      <c r="J1279" s="11">
        <v>0.83</v>
      </c>
      <c r="K1279" s="12"/>
      <c r="L1279" s="12"/>
      <c r="M1279" s="12"/>
      <c r="N1279" s="12"/>
      <c r="O1279" s="12"/>
      <c r="P1279" s="12"/>
      <c r="Q1279" s="12"/>
      <c r="R1279" s="12"/>
      <c r="S1279" s="12"/>
    </row>
    <row r="1280" spans="1:19" ht="14.25" customHeight="1" x14ac:dyDescent="0.2">
      <c r="A1280" s="1" t="s">
        <v>57</v>
      </c>
      <c r="B1280" s="7">
        <v>46093.013298611113</v>
      </c>
      <c r="C1280" s="7">
        <v>46093.048784722225</v>
      </c>
      <c r="D1280" s="8">
        <v>46093</v>
      </c>
      <c r="E1280" s="9">
        <v>4.8784722224809229E-2</v>
      </c>
      <c r="F1280" s="10" t="s">
        <v>1498</v>
      </c>
      <c r="G1280" s="10" t="s">
        <v>21</v>
      </c>
      <c r="H1280" s="10" t="s">
        <v>303</v>
      </c>
      <c r="I1280" s="10" t="s">
        <v>23</v>
      </c>
      <c r="J1280" s="11">
        <v>1.77</v>
      </c>
      <c r="K1280" s="12"/>
      <c r="L1280" s="12"/>
      <c r="M1280" s="12"/>
      <c r="N1280" s="12"/>
      <c r="O1280" s="12"/>
      <c r="P1280" s="12"/>
      <c r="Q1280" s="12"/>
      <c r="R1280" s="12"/>
      <c r="S1280" s="12"/>
    </row>
    <row r="1281" spans="1:19" ht="14.25" customHeight="1" x14ac:dyDescent="0.2">
      <c r="A1281" s="1" t="s">
        <v>28</v>
      </c>
      <c r="B1281" s="7">
        <v>46093.035416666666</v>
      </c>
      <c r="C1281" s="7">
        <v>46093.049050925925</v>
      </c>
      <c r="D1281" s="8">
        <v>46093</v>
      </c>
      <c r="E1281" s="9">
        <v>4.9050925925257616E-2</v>
      </c>
      <c r="F1281" s="10" t="s">
        <v>1499</v>
      </c>
      <c r="G1281" s="10" t="s">
        <v>21</v>
      </c>
      <c r="H1281" s="10" t="s">
        <v>22</v>
      </c>
      <c r="I1281" s="10" t="s">
        <v>23</v>
      </c>
      <c r="J1281" s="11">
        <v>0.83</v>
      </c>
      <c r="K1281" s="12"/>
      <c r="L1281" s="12"/>
      <c r="M1281" s="12"/>
      <c r="N1281" s="12"/>
      <c r="O1281" s="12"/>
      <c r="P1281" s="12"/>
      <c r="Q1281" s="12"/>
      <c r="R1281" s="12"/>
      <c r="S1281" s="12"/>
    </row>
    <row r="1282" spans="1:19" ht="14.25" customHeight="1" x14ac:dyDescent="0.2">
      <c r="A1282" s="1" t="s">
        <v>28</v>
      </c>
      <c r="B1282" s="7">
        <v>46093.03800925926</v>
      </c>
      <c r="C1282" s="7">
        <v>46093.050243055557</v>
      </c>
      <c r="D1282" s="8">
        <v>46093</v>
      </c>
      <c r="E1282" s="9">
        <v>5.0243055557075422E-2</v>
      </c>
      <c r="F1282" s="10" t="s">
        <v>1500</v>
      </c>
      <c r="G1282" s="10" t="s">
        <v>21</v>
      </c>
      <c r="H1282" s="10" t="s">
        <v>41</v>
      </c>
      <c r="I1282" s="10" t="s">
        <v>23</v>
      </c>
      <c r="J1282" s="11">
        <v>1.77</v>
      </c>
      <c r="K1282" s="12"/>
      <c r="L1282" s="12"/>
      <c r="M1282" s="12"/>
      <c r="N1282" s="12"/>
      <c r="O1282" s="12"/>
      <c r="P1282" s="12"/>
      <c r="Q1282" s="12"/>
      <c r="R1282" s="12"/>
      <c r="S1282" s="12"/>
    </row>
    <row r="1283" spans="1:19" ht="14.25" customHeight="1" x14ac:dyDescent="0.2">
      <c r="A1283" s="1" t="s">
        <v>95</v>
      </c>
      <c r="B1283" s="7">
        <v>46093.04488425926</v>
      </c>
      <c r="C1283" s="7">
        <v>46093.055428240739</v>
      </c>
      <c r="D1283" s="8">
        <v>46093</v>
      </c>
      <c r="E1283" s="9">
        <v>5.542824073927477E-2</v>
      </c>
      <c r="F1283" s="10" t="s">
        <v>1501</v>
      </c>
      <c r="G1283" s="10" t="s">
        <v>21</v>
      </c>
      <c r="H1283" s="10" t="s">
        <v>110</v>
      </c>
      <c r="I1283" s="10" t="s">
        <v>23</v>
      </c>
      <c r="J1283" s="11">
        <v>0.83</v>
      </c>
      <c r="K1283" s="12"/>
      <c r="L1283" s="12"/>
      <c r="M1283" s="12"/>
      <c r="N1283" s="12"/>
      <c r="O1283" s="12"/>
      <c r="P1283" s="12"/>
      <c r="Q1283" s="12"/>
      <c r="R1283" s="12"/>
      <c r="S1283" s="12"/>
    </row>
    <row r="1284" spans="1:19" ht="14.25" customHeight="1" x14ac:dyDescent="0.2">
      <c r="A1284" s="1" t="s">
        <v>24</v>
      </c>
      <c r="B1284" s="7">
        <v>46093.036273148151</v>
      </c>
      <c r="C1284" s="7">
        <v>46093.057557870372</v>
      </c>
      <c r="D1284" s="8">
        <v>46093</v>
      </c>
      <c r="E1284" s="9">
        <v>5.7557870371965691E-2</v>
      </c>
      <c r="F1284" s="10" t="s">
        <v>1502</v>
      </c>
      <c r="G1284" s="10" t="s">
        <v>21</v>
      </c>
      <c r="H1284" s="10" t="s">
        <v>39</v>
      </c>
      <c r="I1284" s="10" t="s">
        <v>23</v>
      </c>
      <c r="J1284" s="11">
        <v>1.77</v>
      </c>
      <c r="K1284" s="12"/>
      <c r="L1284" s="12"/>
      <c r="M1284" s="12"/>
      <c r="N1284" s="12"/>
      <c r="O1284" s="12"/>
      <c r="P1284" s="12"/>
      <c r="Q1284" s="12"/>
      <c r="R1284" s="12"/>
      <c r="S1284" s="12"/>
    </row>
    <row r="1285" spans="1:19" ht="14.25" customHeight="1" x14ac:dyDescent="0.2">
      <c r="A1285" s="1" t="s">
        <v>95</v>
      </c>
      <c r="B1285" s="7">
        <v>46093.045694444445</v>
      </c>
      <c r="C1285" s="7">
        <v>46093.06177083333</v>
      </c>
      <c r="D1285" s="8">
        <v>46093</v>
      </c>
      <c r="E1285" s="9">
        <v>6.1770833330228925E-2</v>
      </c>
      <c r="F1285" s="10" t="s">
        <v>1503</v>
      </c>
      <c r="G1285" s="10" t="s">
        <v>21</v>
      </c>
      <c r="H1285" s="10" t="s">
        <v>105</v>
      </c>
      <c r="I1285" s="10" t="s">
        <v>23</v>
      </c>
      <c r="J1285" s="11">
        <v>2.5</v>
      </c>
      <c r="K1285" s="12"/>
      <c r="L1285" s="12"/>
      <c r="M1285" s="12"/>
      <c r="N1285" s="12"/>
      <c r="O1285" s="12"/>
      <c r="P1285" s="12"/>
      <c r="Q1285" s="12"/>
      <c r="R1285" s="12"/>
      <c r="S1285" s="12"/>
    </row>
    <row r="1286" spans="1:19" ht="14.25" customHeight="1" x14ac:dyDescent="0.2">
      <c r="A1286" s="1" t="s">
        <v>24</v>
      </c>
      <c r="B1286" s="7">
        <v>46093.045474537037</v>
      </c>
      <c r="C1286" s="7">
        <v>46093.062210648146</v>
      </c>
      <c r="D1286" s="8">
        <v>46093</v>
      </c>
      <c r="E1286" s="9">
        <v>6.2210648145992309E-2</v>
      </c>
      <c r="F1286" s="10" t="s">
        <v>1504</v>
      </c>
      <c r="G1286" s="10" t="s">
        <v>21</v>
      </c>
      <c r="H1286" s="10" t="s">
        <v>22</v>
      </c>
      <c r="I1286" s="10" t="s">
        <v>23</v>
      </c>
      <c r="J1286" s="11">
        <v>0.83</v>
      </c>
      <c r="K1286" s="12"/>
      <c r="L1286" s="12"/>
      <c r="M1286" s="12"/>
      <c r="N1286" s="12"/>
      <c r="O1286" s="12"/>
      <c r="P1286" s="12"/>
      <c r="Q1286" s="12"/>
      <c r="R1286" s="12"/>
      <c r="S1286" s="12"/>
    </row>
    <row r="1287" spans="1:19" ht="14.25" customHeight="1" x14ac:dyDescent="0.2">
      <c r="A1287" s="1" t="s">
        <v>24</v>
      </c>
      <c r="B1287" s="7">
        <v>46093.045474537037</v>
      </c>
      <c r="C1287" s="7">
        <v>46093.062557870369</v>
      </c>
      <c r="D1287" s="8">
        <v>46093</v>
      </c>
      <c r="E1287" s="9">
        <v>6.2557870369346347E-2</v>
      </c>
      <c r="F1287" s="10" t="s">
        <v>1505</v>
      </c>
      <c r="G1287" s="10" t="s">
        <v>21</v>
      </c>
      <c r="H1287" s="10" t="s">
        <v>52</v>
      </c>
      <c r="I1287" s="10" t="s">
        <v>23</v>
      </c>
      <c r="J1287" s="11">
        <v>0.98</v>
      </c>
      <c r="K1287" s="12"/>
      <c r="L1287" s="12"/>
      <c r="M1287" s="12"/>
      <c r="N1287" s="12"/>
      <c r="O1287" s="12"/>
      <c r="P1287" s="12"/>
      <c r="Q1287" s="12"/>
      <c r="R1287" s="12"/>
      <c r="S1287" s="12"/>
    </row>
    <row r="1288" spans="1:19" ht="14.25" customHeight="1" x14ac:dyDescent="0.2">
      <c r="A1288" s="1" t="s">
        <v>19</v>
      </c>
      <c r="B1288" s="7">
        <v>46093.047766203701</v>
      </c>
      <c r="C1288" s="7">
        <v>46093.063634259262</v>
      </c>
      <c r="D1288" s="8">
        <v>46093</v>
      </c>
      <c r="E1288" s="9">
        <v>6.363425926247146E-2</v>
      </c>
      <c r="F1288" s="10" t="s">
        <v>1506</v>
      </c>
      <c r="G1288" s="10" t="s">
        <v>21</v>
      </c>
      <c r="H1288" s="10" t="s">
        <v>41</v>
      </c>
      <c r="I1288" s="10" t="s">
        <v>23</v>
      </c>
      <c r="J1288" s="11">
        <v>1.77</v>
      </c>
      <c r="K1288" s="12"/>
      <c r="L1288" s="12"/>
      <c r="M1288" s="12"/>
      <c r="N1288" s="12"/>
      <c r="O1288" s="12"/>
      <c r="P1288" s="12"/>
      <c r="Q1288" s="12"/>
      <c r="R1288" s="12"/>
      <c r="S1288" s="12"/>
    </row>
    <row r="1289" spans="1:19" ht="14.25" customHeight="1" x14ac:dyDescent="0.2">
      <c r="A1289" s="1" t="s">
        <v>42</v>
      </c>
      <c r="B1289" s="7">
        <v>46093.057870370372</v>
      </c>
      <c r="C1289" s="7">
        <v>46093.068541666667</v>
      </c>
      <c r="D1289" s="8">
        <v>46093</v>
      </c>
      <c r="E1289" s="9">
        <v>6.8541666667442769E-2</v>
      </c>
      <c r="F1289" s="10" t="s">
        <v>1507</v>
      </c>
      <c r="G1289" s="10" t="s">
        <v>44</v>
      </c>
      <c r="H1289" s="10" t="s">
        <v>48</v>
      </c>
      <c r="I1289" s="10" t="s">
        <v>23</v>
      </c>
      <c r="J1289" s="11">
        <v>0.21</v>
      </c>
      <c r="K1289" s="12"/>
      <c r="L1289" s="12"/>
      <c r="M1289" s="12"/>
      <c r="N1289" s="12"/>
      <c r="O1289" s="12"/>
      <c r="P1289" s="12"/>
      <c r="Q1289" s="12"/>
      <c r="R1289" s="12"/>
      <c r="S1289" s="12"/>
    </row>
    <row r="1290" spans="1:19" ht="14.25" customHeight="1" x14ac:dyDescent="0.2">
      <c r="A1290" s="1" t="s">
        <v>24</v>
      </c>
      <c r="B1290" s="7">
        <v>46093.049884259257</v>
      </c>
      <c r="C1290" s="7">
        <v>46093.07240740741</v>
      </c>
      <c r="D1290" s="8">
        <v>46093</v>
      </c>
      <c r="E1290" s="9">
        <v>7.2407407409627922E-2</v>
      </c>
      <c r="F1290" s="10" t="s">
        <v>1508</v>
      </c>
      <c r="G1290" s="10" t="s">
        <v>21</v>
      </c>
      <c r="H1290" s="10" t="s">
        <v>41</v>
      </c>
      <c r="I1290" s="10" t="s">
        <v>23</v>
      </c>
      <c r="J1290" s="11">
        <v>1.77</v>
      </c>
      <c r="K1290" s="12"/>
      <c r="L1290" s="12"/>
      <c r="M1290" s="12"/>
      <c r="N1290" s="12"/>
      <c r="O1290" s="12"/>
      <c r="P1290" s="12"/>
      <c r="Q1290" s="12"/>
      <c r="R1290" s="12"/>
      <c r="S1290" s="12"/>
    </row>
    <row r="1291" spans="1:19" ht="14.25" customHeight="1" x14ac:dyDescent="0.2">
      <c r="A1291" s="1" t="s">
        <v>24</v>
      </c>
      <c r="B1291" s="7">
        <v>46093.032638888886</v>
      </c>
      <c r="C1291" s="7">
        <v>46093.075428240743</v>
      </c>
      <c r="D1291" s="8">
        <v>46093</v>
      </c>
      <c r="E1291" s="9">
        <v>7.5428240743349306E-2</v>
      </c>
      <c r="F1291" s="10" t="s">
        <v>1509</v>
      </c>
      <c r="G1291" s="10" t="s">
        <v>26</v>
      </c>
      <c r="H1291" s="10" t="s">
        <v>1133</v>
      </c>
      <c r="I1291" s="10" t="s">
        <v>23</v>
      </c>
      <c r="J1291" s="11">
        <v>0.44</v>
      </c>
      <c r="K1291" s="12"/>
      <c r="L1291" s="12"/>
      <c r="M1291" s="12"/>
      <c r="N1291" s="12"/>
      <c r="O1291" s="12"/>
      <c r="P1291" s="12"/>
      <c r="Q1291" s="12"/>
      <c r="R1291" s="12"/>
      <c r="S1291" s="12"/>
    </row>
    <row r="1292" spans="1:19" ht="14.25" customHeight="1" x14ac:dyDescent="0.2">
      <c r="A1292" s="1" t="s">
        <v>28</v>
      </c>
      <c r="B1292" s="7">
        <v>46093.063831018517</v>
      </c>
      <c r="C1292" s="7">
        <v>46093.079976851855</v>
      </c>
      <c r="D1292" s="8">
        <v>46093</v>
      </c>
      <c r="E1292" s="9">
        <v>7.9976851855462883E-2</v>
      </c>
      <c r="F1292" s="10" t="s">
        <v>1510</v>
      </c>
      <c r="G1292" s="10" t="s">
        <v>21</v>
      </c>
      <c r="H1292" s="10" t="s">
        <v>71</v>
      </c>
      <c r="I1292" s="10" t="s">
        <v>23</v>
      </c>
      <c r="J1292" s="11">
        <v>1.05</v>
      </c>
      <c r="K1292" s="12"/>
      <c r="L1292" s="12"/>
      <c r="M1292" s="12"/>
      <c r="N1292" s="12"/>
      <c r="O1292" s="12"/>
      <c r="P1292" s="12"/>
      <c r="Q1292" s="12"/>
      <c r="R1292" s="12"/>
      <c r="S1292" s="12"/>
    </row>
    <row r="1293" spans="1:19" ht="14.25" customHeight="1" x14ac:dyDescent="0.2">
      <c r="A1293" s="1" t="s">
        <v>28</v>
      </c>
      <c r="B1293" s="7">
        <v>46093.071111111109</v>
      </c>
      <c r="C1293" s="7">
        <v>46093.081319444442</v>
      </c>
      <c r="D1293" s="8">
        <v>46093</v>
      </c>
      <c r="E1293" s="9">
        <v>8.1319444441760425E-2</v>
      </c>
      <c r="F1293" s="10" t="s">
        <v>1511</v>
      </c>
      <c r="G1293" s="10" t="s">
        <v>21</v>
      </c>
      <c r="H1293" s="10" t="s">
        <v>52</v>
      </c>
      <c r="I1293" s="10" t="s">
        <v>23</v>
      </c>
      <c r="J1293" s="11">
        <v>0.98</v>
      </c>
      <c r="K1293" s="12"/>
      <c r="L1293" s="12"/>
      <c r="M1293" s="12"/>
      <c r="N1293" s="12"/>
      <c r="O1293" s="12"/>
      <c r="P1293" s="12"/>
      <c r="Q1293" s="12"/>
      <c r="R1293" s="12"/>
      <c r="S1293" s="12"/>
    </row>
    <row r="1294" spans="1:19" ht="14.25" customHeight="1" x14ac:dyDescent="0.2">
      <c r="A1294" s="1" t="s">
        <v>95</v>
      </c>
      <c r="B1294" s="7">
        <v>46093.088078703702</v>
      </c>
      <c r="C1294" s="7">
        <v>46093.09847222222</v>
      </c>
      <c r="D1294" s="8">
        <v>46093</v>
      </c>
      <c r="E1294" s="9">
        <v>9.8472222220152617E-2</v>
      </c>
      <c r="F1294" s="10" t="s">
        <v>1512</v>
      </c>
      <c r="G1294" s="10" t="s">
        <v>21</v>
      </c>
      <c r="H1294" s="10" t="s">
        <v>97</v>
      </c>
      <c r="I1294" s="10" t="s">
        <v>23</v>
      </c>
      <c r="J1294" s="11">
        <v>1.77</v>
      </c>
      <c r="K1294" s="12"/>
      <c r="L1294" s="12">
        <f>SUM(J1294:J1305)</f>
        <v>13.919999999999998</v>
      </c>
      <c r="M1294" s="13">
        <f>L1294*65</f>
        <v>904.79999999999984</v>
      </c>
      <c r="N1294" s="14">
        <f>MAX(500,M1294)</f>
        <v>904.79999999999984</v>
      </c>
      <c r="O1294" s="12"/>
      <c r="P1294" s="12"/>
      <c r="Q1294" s="12"/>
      <c r="R1294" s="12"/>
      <c r="S1294" s="12"/>
    </row>
    <row r="1295" spans="1:19" ht="14.25" customHeight="1" x14ac:dyDescent="0.2">
      <c r="A1295" s="1" t="s">
        <v>19</v>
      </c>
      <c r="B1295" s="7">
        <v>46093.086562500001</v>
      </c>
      <c r="C1295" s="7">
        <v>46093.098981481482</v>
      </c>
      <c r="D1295" s="8">
        <v>46093</v>
      </c>
      <c r="E1295" s="9">
        <v>9.8981481482042E-2</v>
      </c>
      <c r="F1295" s="10" t="s">
        <v>1513</v>
      </c>
      <c r="G1295" s="10" t="s">
        <v>21</v>
      </c>
      <c r="H1295" s="10" t="s">
        <v>101</v>
      </c>
      <c r="I1295" s="10" t="s">
        <v>23</v>
      </c>
      <c r="J1295" s="11">
        <v>1.7</v>
      </c>
      <c r="K1295" s="12"/>
      <c r="L1295" s="12"/>
      <c r="M1295" s="12"/>
      <c r="N1295" s="12"/>
      <c r="O1295" s="12"/>
      <c r="P1295" s="12"/>
      <c r="Q1295" s="12"/>
      <c r="R1295" s="12"/>
      <c r="S1295" s="12"/>
    </row>
    <row r="1296" spans="1:19" ht="14.25" customHeight="1" x14ac:dyDescent="0.2">
      <c r="A1296" s="1" t="s">
        <v>24</v>
      </c>
      <c r="B1296" s="7">
        <v>46093.08421296296</v>
      </c>
      <c r="C1296" s="7">
        <v>46093.101469907408</v>
      </c>
      <c r="D1296" s="8">
        <v>46093</v>
      </c>
      <c r="E1296" s="9">
        <v>0.10146990740759065</v>
      </c>
      <c r="F1296" s="10" t="s">
        <v>1514</v>
      </c>
      <c r="G1296" s="10" t="s">
        <v>21</v>
      </c>
      <c r="H1296" s="10" t="s">
        <v>22</v>
      </c>
      <c r="I1296" s="10" t="s">
        <v>23</v>
      </c>
      <c r="J1296" s="11">
        <v>0.83</v>
      </c>
      <c r="K1296" s="12"/>
      <c r="L1296" s="12"/>
      <c r="M1296" s="12"/>
      <c r="N1296" s="12"/>
      <c r="O1296" s="12"/>
      <c r="P1296" s="12"/>
      <c r="Q1296" s="12"/>
      <c r="R1296" s="12"/>
      <c r="S1296" s="12"/>
    </row>
    <row r="1297" spans="1:19" ht="14.25" customHeight="1" x14ac:dyDescent="0.2">
      <c r="A1297" s="1" t="s">
        <v>24</v>
      </c>
      <c r="B1297" s="7">
        <v>46093.08421296296</v>
      </c>
      <c r="C1297" s="7">
        <v>46093.101840277777</v>
      </c>
      <c r="D1297" s="8">
        <v>46093</v>
      </c>
      <c r="E1297" s="9">
        <v>0.10184027777722804</v>
      </c>
      <c r="F1297" s="10" t="s">
        <v>1515</v>
      </c>
      <c r="G1297" s="10" t="s">
        <v>21</v>
      </c>
      <c r="H1297" s="10" t="s">
        <v>52</v>
      </c>
      <c r="I1297" s="10" t="s">
        <v>23</v>
      </c>
      <c r="J1297" s="11">
        <v>0.98</v>
      </c>
      <c r="K1297" s="12"/>
      <c r="L1297" s="12"/>
      <c r="M1297" s="12"/>
      <c r="N1297" s="12"/>
      <c r="O1297" s="12"/>
      <c r="P1297" s="12"/>
      <c r="Q1297" s="12"/>
      <c r="R1297" s="12"/>
      <c r="S1297" s="12"/>
    </row>
    <row r="1298" spans="1:19" ht="14.25" customHeight="1" x14ac:dyDescent="0.2">
      <c r="A1298" s="1" t="s">
        <v>33</v>
      </c>
      <c r="B1298" s="7">
        <v>46093.079270833332</v>
      </c>
      <c r="C1298" s="7">
        <v>46093.107708333337</v>
      </c>
      <c r="D1298" s="8">
        <v>46093</v>
      </c>
      <c r="E1298" s="9">
        <v>0.10770833333663177</v>
      </c>
      <c r="F1298" s="10" t="s">
        <v>1516</v>
      </c>
      <c r="G1298" s="10" t="s">
        <v>21</v>
      </c>
      <c r="H1298" s="10" t="s">
        <v>523</v>
      </c>
      <c r="I1298" s="10" t="s">
        <v>23</v>
      </c>
      <c r="J1298" s="11">
        <v>1.96</v>
      </c>
      <c r="K1298" s="12"/>
      <c r="L1298" s="12"/>
      <c r="M1298" s="12"/>
      <c r="N1298" s="12"/>
      <c r="O1298" s="12"/>
      <c r="P1298" s="12"/>
      <c r="Q1298" s="12"/>
      <c r="R1298" s="12"/>
      <c r="S1298" s="12"/>
    </row>
    <row r="1299" spans="1:19" ht="14.25" customHeight="1" x14ac:dyDescent="0.2">
      <c r="A1299" s="1" t="s">
        <v>24</v>
      </c>
      <c r="B1299" s="7">
        <v>46093.091562499998</v>
      </c>
      <c r="C1299" s="7">
        <v>46093.109085648146</v>
      </c>
      <c r="D1299" s="8">
        <v>46093</v>
      </c>
      <c r="E1299" s="9">
        <v>0.10908564814599231</v>
      </c>
      <c r="F1299" s="10" t="s">
        <v>1517</v>
      </c>
      <c r="G1299" s="10" t="s">
        <v>21</v>
      </c>
      <c r="H1299" s="10" t="s">
        <v>22</v>
      </c>
      <c r="I1299" s="10" t="s">
        <v>23</v>
      </c>
      <c r="J1299" s="11">
        <v>0.83</v>
      </c>
      <c r="K1299" s="12"/>
      <c r="L1299" s="12"/>
      <c r="M1299" s="12"/>
      <c r="N1299" s="12"/>
      <c r="O1299" s="12"/>
      <c r="P1299" s="12"/>
      <c r="Q1299" s="12"/>
      <c r="R1299" s="12"/>
      <c r="S1299" s="12"/>
    </row>
    <row r="1300" spans="1:19" ht="14.25" customHeight="1" x14ac:dyDescent="0.2">
      <c r="A1300" s="1" t="s">
        <v>33</v>
      </c>
      <c r="B1300" s="7">
        <v>46093.093402777777</v>
      </c>
      <c r="C1300" s="7">
        <v>46093.112812500003</v>
      </c>
      <c r="D1300" s="8">
        <v>46093</v>
      </c>
      <c r="E1300" s="9">
        <v>0.11281250000320142</v>
      </c>
      <c r="F1300" s="10" t="s">
        <v>1518</v>
      </c>
      <c r="G1300" s="10" t="s">
        <v>21</v>
      </c>
      <c r="H1300" s="10" t="s">
        <v>39</v>
      </c>
      <c r="I1300" s="10" t="s">
        <v>23</v>
      </c>
      <c r="J1300" s="11">
        <v>1.77</v>
      </c>
      <c r="K1300" s="12"/>
      <c r="L1300" s="12"/>
      <c r="M1300" s="12"/>
      <c r="N1300" s="12"/>
      <c r="O1300" s="12"/>
      <c r="P1300" s="12"/>
      <c r="Q1300" s="12"/>
      <c r="R1300" s="12"/>
      <c r="S1300" s="12"/>
    </row>
    <row r="1301" spans="1:19" ht="14.25" customHeight="1" x14ac:dyDescent="0.2">
      <c r="A1301" s="1" t="s">
        <v>19</v>
      </c>
      <c r="B1301" s="7">
        <v>46093.098252314812</v>
      </c>
      <c r="C1301" s="7">
        <v>46093.113194444442</v>
      </c>
      <c r="D1301" s="8">
        <v>46093</v>
      </c>
      <c r="E1301" s="9">
        <v>0.1131944444423425</v>
      </c>
      <c r="F1301" s="10" t="s">
        <v>1519</v>
      </c>
      <c r="G1301" s="10" t="s">
        <v>21</v>
      </c>
      <c r="H1301" s="10" t="s">
        <v>39</v>
      </c>
      <c r="I1301" s="10" t="s">
        <v>23</v>
      </c>
      <c r="J1301" s="11">
        <v>1.77</v>
      </c>
      <c r="K1301" s="12"/>
      <c r="L1301" s="12"/>
      <c r="M1301" s="12"/>
      <c r="N1301" s="12"/>
      <c r="O1301" s="12"/>
      <c r="P1301" s="12"/>
      <c r="Q1301" s="12"/>
      <c r="R1301" s="12"/>
      <c r="S1301" s="12"/>
    </row>
    <row r="1302" spans="1:19" ht="14.25" customHeight="1" x14ac:dyDescent="0.2">
      <c r="A1302" s="1" t="s">
        <v>24</v>
      </c>
      <c r="B1302" s="7">
        <v>46093.095717592594</v>
      </c>
      <c r="C1302" s="7">
        <v>46093.113553240742</v>
      </c>
      <c r="D1302" s="8">
        <v>46093</v>
      </c>
      <c r="E1302" s="9">
        <v>0.11355324074247619</v>
      </c>
      <c r="F1302" s="10" t="s">
        <v>1520</v>
      </c>
      <c r="G1302" s="10" t="s">
        <v>26</v>
      </c>
      <c r="H1302" s="10" t="s">
        <v>202</v>
      </c>
      <c r="I1302" s="10" t="s">
        <v>23</v>
      </c>
      <c r="J1302" s="11">
        <v>0.57999999999999996</v>
      </c>
      <c r="K1302" s="12"/>
      <c r="L1302" s="12"/>
      <c r="M1302" s="12"/>
      <c r="N1302" s="12"/>
      <c r="O1302" s="12"/>
      <c r="P1302" s="12"/>
      <c r="Q1302" s="12"/>
      <c r="R1302" s="12"/>
      <c r="S1302" s="12"/>
    </row>
    <row r="1303" spans="1:19" ht="14.25" customHeight="1" x14ac:dyDescent="0.2">
      <c r="A1303" s="1" t="s">
        <v>33</v>
      </c>
      <c r="B1303" s="7">
        <v>46093.088807870372</v>
      </c>
      <c r="C1303" s="7">
        <v>46093.11383101852</v>
      </c>
      <c r="D1303" s="8">
        <v>46093</v>
      </c>
      <c r="E1303" s="9">
        <v>0.11383101851970423</v>
      </c>
      <c r="F1303" s="10" t="s">
        <v>1521</v>
      </c>
      <c r="G1303" s="10" t="s">
        <v>44</v>
      </c>
      <c r="H1303" s="10" t="s">
        <v>1522</v>
      </c>
      <c r="I1303" s="10" t="s">
        <v>23</v>
      </c>
      <c r="J1303" s="11">
        <v>0.18</v>
      </c>
      <c r="K1303" s="12"/>
      <c r="L1303" s="12"/>
      <c r="M1303" s="12"/>
      <c r="N1303" s="12"/>
      <c r="O1303" s="12"/>
      <c r="P1303" s="12"/>
      <c r="Q1303" s="12"/>
      <c r="R1303" s="12"/>
      <c r="S1303" s="12"/>
    </row>
    <row r="1304" spans="1:19" ht="14.25" customHeight="1" x14ac:dyDescent="0.2">
      <c r="A1304" s="1" t="s">
        <v>28</v>
      </c>
      <c r="B1304" s="7">
        <v>46093.090567129628</v>
      </c>
      <c r="C1304" s="7">
        <v>46093.122048611112</v>
      </c>
      <c r="D1304" s="8">
        <v>46093</v>
      </c>
      <c r="E1304" s="9">
        <v>0.12204861111240461</v>
      </c>
      <c r="F1304" s="10" t="s">
        <v>1523</v>
      </c>
      <c r="G1304" s="10" t="s">
        <v>26</v>
      </c>
      <c r="H1304" s="10" t="s">
        <v>1019</v>
      </c>
      <c r="I1304" s="10" t="s">
        <v>23</v>
      </c>
      <c r="J1304" s="11">
        <v>0.67</v>
      </c>
      <c r="K1304" s="12"/>
      <c r="L1304" s="12"/>
      <c r="M1304" s="12"/>
      <c r="N1304" s="12"/>
      <c r="O1304" s="12"/>
      <c r="P1304" s="12"/>
      <c r="Q1304" s="12"/>
      <c r="R1304" s="12"/>
      <c r="S1304" s="12"/>
    </row>
    <row r="1305" spans="1:19" ht="14.25" customHeight="1" x14ac:dyDescent="0.2">
      <c r="A1305" s="1" t="s">
        <v>33</v>
      </c>
      <c r="B1305" s="7">
        <v>46093.105567129627</v>
      </c>
      <c r="C1305" s="7">
        <v>46093.122210648151</v>
      </c>
      <c r="D1305" s="8">
        <v>46093</v>
      </c>
      <c r="E1305" s="9">
        <v>0.12221064815093996</v>
      </c>
      <c r="F1305" s="10" t="s">
        <v>1524</v>
      </c>
      <c r="G1305" s="10" t="s">
        <v>26</v>
      </c>
      <c r="H1305" s="10" t="s">
        <v>86</v>
      </c>
      <c r="I1305" s="10" t="s">
        <v>23</v>
      </c>
      <c r="J1305" s="11">
        <v>0.88</v>
      </c>
      <c r="K1305" s="12"/>
      <c r="L1305" s="12"/>
      <c r="M1305" s="12"/>
      <c r="N1305" s="12"/>
      <c r="O1305" s="12"/>
      <c r="P1305" s="12"/>
      <c r="Q1305" s="12"/>
      <c r="R1305" s="12"/>
      <c r="S1305" s="12"/>
    </row>
    <row r="1306" spans="1:19" ht="14.25" customHeight="1" x14ac:dyDescent="0.2">
      <c r="A1306" s="1" t="s">
        <v>28</v>
      </c>
      <c r="B1306" s="7">
        <v>46093.111527777779</v>
      </c>
      <c r="C1306" s="7">
        <v>46093.129270833335</v>
      </c>
      <c r="D1306" s="8">
        <v>46093</v>
      </c>
      <c r="E1306" s="9">
        <v>0.12927083333488554</v>
      </c>
      <c r="F1306" s="10" t="s">
        <v>1525</v>
      </c>
      <c r="G1306" s="10" t="s">
        <v>21</v>
      </c>
      <c r="H1306" s="10" t="s">
        <v>41</v>
      </c>
      <c r="I1306" s="10" t="s">
        <v>23</v>
      </c>
      <c r="J1306" s="11">
        <v>1.77</v>
      </c>
      <c r="K1306" s="12">
        <f>SUM(J1306:J1324)</f>
        <v>21.839999999999996</v>
      </c>
      <c r="L1306" s="12">
        <f>SUM(J1306:J1312)</f>
        <v>7.9899999999999993</v>
      </c>
      <c r="M1306" s="13">
        <f>L1306*65</f>
        <v>519.34999999999991</v>
      </c>
      <c r="N1306" s="14">
        <f>MAX(500,M1306)</f>
        <v>519.34999999999991</v>
      </c>
      <c r="O1306" s="12"/>
      <c r="P1306" s="12"/>
      <c r="Q1306" s="12"/>
      <c r="R1306" s="12"/>
      <c r="S1306" s="12"/>
    </row>
    <row r="1307" spans="1:19" ht="14.25" customHeight="1" x14ac:dyDescent="0.2">
      <c r="A1307" s="1" t="s">
        <v>95</v>
      </c>
      <c r="B1307" s="7">
        <v>46093.121331018519</v>
      </c>
      <c r="C1307" s="7">
        <v>46093.13144675926</v>
      </c>
      <c r="D1307" s="8">
        <v>46093</v>
      </c>
      <c r="E1307" s="9">
        <v>0.13144675926014315</v>
      </c>
      <c r="F1307" s="10" t="s">
        <v>1526</v>
      </c>
      <c r="G1307" s="10" t="s">
        <v>21</v>
      </c>
      <c r="H1307" s="10" t="s">
        <v>110</v>
      </c>
      <c r="I1307" s="10" t="s">
        <v>23</v>
      </c>
      <c r="J1307" s="11">
        <v>0.83</v>
      </c>
      <c r="K1307" s="12"/>
      <c r="L1307" s="12"/>
      <c r="M1307" s="12"/>
      <c r="N1307" s="12"/>
      <c r="O1307" s="12"/>
      <c r="P1307" s="12"/>
      <c r="Q1307" s="12"/>
      <c r="R1307" s="12"/>
      <c r="S1307" s="12"/>
    </row>
    <row r="1308" spans="1:19" ht="14.25" customHeight="1" x14ac:dyDescent="0.2">
      <c r="A1308" s="1" t="s">
        <v>230</v>
      </c>
      <c r="B1308" s="7">
        <v>46093.124108796299</v>
      </c>
      <c r="C1308" s="7">
        <v>46093.132280092592</v>
      </c>
      <c r="D1308" s="8">
        <v>46093</v>
      </c>
      <c r="E1308" s="9">
        <v>0.13228009259182727</v>
      </c>
      <c r="F1308" s="10" t="s">
        <v>1527</v>
      </c>
      <c r="G1308" s="10" t="s">
        <v>21</v>
      </c>
      <c r="H1308" s="10" t="s">
        <v>232</v>
      </c>
      <c r="I1308" s="10" t="s">
        <v>23</v>
      </c>
      <c r="J1308" s="11">
        <v>1.7</v>
      </c>
      <c r="K1308" s="12"/>
      <c r="L1308" s="12"/>
      <c r="M1308" s="12"/>
      <c r="N1308" s="12"/>
      <c r="O1308" s="12"/>
      <c r="P1308" s="12"/>
      <c r="Q1308" s="12"/>
      <c r="R1308" s="12"/>
      <c r="S1308" s="12"/>
    </row>
    <row r="1309" spans="1:19" ht="14.25" customHeight="1" x14ac:dyDescent="0.2">
      <c r="A1309" s="1" t="s">
        <v>95</v>
      </c>
      <c r="B1309" s="7">
        <v>46093.143599537034</v>
      </c>
      <c r="C1309" s="7">
        <v>46093.153564814813</v>
      </c>
      <c r="D1309" s="8">
        <v>46093</v>
      </c>
      <c r="E1309" s="9">
        <v>0.153564814812853</v>
      </c>
      <c r="F1309" s="10" t="s">
        <v>1528</v>
      </c>
      <c r="G1309" s="10" t="s">
        <v>21</v>
      </c>
      <c r="H1309" s="10" t="s">
        <v>110</v>
      </c>
      <c r="I1309" s="10" t="s">
        <v>23</v>
      </c>
      <c r="J1309" s="11">
        <v>0.83</v>
      </c>
      <c r="K1309" s="12"/>
      <c r="L1309" s="12"/>
      <c r="M1309" s="12"/>
      <c r="N1309" s="12"/>
      <c r="O1309" s="12"/>
      <c r="P1309" s="12"/>
      <c r="Q1309" s="12"/>
      <c r="R1309" s="12"/>
      <c r="S1309" s="12"/>
    </row>
    <row r="1310" spans="1:19" ht="14.25" customHeight="1" x14ac:dyDescent="0.2">
      <c r="A1310" s="1" t="s">
        <v>95</v>
      </c>
      <c r="B1310" s="7">
        <v>46093.143599537034</v>
      </c>
      <c r="C1310" s="7">
        <v>46093.154097222221</v>
      </c>
      <c r="D1310" s="8">
        <v>46093</v>
      </c>
      <c r="E1310" s="9">
        <v>0.15409722222102573</v>
      </c>
      <c r="F1310" s="10" t="s">
        <v>1529</v>
      </c>
      <c r="G1310" s="10" t="s">
        <v>21</v>
      </c>
      <c r="H1310" s="10" t="s">
        <v>52</v>
      </c>
      <c r="I1310" s="10" t="s">
        <v>23</v>
      </c>
      <c r="J1310" s="11">
        <v>0.98</v>
      </c>
      <c r="K1310" s="12"/>
      <c r="L1310" s="12"/>
      <c r="M1310" s="12"/>
      <c r="N1310" s="12"/>
      <c r="O1310" s="12"/>
      <c r="P1310" s="12"/>
      <c r="Q1310" s="12"/>
      <c r="R1310" s="12"/>
      <c r="S1310" s="12"/>
    </row>
    <row r="1311" spans="1:19" ht="14.25" customHeight="1" x14ac:dyDescent="0.2">
      <c r="A1311" s="1" t="s">
        <v>24</v>
      </c>
      <c r="B1311" s="7">
        <v>46093.138726851852</v>
      </c>
      <c r="C1311" s="7">
        <v>46093.15902777778</v>
      </c>
      <c r="D1311" s="8">
        <v>46093</v>
      </c>
      <c r="E1311" s="9">
        <v>0.15902777777955635</v>
      </c>
      <c r="F1311" s="10" t="s">
        <v>1530</v>
      </c>
      <c r="G1311" s="10" t="s">
        <v>21</v>
      </c>
      <c r="H1311" s="10" t="s">
        <v>101</v>
      </c>
      <c r="I1311" s="10" t="s">
        <v>23</v>
      </c>
      <c r="J1311" s="11">
        <v>1.7</v>
      </c>
      <c r="K1311" s="12"/>
      <c r="L1311" s="12"/>
      <c r="M1311" s="12"/>
      <c r="N1311" s="12"/>
      <c r="O1311" s="12"/>
      <c r="P1311" s="12"/>
      <c r="Q1311" s="12"/>
      <c r="R1311" s="12"/>
      <c r="S1311" s="12"/>
    </row>
    <row r="1312" spans="1:19" ht="14.25" customHeight="1" x14ac:dyDescent="0.2">
      <c r="A1312" s="1" t="s">
        <v>95</v>
      </c>
      <c r="B1312" s="7">
        <v>46093.147627314815</v>
      </c>
      <c r="C1312" s="7">
        <v>46093.166168981479</v>
      </c>
      <c r="D1312" s="8">
        <v>46093</v>
      </c>
      <c r="E1312" s="9">
        <v>0.16616898147913162</v>
      </c>
      <c r="F1312" s="10" t="s">
        <v>1531</v>
      </c>
      <c r="G1312" s="10" t="s">
        <v>44</v>
      </c>
      <c r="H1312" s="10" t="s">
        <v>45</v>
      </c>
      <c r="I1312" s="10" t="s">
        <v>23</v>
      </c>
      <c r="J1312" s="11">
        <v>0.18</v>
      </c>
      <c r="K1312" s="12"/>
      <c r="L1312" s="12"/>
      <c r="M1312" s="12"/>
      <c r="N1312" s="12"/>
      <c r="O1312" s="12"/>
      <c r="P1312" s="12"/>
      <c r="Q1312" s="12"/>
      <c r="R1312" s="12"/>
      <c r="S1312" s="12"/>
    </row>
    <row r="1313" spans="1:19" ht="14.25" customHeight="1" x14ac:dyDescent="0.2">
      <c r="A1313" s="1" t="s">
        <v>24</v>
      </c>
      <c r="B1313" s="7">
        <v>46093.118750000001</v>
      </c>
      <c r="C1313" s="7">
        <v>46093.177164351851</v>
      </c>
      <c r="D1313" s="8">
        <v>46093</v>
      </c>
      <c r="E1313" s="9">
        <v>0.17716435185138835</v>
      </c>
      <c r="F1313" s="10" t="s">
        <v>1532</v>
      </c>
      <c r="G1313" s="10" t="s">
        <v>26</v>
      </c>
      <c r="H1313" s="10" t="s">
        <v>1347</v>
      </c>
      <c r="I1313" s="10" t="s">
        <v>23</v>
      </c>
      <c r="J1313" s="11">
        <v>0.44</v>
      </c>
      <c r="K1313" s="12"/>
      <c r="L1313" s="12">
        <f>SUM(J1313:J1316)</f>
        <v>5.68</v>
      </c>
      <c r="M1313" s="13">
        <f>L1313*65</f>
        <v>369.2</v>
      </c>
      <c r="N1313" s="14">
        <f>MAX(500,M1313)</f>
        <v>500</v>
      </c>
      <c r="O1313" s="12"/>
      <c r="P1313" s="12"/>
      <c r="Q1313" s="12"/>
      <c r="R1313" s="12"/>
      <c r="S1313" s="12"/>
    </row>
    <row r="1314" spans="1:19" ht="14.25" customHeight="1" x14ac:dyDescent="0.2">
      <c r="A1314" s="1" t="s">
        <v>24</v>
      </c>
      <c r="B1314" s="7">
        <v>46093.160416666666</v>
      </c>
      <c r="C1314" s="7">
        <v>46093.177731481483</v>
      </c>
      <c r="D1314" s="8">
        <v>46093</v>
      </c>
      <c r="E1314" s="9">
        <v>0.17773148148262408</v>
      </c>
      <c r="F1314" s="10" t="s">
        <v>1533</v>
      </c>
      <c r="G1314" s="10" t="s">
        <v>21</v>
      </c>
      <c r="H1314" s="10" t="s">
        <v>41</v>
      </c>
      <c r="I1314" s="10" t="s">
        <v>23</v>
      </c>
      <c r="J1314" s="11">
        <v>1.77</v>
      </c>
      <c r="K1314" s="12"/>
      <c r="L1314" s="12"/>
      <c r="M1314" s="12"/>
      <c r="N1314" s="12"/>
      <c r="O1314" s="12"/>
      <c r="P1314" s="12"/>
      <c r="Q1314" s="12"/>
      <c r="R1314" s="12"/>
      <c r="S1314" s="12"/>
    </row>
    <row r="1315" spans="1:19" ht="14.25" customHeight="1" x14ac:dyDescent="0.2">
      <c r="A1315" s="1" t="s">
        <v>63</v>
      </c>
      <c r="B1315" s="7">
        <v>46093.186226851853</v>
      </c>
      <c r="C1315" s="7">
        <v>46093.201550925929</v>
      </c>
      <c r="D1315" s="8">
        <v>46093</v>
      </c>
      <c r="E1315" s="9">
        <v>0.20155092592904111</v>
      </c>
      <c r="F1315" s="10" t="s">
        <v>1534</v>
      </c>
      <c r="G1315" s="10" t="s">
        <v>21</v>
      </c>
      <c r="H1315" s="10" t="s">
        <v>1535</v>
      </c>
      <c r="I1315" s="10" t="s">
        <v>23</v>
      </c>
      <c r="J1315" s="11">
        <v>1.7</v>
      </c>
      <c r="K1315" s="12"/>
      <c r="L1315" s="12"/>
      <c r="M1315" s="12"/>
      <c r="N1315" s="12"/>
      <c r="O1315" s="12"/>
      <c r="P1315" s="12"/>
      <c r="Q1315" s="12"/>
      <c r="R1315" s="12"/>
      <c r="S1315" s="12"/>
    </row>
    <row r="1316" spans="1:19" ht="14.25" customHeight="1" x14ac:dyDescent="0.2">
      <c r="A1316" s="1" t="s">
        <v>95</v>
      </c>
      <c r="B1316" s="7">
        <v>46093.18577546296</v>
      </c>
      <c r="C1316" s="7">
        <v>46093.201932870368</v>
      </c>
      <c r="D1316" s="8">
        <v>46093</v>
      </c>
      <c r="E1316" s="9">
        <v>0.20193287036818219</v>
      </c>
      <c r="F1316" s="10" t="s">
        <v>1536</v>
      </c>
      <c r="G1316" s="10" t="s">
        <v>21</v>
      </c>
      <c r="H1316" s="10" t="s">
        <v>154</v>
      </c>
      <c r="I1316" s="10" t="s">
        <v>23</v>
      </c>
      <c r="J1316" s="11">
        <v>1.77</v>
      </c>
      <c r="K1316" s="12"/>
      <c r="L1316" s="12"/>
      <c r="M1316" s="12"/>
      <c r="N1316" s="12"/>
      <c r="O1316" s="12"/>
      <c r="P1316" s="12"/>
      <c r="Q1316" s="12"/>
      <c r="R1316" s="12"/>
      <c r="S1316" s="12"/>
    </row>
    <row r="1317" spans="1:19" ht="14.25" customHeight="1" x14ac:dyDescent="0.2">
      <c r="A1317" s="1" t="s">
        <v>33</v>
      </c>
      <c r="B1317" s="7">
        <v>46093.201990740738</v>
      </c>
      <c r="C1317" s="7">
        <v>46093.228252314817</v>
      </c>
      <c r="D1317" s="8">
        <v>46093</v>
      </c>
      <c r="E1317" s="9">
        <v>0.22825231481692754</v>
      </c>
      <c r="F1317" s="10" t="s">
        <v>1537</v>
      </c>
      <c r="G1317" s="10" t="s">
        <v>21</v>
      </c>
      <c r="H1317" s="10" t="s">
        <v>22</v>
      </c>
      <c r="I1317" s="10" t="s">
        <v>23</v>
      </c>
      <c r="J1317" s="11">
        <v>0.83</v>
      </c>
      <c r="K1317" s="12"/>
      <c r="L1317" s="12">
        <f>SUM(J1317:J1324)</f>
        <v>8.17</v>
      </c>
      <c r="M1317" s="13">
        <f>L1317*65</f>
        <v>531.04999999999995</v>
      </c>
      <c r="N1317" s="14">
        <f>MAX(500,M1317)</f>
        <v>531.04999999999995</v>
      </c>
      <c r="O1317" s="12"/>
      <c r="P1317" s="12"/>
      <c r="Q1317" s="12"/>
      <c r="R1317" s="12"/>
      <c r="S1317" s="12"/>
    </row>
    <row r="1318" spans="1:19" ht="14.25" customHeight="1" x14ac:dyDescent="0.2">
      <c r="A1318" s="1" t="s">
        <v>33</v>
      </c>
      <c r="B1318" s="7">
        <v>46093.213553240741</v>
      </c>
      <c r="C1318" s="7">
        <v>46093.228946759256</v>
      </c>
      <c r="D1318" s="8">
        <v>46093</v>
      </c>
      <c r="E1318" s="9">
        <v>0.22894675925635966</v>
      </c>
      <c r="F1318" s="10" t="s">
        <v>1538</v>
      </c>
      <c r="G1318" s="10" t="s">
        <v>21</v>
      </c>
      <c r="H1318" s="10" t="s">
        <v>22</v>
      </c>
      <c r="I1318" s="10" t="s">
        <v>23</v>
      </c>
      <c r="J1318" s="11">
        <v>0.83</v>
      </c>
      <c r="K1318" s="12"/>
      <c r="L1318" s="12"/>
      <c r="M1318" s="12"/>
      <c r="N1318" s="12"/>
      <c r="O1318" s="12"/>
      <c r="P1318" s="12"/>
      <c r="Q1318" s="12"/>
      <c r="R1318" s="12"/>
      <c r="S1318" s="12"/>
    </row>
    <row r="1319" spans="1:19" ht="14.25" customHeight="1" x14ac:dyDescent="0.2">
      <c r="A1319" s="1" t="s">
        <v>33</v>
      </c>
      <c r="B1319" s="7">
        <v>46093.201990740738</v>
      </c>
      <c r="C1319" s="7">
        <v>46093.229120370372</v>
      </c>
      <c r="D1319" s="8">
        <v>46093</v>
      </c>
      <c r="E1319" s="9">
        <v>0.22912037037167465</v>
      </c>
      <c r="F1319" s="10" t="s">
        <v>1539</v>
      </c>
      <c r="G1319" s="10" t="s">
        <v>21</v>
      </c>
      <c r="H1319" s="10" t="s">
        <v>52</v>
      </c>
      <c r="I1319" s="10" t="s">
        <v>23</v>
      </c>
      <c r="J1319" s="11">
        <v>0.98</v>
      </c>
      <c r="K1319" s="12"/>
      <c r="L1319" s="12"/>
      <c r="M1319" s="12"/>
      <c r="N1319" s="12"/>
      <c r="O1319" s="12"/>
      <c r="P1319" s="12"/>
      <c r="Q1319" s="12"/>
      <c r="R1319" s="12"/>
      <c r="S1319" s="12"/>
    </row>
    <row r="1320" spans="1:19" ht="14.25" customHeight="1" x14ac:dyDescent="0.2">
      <c r="A1320" s="1" t="s">
        <v>33</v>
      </c>
      <c r="B1320" s="7">
        <v>46093.201990740738</v>
      </c>
      <c r="C1320" s="7">
        <v>46093.229594907411</v>
      </c>
      <c r="D1320" s="8">
        <v>46093</v>
      </c>
      <c r="E1320" s="9">
        <v>0.22959490741050104</v>
      </c>
      <c r="F1320" s="10" t="s">
        <v>1540</v>
      </c>
      <c r="G1320" s="10" t="s">
        <v>21</v>
      </c>
      <c r="H1320" s="10" t="s">
        <v>142</v>
      </c>
      <c r="I1320" s="10" t="s">
        <v>23</v>
      </c>
      <c r="J1320" s="11">
        <v>0.83</v>
      </c>
      <c r="K1320" s="12"/>
      <c r="L1320" s="12"/>
      <c r="M1320" s="12"/>
      <c r="N1320" s="12"/>
      <c r="O1320" s="12"/>
      <c r="P1320" s="12"/>
      <c r="Q1320" s="12"/>
      <c r="R1320" s="12"/>
      <c r="S1320" s="12"/>
    </row>
    <row r="1321" spans="1:19" ht="14.25" customHeight="1" x14ac:dyDescent="0.2">
      <c r="A1321" s="1" t="s">
        <v>19</v>
      </c>
      <c r="B1321" s="7">
        <v>46093.218229166669</v>
      </c>
      <c r="C1321" s="7">
        <v>46093.237754629627</v>
      </c>
      <c r="D1321" s="8">
        <v>46093</v>
      </c>
      <c r="E1321" s="9">
        <v>0.23775462962657912</v>
      </c>
      <c r="F1321" s="10" t="s">
        <v>1541</v>
      </c>
      <c r="G1321" s="10" t="s">
        <v>44</v>
      </c>
      <c r="H1321" s="10" t="s">
        <v>1522</v>
      </c>
      <c r="I1321" s="10" t="s">
        <v>23</v>
      </c>
      <c r="J1321" s="11">
        <v>0.18</v>
      </c>
      <c r="K1321" s="12"/>
      <c r="L1321" s="12"/>
      <c r="M1321" s="12"/>
      <c r="N1321" s="12"/>
      <c r="O1321" s="12"/>
      <c r="P1321" s="12"/>
      <c r="Q1321" s="12"/>
      <c r="R1321" s="12"/>
      <c r="S1321" s="12"/>
    </row>
    <row r="1322" spans="1:19" ht="14.25" customHeight="1" x14ac:dyDescent="0.2">
      <c r="A1322" s="1" t="s">
        <v>46</v>
      </c>
      <c r="B1322" s="7">
        <v>46093.209965277776</v>
      </c>
      <c r="C1322" s="7">
        <v>46093.240115740744</v>
      </c>
      <c r="D1322" s="8">
        <v>46093</v>
      </c>
      <c r="E1322" s="9">
        <v>0.24011574074393138</v>
      </c>
      <c r="F1322" s="10" t="s">
        <v>1542</v>
      </c>
      <c r="G1322" s="10" t="s">
        <v>21</v>
      </c>
      <c r="H1322" s="10" t="s">
        <v>216</v>
      </c>
      <c r="I1322" s="10" t="s">
        <v>23</v>
      </c>
      <c r="J1322" s="11">
        <v>0.98</v>
      </c>
      <c r="K1322" s="12"/>
      <c r="L1322" s="12"/>
      <c r="M1322" s="12"/>
      <c r="N1322" s="12"/>
      <c r="O1322" s="12"/>
      <c r="P1322" s="12"/>
      <c r="Q1322" s="12"/>
      <c r="R1322" s="12"/>
      <c r="S1322" s="12"/>
    </row>
    <row r="1323" spans="1:19" ht="14.25" customHeight="1" x14ac:dyDescent="0.2">
      <c r="A1323" s="1" t="s">
        <v>57</v>
      </c>
      <c r="B1323" s="7">
        <v>46093.211331018516</v>
      </c>
      <c r="C1323" s="7">
        <v>46093.240729166668</v>
      </c>
      <c r="D1323" s="8">
        <v>46093</v>
      </c>
      <c r="E1323" s="9">
        <v>0.24072916666773381</v>
      </c>
      <c r="F1323" s="10" t="s">
        <v>1543</v>
      </c>
      <c r="G1323" s="10" t="s">
        <v>21</v>
      </c>
      <c r="H1323" s="10" t="s">
        <v>712</v>
      </c>
      <c r="I1323" s="10" t="s">
        <v>23</v>
      </c>
      <c r="J1323" s="11">
        <v>1.77</v>
      </c>
      <c r="K1323" s="12"/>
      <c r="L1323" s="12"/>
      <c r="M1323" s="12"/>
      <c r="N1323" s="12"/>
      <c r="O1323" s="12"/>
      <c r="P1323" s="12"/>
      <c r="Q1323" s="12"/>
      <c r="R1323" s="12"/>
      <c r="S1323" s="12"/>
    </row>
    <row r="1324" spans="1:19" ht="14.25" customHeight="1" x14ac:dyDescent="0.2">
      <c r="A1324" s="1" t="s">
        <v>24</v>
      </c>
      <c r="B1324" s="7">
        <v>46093.22928240741</v>
      </c>
      <c r="C1324" s="7">
        <v>46093.241203703707</v>
      </c>
      <c r="D1324" s="8">
        <v>46093</v>
      </c>
      <c r="E1324" s="9">
        <v>0.24120370370656019</v>
      </c>
      <c r="F1324" s="10" t="s">
        <v>1544</v>
      </c>
      <c r="G1324" s="10" t="s">
        <v>21</v>
      </c>
      <c r="H1324" s="10" t="s">
        <v>41</v>
      </c>
      <c r="I1324" s="10" t="s">
        <v>23</v>
      </c>
      <c r="J1324" s="11">
        <v>1.77</v>
      </c>
      <c r="K1324" s="12"/>
      <c r="L1324" s="12"/>
      <c r="M1324" s="12"/>
      <c r="N1324" s="12"/>
      <c r="O1324" s="12"/>
      <c r="P1324" s="12"/>
      <c r="Q1324" s="12"/>
      <c r="R1324" s="12"/>
      <c r="S1324" s="12"/>
    </row>
    <row r="1325" spans="1:19" ht="14.25" customHeight="1" x14ac:dyDescent="0.2">
      <c r="A1325" s="1" t="s">
        <v>57</v>
      </c>
      <c r="B1325" s="7">
        <v>46093.858229166668</v>
      </c>
      <c r="C1325" s="7">
        <v>46093.880486111113</v>
      </c>
      <c r="D1325" s="8">
        <v>46093</v>
      </c>
      <c r="E1325" s="9">
        <v>0.88048611111298669</v>
      </c>
      <c r="F1325" s="10" t="s">
        <v>1545</v>
      </c>
      <c r="G1325" s="10" t="s">
        <v>21</v>
      </c>
      <c r="H1325" s="10" t="s">
        <v>869</v>
      </c>
      <c r="I1325" s="10" t="s">
        <v>23</v>
      </c>
      <c r="J1325" s="11">
        <v>0.98</v>
      </c>
      <c r="K1325" s="12">
        <f>SUM(J1325:J1359,J1361,J1362,J1363,J1365,J1367,J1368,J1369,J1371,J1373,J1374,J1375,J1377,J1378,J1379,J1380,J1381,J1382,J1383,J1386,J1387,J1389:J1394,J1396:J1416)</f>
        <v>98.769999999999968</v>
      </c>
      <c r="L1325" s="12">
        <f>SUM(J1325:J1343)</f>
        <v>22.539999999999996</v>
      </c>
      <c r="M1325" s="13">
        <f>L1325*65</f>
        <v>1465.0999999999997</v>
      </c>
      <c r="N1325" s="14">
        <f>MAX(500,M1325)</f>
        <v>1465.0999999999997</v>
      </c>
      <c r="O1325" s="12"/>
      <c r="P1325" s="12"/>
      <c r="Q1325" s="12"/>
      <c r="R1325" s="12"/>
      <c r="S1325" s="12"/>
    </row>
    <row r="1326" spans="1:19" ht="14.25" customHeight="1" x14ac:dyDescent="0.2">
      <c r="A1326" s="1" t="s">
        <v>24</v>
      </c>
      <c r="B1326" s="7">
        <v>46093.855925925927</v>
      </c>
      <c r="C1326" s="7">
        <v>46093.881967592592</v>
      </c>
      <c r="D1326" s="8">
        <v>46093</v>
      </c>
      <c r="E1326" s="9">
        <v>0.88196759259153623</v>
      </c>
      <c r="F1326" s="10" t="s">
        <v>1546</v>
      </c>
      <c r="G1326" s="10" t="s">
        <v>21</v>
      </c>
      <c r="H1326" s="10" t="s">
        <v>248</v>
      </c>
      <c r="I1326" s="10" t="s">
        <v>23</v>
      </c>
      <c r="J1326" s="11">
        <v>2.15</v>
      </c>
      <c r="K1326" s="12"/>
      <c r="L1326" s="12"/>
      <c r="M1326" s="12"/>
      <c r="N1326" s="12"/>
      <c r="O1326" s="12"/>
      <c r="P1326" s="12"/>
      <c r="Q1326" s="12"/>
      <c r="R1326" s="12"/>
      <c r="S1326" s="12"/>
    </row>
    <row r="1327" spans="1:19" ht="14.25" customHeight="1" x14ac:dyDescent="0.2">
      <c r="A1327" s="1" t="s">
        <v>24</v>
      </c>
      <c r="B1327" s="7">
        <v>46093.867326388892</v>
      </c>
      <c r="C1327" s="7">
        <v>46093.885648148149</v>
      </c>
      <c r="D1327" s="8">
        <v>46093</v>
      </c>
      <c r="E1327" s="9">
        <v>0.88564814814890269</v>
      </c>
      <c r="F1327" s="10" t="s">
        <v>1547</v>
      </c>
      <c r="G1327" s="10" t="s">
        <v>21</v>
      </c>
      <c r="H1327" s="10" t="s">
        <v>22</v>
      </c>
      <c r="I1327" s="10" t="s">
        <v>23</v>
      </c>
      <c r="J1327" s="11">
        <v>0.83</v>
      </c>
      <c r="K1327" s="12"/>
      <c r="L1327" s="12"/>
      <c r="M1327" s="12"/>
      <c r="N1327" s="12"/>
      <c r="O1327" s="12"/>
      <c r="P1327" s="12"/>
      <c r="Q1327" s="12"/>
      <c r="R1327" s="12"/>
      <c r="S1327" s="12"/>
    </row>
    <row r="1328" spans="1:19" ht="14.25" customHeight="1" x14ac:dyDescent="0.2">
      <c r="A1328" s="1" t="s">
        <v>24</v>
      </c>
      <c r="B1328" s="7">
        <v>46093.877789351849</v>
      </c>
      <c r="C1328" s="7">
        <v>46093.885891203703</v>
      </c>
      <c r="D1328" s="8">
        <v>46093</v>
      </c>
      <c r="E1328" s="9">
        <v>0.88589120370306773</v>
      </c>
      <c r="F1328" s="10" t="s">
        <v>1548</v>
      </c>
      <c r="G1328" s="10" t="s">
        <v>21</v>
      </c>
      <c r="H1328" s="10" t="s">
        <v>22</v>
      </c>
      <c r="I1328" s="10" t="s">
        <v>23</v>
      </c>
      <c r="J1328" s="11">
        <v>0.83</v>
      </c>
      <c r="K1328" s="12"/>
      <c r="L1328" s="12"/>
      <c r="M1328" s="12"/>
      <c r="N1328" s="12"/>
      <c r="O1328" s="12"/>
      <c r="P1328" s="12"/>
      <c r="Q1328" s="12"/>
      <c r="R1328" s="12"/>
      <c r="S1328" s="12"/>
    </row>
    <row r="1329" spans="1:19" ht="14.25" customHeight="1" x14ac:dyDescent="0.2">
      <c r="A1329" s="1" t="s">
        <v>24</v>
      </c>
      <c r="B1329" s="7">
        <v>46093.873668981483</v>
      </c>
      <c r="C1329" s="7">
        <v>46093.886377314811</v>
      </c>
      <c r="D1329" s="8">
        <v>46093</v>
      </c>
      <c r="E1329" s="9">
        <v>0.88637731481139781</v>
      </c>
      <c r="F1329" s="10" t="s">
        <v>1549</v>
      </c>
      <c r="G1329" s="10" t="s">
        <v>21</v>
      </c>
      <c r="H1329" s="10" t="s">
        <v>41</v>
      </c>
      <c r="I1329" s="10" t="s">
        <v>23</v>
      </c>
      <c r="J1329" s="11">
        <v>1.77</v>
      </c>
      <c r="K1329" s="12"/>
      <c r="L1329" s="12"/>
      <c r="M1329" s="12"/>
      <c r="N1329" s="12"/>
      <c r="O1329" s="12"/>
      <c r="P1329" s="12"/>
      <c r="Q1329" s="12"/>
      <c r="R1329" s="12"/>
      <c r="S1329" s="12"/>
    </row>
    <row r="1330" spans="1:19" ht="14.25" customHeight="1" x14ac:dyDescent="0.2">
      <c r="A1330" s="1" t="s">
        <v>19</v>
      </c>
      <c r="B1330" s="7">
        <v>46093.86991898148</v>
      </c>
      <c r="C1330" s="7">
        <v>46093.887118055558</v>
      </c>
      <c r="D1330" s="8">
        <v>46093</v>
      </c>
      <c r="E1330" s="9">
        <v>0.88711805555794854</v>
      </c>
      <c r="F1330" s="10" t="s">
        <v>1550</v>
      </c>
      <c r="G1330" s="10" t="s">
        <v>21</v>
      </c>
      <c r="H1330" s="10" t="s">
        <v>39</v>
      </c>
      <c r="I1330" s="10" t="s">
        <v>23</v>
      </c>
      <c r="J1330" s="11">
        <v>1.77</v>
      </c>
      <c r="K1330" s="12"/>
      <c r="L1330" s="12"/>
      <c r="M1330" s="12"/>
      <c r="N1330" s="12"/>
      <c r="O1330" s="12"/>
      <c r="P1330" s="12"/>
      <c r="Q1330" s="12"/>
      <c r="R1330" s="12"/>
      <c r="S1330" s="12"/>
    </row>
    <row r="1331" spans="1:19" ht="14.25" customHeight="1" x14ac:dyDescent="0.2">
      <c r="A1331" s="1" t="s">
        <v>19</v>
      </c>
      <c r="B1331" s="7">
        <v>46093.86991898148</v>
      </c>
      <c r="C1331" s="7">
        <v>46093.887696759259</v>
      </c>
      <c r="D1331" s="8">
        <v>46093</v>
      </c>
      <c r="E1331" s="9">
        <v>0.88769675925868796</v>
      </c>
      <c r="F1331" s="10" t="s">
        <v>1551</v>
      </c>
      <c r="G1331" s="10" t="s">
        <v>21</v>
      </c>
      <c r="H1331" s="10" t="s">
        <v>41</v>
      </c>
      <c r="I1331" s="10" t="s">
        <v>23</v>
      </c>
      <c r="J1331" s="11">
        <v>1.77</v>
      </c>
      <c r="K1331" s="12"/>
      <c r="L1331" s="12"/>
      <c r="M1331" s="12"/>
      <c r="N1331" s="12"/>
      <c r="O1331" s="12"/>
      <c r="P1331" s="12"/>
      <c r="Q1331" s="12"/>
      <c r="R1331" s="12"/>
      <c r="S1331" s="12"/>
    </row>
    <row r="1332" spans="1:19" ht="14.25" customHeight="1" x14ac:dyDescent="0.2">
      <c r="A1332" s="1" t="s">
        <v>230</v>
      </c>
      <c r="B1332" s="7">
        <v>46093.885162037041</v>
      </c>
      <c r="C1332" s="7">
        <v>46093.893506944441</v>
      </c>
      <c r="D1332" s="8">
        <v>46093</v>
      </c>
      <c r="E1332" s="9">
        <v>0.89350694444146939</v>
      </c>
      <c r="F1332" s="10" t="s">
        <v>1552</v>
      </c>
      <c r="G1332" s="10" t="s">
        <v>21</v>
      </c>
      <c r="H1332" s="10" t="s">
        <v>1553</v>
      </c>
      <c r="I1332" s="10" t="s">
        <v>23</v>
      </c>
      <c r="J1332" s="11">
        <v>0.83</v>
      </c>
      <c r="K1332" s="12"/>
      <c r="L1332" s="12"/>
      <c r="M1332" s="12"/>
      <c r="N1332" s="12"/>
      <c r="O1332" s="12"/>
      <c r="P1332" s="12"/>
      <c r="Q1332" s="12"/>
      <c r="R1332" s="12"/>
      <c r="S1332" s="12"/>
    </row>
    <row r="1333" spans="1:19" ht="14.25" customHeight="1" x14ac:dyDescent="0.2">
      <c r="A1333" s="1" t="s">
        <v>19</v>
      </c>
      <c r="B1333" s="7">
        <v>46093.876875000002</v>
      </c>
      <c r="C1333" s="7">
        <v>46093.893796296295</v>
      </c>
      <c r="D1333" s="8">
        <v>46093</v>
      </c>
      <c r="E1333" s="9">
        <v>0.89379629629547708</v>
      </c>
      <c r="F1333" s="10" t="s">
        <v>1554</v>
      </c>
      <c r="G1333" s="10" t="s">
        <v>21</v>
      </c>
      <c r="H1333" s="10" t="s">
        <v>22</v>
      </c>
      <c r="I1333" s="10" t="s">
        <v>23</v>
      </c>
      <c r="J1333" s="11">
        <v>0.83</v>
      </c>
      <c r="K1333" s="12"/>
      <c r="L1333" s="12"/>
      <c r="M1333" s="12"/>
      <c r="N1333" s="12"/>
      <c r="O1333" s="12"/>
      <c r="P1333" s="12"/>
      <c r="Q1333" s="12"/>
      <c r="R1333" s="12"/>
      <c r="S1333" s="12"/>
    </row>
    <row r="1334" spans="1:19" ht="14.25" customHeight="1" x14ac:dyDescent="0.2">
      <c r="A1334" s="1" t="s">
        <v>19</v>
      </c>
      <c r="B1334" s="7">
        <v>46093.876863425925</v>
      </c>
      <c r="C1334" s="7">
        <v>46093.894085648149</v>
      </c>
      <c r="D1334" s="8">
        <v>46093</v>
      </c>
      <c r="E1334" s="9">
        <v>0.89408564814948477</v>
      </c>
      <c r="F1334" s="10" t="s">
        <v>1555</v>
      </c>
      <c r="G1334" s="10" t="s">
        <v>21</v>
      </c>
      <c r="H1334" s="10" t="s">
        <v>52</v>
      </c>
      <c r="I1334" s="10" t="s">
        <v>23</v>
      </c>
      <c r="J1334" s="11">
        <v>0.98</v>
      </c>
      <c r="K1334" s="12"/>
      <c r="L1334" s="12"/>
      <c r="M1334" s="12"/>
      <c r="N1334" s="12"/>
      <c r="O1334" s="12"/>
      <c r="P1334" s="12"/>
      <c r="Q1334" s="12"/>
      <c r="R1334" s="12"/>
      <c r="S1334" s="12"/>
    </row>
    <row r="1335" spans="1:19" ht="14.25" customHeight="1" x14ac:dyDescent="0.2">
      <c r="A1335" s="1" t="s">
        <v>42</v>
      </c>
      <c r="B1335" s="7">
        <v>46093.865914351853</v>
      </c>
      <c r="C1335" s="7">
        <v>46093.894652777781</v>
      </c>
      <c r="D1335" s="8">
        <v>46093</v>
      </c>
      <c r="E1335" s="9">
        <v>0.8946527777807205</v>
      </c>
      <c r="F1335" s="10" t="s">
        <v>1556</v>
      </c>
      <c r="G1335" s="10" t="s">
        <v>26</v>
      </c>
      <c r="H1335" s="10" t="s">
        <v>172</v>
      </c>
      <c r="I1335" s="10" t="s">
        <v>23</v>
      </c>
      <c r="J1335" s="11">
        <v>0.67</v>
      </c>
      <c r="K1335" s="12"/>
      <c r="L1335" s="12"/>
      <c r="M1335" s="12"/>
      <c r="N1335" s="12"/>
      <c r="O1335" s="12"/>
      <c r="P1335" s="12"/>
      <c r="Q1335" s="12"/>
      <c r="R1335" s="12"/>
      <c r="S1335" s="12"/>
    </row>
    <row r="1336" spans="1:19" ht="14.25" customHeight="1" x14ac:dyDescent="0.2">
      <c r="A1336" s="1" t="s">
        <v>19</v>
      </c>
      <c r="B1336" s="7">
        <v>46093.88140046296</v>
      </c>
      <c r="C1336" s="7">
        <v>46093.901932870373</v>
      </c>
      <c r="D1336" s="8">
        <v>46093</v>
      </c>
      <c r="E1336" s="9">
        <v>0.90193287037254777</v>
      </c>
      <c r="F1336" s="10" t="s">
        <v>1557</v>
      </c>
      <c r="G1336" s="10" t="s">
        <v>21</v>
      </c>
      <c r="H1336" s="10" t="s">
        <v>467</v>
      </c>
      <c r="I1336" s="10" t="s">
        <v>23</v>
      </c>
      <c r="J1336" s="11">
        <v>2.75</v>
      </c>
      <c r="K1336" s="12"/>
      <c r="L1336" s="12"/>
      <c r="M1336" s="12"/>
      <c r="N1336" s="12"/>
      <c r="O1336" s="12"/>
      <c r="P1336" s="12"/>
      <c r="Q1336" s="12"/>
      <c r="R1336" s="12"/>
      <c r="S1336" s="12"/>
    </row>
    <row r="1337" spans="1:19" ht="14.25" customHeight="1" x14ac:dyDescent="0.2">
      <c r="A1337" s="1" t="s">
        <v>24</v>
      </c>
      <c r="B1337" s="7">
        <v>46093.877789351849</v>
      </c>
      <c r="C1337" s="7">
        <v>46093.902326388888</v>
      </c>
      <c r="D1337" s="8">
        <v>46093</v>
      </c>
      <c r="E1337" s="9">
        <v>0.9023263888884685</v>
      </c>
      <c r="F1337" s="10" t="s">
        <v>1558</v>
      </c>
      <c r="G1337" s="10" t="s">
        <v>44</v>
      </c>
      <c r="H1337" s="10" t="s">
        <v>185</v>
      </c>
      <c r="I1337" s="10" t="s">
        <v>23</v>
      </c>
      <c r="J1337" s="11">
        <v>0.18</v>
      </c>
      <c r="K1337" s="12"/>
      <c r="L1337" s="12"/>
      <c r="M1337" s="12"/>
      <c r="N1337" s="12"/>
      <c r="O1337" s="12"/>
      <c r="P1337" s="12"/>
      <c r="Q1337" s="12"/>
      <c r="R1337" s="12"/>
      <c r="S1337" s="12"/>
    </row>
    <row r="1338" spans="1:19" ht="14.25" customHeight="1" x14ac:dyDescent="0.2">
      <c r="A1338" s="1" t="s">
        <v>24</v>
      </c>
      <c r="B1338" s="7">
        <v>46093.884733796294</v>
      </c>
      <c r="C1338" s="7">
        <v>46093.913611111115</v>
      </c>
      <c r="D1338" s="8">
        <v>46093</v>
      </c>
      <c r="E1338" s="9">
        <v>0.91361111111473292</v>
      </c>
      <c r="F1338" s="10" t="s">
        <v>1559</v>
      </c>
      <c r="G1338" s="10" t="s">
        <v>21</v>
      </c>
      <c r="H1338" s="10" t="s">
        <v>22</v>
      </c>
      <c r="I1338" s="10" t="s">
        <v>23</v>
      </c>
      <c r="J1338" s="11">
        <v>0.83</v>
      </c>
      <c r="K1338" s="12"/>
      <c r="L1338" s="12"/>
      <c r="M1338" s="12"/>
      <c r="N1338" s="12"/>
      <c r="O1338" s="12"/>
      <c r="P1338" s="12"/>
      <c r="Q1338" s="12"/>
      <c r="R1338" s="12"/>
      <c r="S1338" s="12"/>
    </row>
    <row r="1339" spans="1:19" ht="14.25" customHeight="1" x14ac:dyDescent="0.2">
      <c r="A1339" s="1" t="s">
        <v>24</v>
      </c>
      <c r="B1339" s="7">
        <v>46093.884733796294</v>
      </c>
      <c r="C1339" s="7">
        <v>46093.913969907408</v>
      </c>
      <c r="D1339" s="8">
        <v>46093</v>
      </c>
      <c r="E1339" s="9">
        <v>0.91396990740759065</v>
      </c>
      <c r="F1339" s="10" t="s">
        <v>1560</v>
      </c>
      <c r="G1339" s="10" t="s">
        <v>21</v>
      </c>
      <c r="H1339" s="10" t="s">
        <v>52</v>
      </c>
      <c r="I1339" s="10" t="s">
        <v>23</v>
      </c>
      <c r="J1339" s="11">
        <v>0.98</v>
      </c>
      <c r="K1339" s="12"/>
      <c r="L1339" s="12"/>
      <c r="M1339" s="12"/>
      <c r="N1339" s="12"/>
      <c r="O1339" s="12"/>
      <c r="P1339" s="12"/>
      <c r="Q1339" s="12"/>
      <c r="R1339" s="12"/>
      <c r="S1339" s="12"/>
    </row>
    <row r="1340" spans="1:19" ht="14.25" customHeight="1" x14ac:dyDescent="0.2">
      <c r="A1340" s="1" t="s">
        <v>24</v>
      </c>
      <c r="B1340" s="7">
        <v>46093.891562500001</v>
      </c>
      <c r="C1340" s="7">
        <v>46093.914606481485</v>
      </c>
      <c r="D1340" s="8">
        <v>46093</v>
      </c>
      <c r="E1340" s="9">
        <v>0.91460648148495238</v>
      </c>
      <c r="F1340" s="10" t="s">
        <v>1561</v>
      </c>
      <c r="G1340" s="10" t="s">
        <v>26</v>
      </c>
      <c r="H1340" s="10" t="s">
        <v>37</v>
      </c>
      <c r="I1340" s="10" t="s">
        <v>23</v>
      </c>
      <c r="J1340" s="11">
        <v>0.88</v>
      </c>
      <c r="K1340" s="12"/>
      <c r="L1340" s="12"/>
      <c r="M1340" s="12"/>
      <c r="N1340" s="12"/>
      <c r="O1340" s="12"/>
      <c r="P1340" s="12"/>
      <c r="Q1340" s="12"/>
      <c r="R1340" s="12"/>
      <c r="S1340" s="12"/>
    </row>
    <row r="1341" spans="1:19" ht="14.25" customHeight="1" x14ac:dyDescent="0.2">
      <c r="A1341" s="1" t="s">
        <v>24</v>
      </c>
      <c r="B1341" s="7">
        <v>46093.884733796294</v>
      </c>
      <c r="C1341" s="7">
        <v>46093.915289351855</v>
      </c>
      <c r="D1341" s="8">
        <v>46093</v>
      </c>
      <c r="E1341" s="9">
        <v>0.91528935185488081</v>
      </c>
      <c r="F1341" s="10" t="s">
        <v>1562</v>
      </c>
      <c r="G1341" s="10" t="s">
        <v>21</v>
      </c>
      <c r="H1341" s="10" t="s">
        <v>216</v>
      </c>
      <c r="I1341" s="10" t="s">
        <v>23</v>
      </c>
      <c r="J1341" s="11">
        <v>0.98</v>
      </c>
      <c r="K1341" s="12"/>
      <c r="L1341" s="12"/>
      <c r="M1341" s="12"/>
      <c r="N1341" s="12"/>
      <c r="O1341" s="12"/>
      <c r="P1341" s="12"/>
      <c r="Q1341" s="12"/>
      <c r="R1341" s="12"/>
      <c r="S1341" s="12"/>
    </row>
    <row r="1342" spans="1:19" ht="14.25" customHeight="1" x14ac:dyDescent="0.2">
      <c r="A1342" s="1" t="s">
        <v>24</v>
      </c>
      <c r="B1342" s="7">
        <v>46093.899409722224</v>
      </c>
      <c r="C1342" s="7">
        <v>46093.915462962963</v>
      </c>
      <c r="D1342" s="8">
        <v>46093</v>
      </c>
      <c r="E1342" s="9">
        <v>0.91546296296291985</v>
      </c>
      <c r="F1342" s="10" t="s">
        <v>1563</v>
      </c>
      <c r="G1342" s="10" t="s">
        <v>21</v>
      </c>
      <c r="H1342" s="10" t="s">
        <v>22</v>
      </c>
      <c r="I1342" s="10" t="s">
        <v>23</v>
      </c>
      <c r="J1342" s="11">
        <v>0.83</v>
      </c>
      <c r="K1342" s="12"/>
      <c r="L1342" s="12"/>
      <c r="M1342" s="12"/>
      <c r="N1342" s="12"/>
      <c r="O1342" s="12"/>
      <c r="P1342" s="12"/>
      <c r="Q1342" s="12"/>
      <c r="R1342" s="12"/>
      <c r="S1342" s="12"/>
    </row>
    <row r="1343" spans="1:19" ht="14.25" customHeight="1" x14ac:dyDescent="0.2">
      <c r="A1343" s="1" t="s">
        <v>24</v>
      </c>
      <c r="B1343" s="7">
        <v>46093.893240740741</v>
      </c>
      <c r="C1343" s="7">
        <v>46093.915902777779</v>
      </c>
      <c r="D1343" s="8">
        <v>46093</v>
      </c>
      <c r="E1343" s="9">
        <v>0.91590277777868323</v>
      </c>
      <c r="F1343" s="10" t="s">
        <v>1564</v>
      </c>
      <c r="G1343" s="10" t="s">
        <v>21</v>
      </c>
      <c r="H1343" s="10" t="s">
        <v>101</v>
      </c>
      <c r="I1343" s="10" t="s">
        <v>23</v>
      </c>
      <c r="J1343" s="11">
        <v>1.7</v>
      </c>
      <c r="K1343" s="12"/>
      <c r="L1343" s="12"/>
      <c r="M1343" s="12"/>
      <c r="N1343" s="12"/>
      <c r="O1343" s="12"/>
      <c r="P1343" s="12"/>
      <c r="Q1343" s="12"/>
      <c r="R1343" s="12"/>
      <c r="S1343" s="12"/>
    </row>
    <row r="1344" spans="1:19" ht="14.25" customHeight="1" x14ac:dyDescent="0.2">
      <c r="A1344" s="1" t="s">
        <v>42</v>
      </c>
      <c r="B1344" s="7">
        <v>46093.878171296295</v>
      </c>
      <c r="C1344" s="7">
        <v>46093.921261574076</v>
      </c>
      <c r="D1344" s="8">
        <v>46093</v>
      </c>
      <c r="E1344" s="9">
        <v>0.92126157407619758</v>
      </c>
      <c r="F1344" s="10" t="s">
        <v>1565</v>
      </c>
      <c r="G1344" s="10" t="s">
        <v>26</v>
      </c>
      <c r="H1344" s="10" t="s">
        <v>82</v>
      </c>
      <c r="I1344" s="10" t="s">
        <v>23</v>
      </c>
      <c r="J1344" s="11">
        <v>0.49</v>
      </c>
      <c r="K1344" s="12"/>
      <c r="L1344" s="12">
        <f>SUM(J1344:J1354)</f>
        <v>12.180000000000001</v>
      </c>
      <c r="M1344" s="13">
        <f>L1344*65</f>
        <v>791.7</v>
      </c>
      <c r="N1344" s="14">
        <f>MAX(500,M1344)</f>
        <v>791.7</v>
      </c>
      <c r="O1344" s="12"/>
      <c r="P1344" s="12"/>
      <c r="Q1344" s="12"/>
      <c r="R1344" s="12"/>
      <c r="S1344" s="12"/>
    </row>
    <row r="1345" spans="1:19" ht="14.25" customHeight="1" x14ac:dyDescent="0.2">
      <c r="A1345" s="1" t="s">
        <v>33</v>
      </c>
      <c r="B1345" s="7">
        <v>46093.918217592596</v>
      </c>
      <c r="C1345" s="7">
        <v>46093.92701388889</v>
      </c>
      <c r="D1345" s="8">
        <v>46093</v>
      </c>
      <c r="E1345" s="9">
        <v>0.92701388888963265</v>
      </c>
      <c r="F1345" s="10" t="s">
        <v>1566</v>
      </c>
      <c r="G1345" s="10" t="s">
        <v>21</v>
      </c>
      <c r="H1345" s="10" t="s">
        <v>41</v>
      </c>
      <c r="I1345" s="10" t="s">
        <v>23</v>
      </c>
      <c r="J1345" s="11">
        <v>1.77</v>
      </c>
      <c r="K1345" s="12"/>
      <c r="L1345" s="12"/>
      <c r="M1345" s="12"/>
      <c r="N1345" s="12"/>
      <c r="O1345" s="12"/>
      <c r="P1345" s="12"/>
      <c r="Q1345" s="12"/>
      <c r="R1345" s="12"/>
      <c r="S1345" s="12"/>
    </row>
    <row r="1346" spans="1:19" ht="14.25" customHeight="1" x14ac:dyDescent="0.2">
      <c r="A1346" s="1" t="s">
        <v>57</v>
      </c>
      <c r="B1346" s="7">
        <v>46093.905370370368</v>
      </c>
      <c r="C1346" s="7">
        <v>46093.927141203705</v>
      </c>
      <c r="D1346" s="8">
        <v>46093</v>
      </c>
      <c r="E1346" s="9">
        <v>0.927141203705105</v>
      </c>
      <c r="F1346" s="10" t="s">
        <v>1567</v>
      </c>
      <c r="G1346" s="10" t="s">
        <v>21</v>
      </c>
      <c r="H1346" s="10" t="s">
        <v>59</v>
      </c>
      <c r="I1346" s="10" t="s">
        <v>23</v>
      </c>
      <c r="J1346" s="11">
        <v>0.83</v>
      </c>
      <c r="K1346" s="12"/>
      <c r="L1346" s="12"/>
      <c r="M1346" s="12"/>
      <c r="N1346" s="12"/>
      <c r="O1346" s="12"/>
      <c r="P1346" s="12"/>
      <c r="Q1346" s="12"/>
      <c r="R1346" s="12"/>
      <c r="S1346" s="12"/>
    </row>
    <row r="1347" spans="1:19" ht="14.25" customHeight="1" x14ac:dyDescent="0.2">
      <c r="A1347" s="1" t="s">
        <v>33</v>
      </c>
      <c r="B1347" s="7">
        <v>46093.91337962963</v>
      </c>
      <c r="C1347" s="7">
        <v>46093.927546296298</v>
      </c>
      <c r="D1347" s="8">
        <v>46093</v>
      </c>
      <c r="E1347" s="9">
        <v>0.92754629629780538</v>
      </c>
      <c r="F1347" s="10" t="s">
        <v>1568</v>
      </c>
      <c r="G1347" s="10" t="s">
        <v>21</v>
      </c>
      <c r="H1347" s="10" t="s">
        <v>216</v>
      </c>
      <c r="I1347" s="10" t="s">
        <v>23</v>
      </c>
      <c r="J1347" s="11">
        <v>0.98</v>
      </c>
      <c r="K1347" s="12"/>
      <c r="L1347" s="12"/>
      <c r="M1347" s="12"/>
      <c r="N1347" s="12"/>
      <c r="O1347" s="12"/>
      <c r="P1347" s="12"/>
      <c r="Q1347" s="12"/>
      <c r="R1347" s="12"/>
      <c r="S1347" s="12"/>
    </row>
    <row r="1348" spans="1:19" ht="14.25" customHeight="1" x14ac:dyDescent="0.2">
      <c r="A1348" s="1" t="s">
        <v>33</v>
      </c>
      <c r="B1348" s="7">
        <v>46093.91337962963</v>
      </c>
      <c r="C1348" s="7">
        <v>46093.927858796298</v>
      </c>
      <c r="D1348" s="8">
        <v>46093</v>
      </c>
      <c r="E1348" s="9">
        <v>0.92785879629809642</v>
      </c>
      <c r="F1348" s="10" t="s">
        <v>1569</v>
      </c>
      <c r="G1348" s="10" t="s">
        <v>21</v>
      </c>
      <c r="H1348" s="10" t="s">
        <v>31</v>
      </c>
      <c r="I1348" s="10" t="s">
        <v>23</v>
      </c>
      <c r="J1348" s="11">
        <v>0.98</v>
      </c>
      <c r="K1348" s="12"/>
      <c r="L1348" s="12"/>
      <c r="M1348" s="12"/>
      <c r="N1348" s="12"/>
      <c r="O1348" s="12"/>
      <c r="P1348" s="12"/>
      <c r="Q1348" s="12"/>
      <c r="R1348" s="12"/>
      <c r="S1348" s="12"/>
    </row>
    <row r="1349" spans="1:19" ht="14.25" customHeight="1" x14ac:dyDescent="0.2">
      <c r="A1349" s="1" t="s">
        <v>57</v>
      </c>
      <c r="B1349" s="7">
        <v>46093.906782407408</v>
      </c>
      <c r="C1349" s="7">
        <v>46093.927986111114</v>
      </c>
      <c r="D1349" s="8">
        <v>46093</v>
      </c>
      <c r="E1349" s="9">
        <v>0.92798611111356877</v>
      </c>
      <c r="F1349" s="10" t="s">
        <v>1570</v>
      </c>
      <c r="G1349" s="10" t="s">
        <v>21</v>
      </c>
      <c r="H1349" s="10" t="s">
        <v>710</v>
      </c>
      <c r="I1349" s="10" t="s">
        <v>23</v>
      </c>
      <c r="J1349" s="11">
        <v>0.98</v>
      </c>
      <c r="K1349" s="12"/>
      <c r="L1349" s="12"/>
      <c r="M1349" s="12"/>
      <c r="N1349" s="12"/>
      <c r="O1349" s="12"/>
      <c r="P1349" s="12"/>
      <c r="Q1349" s="12"/>
      <c r="R1349" s="12"/>
      <c r="S1349" s="12"/>
    </row>
    <row r="1350" spans="1:19" ht="14.25" customHeight="1" x14ac:dyDescent="0.2">
      <c r="A1350" s="1" t="s">
        <v>24</v>
      </c>
      <c r="B1350" s="7">
        <v>46093.919490740744</v>
      </c>
      <c r="C1350" s="7">
        <v>46093.932812500003</v>
      </c>
      <c r="D1350" s="8">
        <v>46093</v>
      </c>
      <c r="E1350" s="9">
        <v>0.93281250000291038</v>
      </c>
      <c r="F1350" s="10" t="s">
        <v>1571</v>
      </c>
      <c r="G1350" s="10" t="s">
        <v>26</v>
      </c>
      <c r="H1350" s="10" t="s">
        <v>86</v>
      </c>
      <c r="I1350" s="10" t="s">
        <v>23</v>
      </c>
      <c r="J1350" s="11">
        <v>0.88</v>
      </c>
      <c r="K1350" s="12"/>
      <c r="L1350" s="12"/>
      <c r="M1350" s="12"/>
      <c r="N1350" s="12"/>
      <c r="O1350" s="12"/>
      <c r="P1350" s="12"/>
      <c r="Q1350" s="12"/>
      <c r="R1350" s="12"/>
      <c r="S1350" s="12"/>
    </row>
    <row r="1351" spans="1:19" ht="14.25" customHeight="1" x14ac:dyDescent="0.2">
      <c r="A1351" s="1" t="s">
        <v>19</v>
      </c>
      <c r="B1351" s="7">
        <v>46093.923090277778</v>
      </c>
      <c r="C1351" s="7">
        <v>46093.933252314811</v>
      </c>
      <c r="D1351" s="8">
        <v>46093</v>
      </c>
      <c r="E1351" s="9">
        <v>0.93325231481139781</v>
      </c>
      <c r="F1351" s="10" t="s">
        <v>1572</v>
      </c>
      <c r="G1351" s="10" t="s">
        <v>21</v>
      </c>
      <c r="H1351" s="10" t="s">
        <v>41</v>
      </c>
      <c r="I1351" s="10" t="s">
        <v>23</v>
      </c>
      <c r="J1351" s="11">
        <v>1.77</v>
      </c>
      <c r="K1351" s="12"/>
      <c r="L1351" s="12"/>
      <c r="M1351" s="12"/>
      <c r="N1351" s="12"/>
      <c r="O1351" s="12"/>
      <c r="P1351" s="12"/>
      <c r="Q1351" s="12"/>
      <c r="R1351" s="12"/>
      <c r="S1351" s="12"/>
    </row>
    <row r="1352" spans="1:19" ht="14.25" customHeight="1" x14ac:dyDescent="0.2">
      <c r="A1352" s="1" t="s">
        <v>24</v>
      </c>
      <c r="B1352" s="7">
        <v>46093.925740740742</v>
      </c>
      <c r="C1352" s="7">
        <v>46093.945393518516</v>
      </c>
      <c r="D1352" s="8">
        <v>46093</v>
      </c>
      <c r="E1352" s="9">
        <v>0.94539351851562969</v>
      </c>
      <c r="F1352" s="10" t="s">
        <v>1573</v>
      </c>
      <c r="G1352" s="10" t="s">
        <v>21</v>
      </c>
      <c r="H1352" s="10" t="s">
        <v>22</v>
      </c>
      <c r="I1352" s="10" t="s">
        <v>23</v>
      </c>
      <c r="J1352" s="11">
        <v>0.83</v>
      </c>
      <c r="K1352" s="12"/>
      <c r="L1352" s="12"/>
      <c r="M1352" s="12"/>
      <c r="N1352" s="12"/>
      <c r="O1352" s="12"/>
      <c r="P1352" s="12"/>
      <c r="Q1352" s="12"/>
      <c r="R1352" s="12"/>
      <c r="S1352" s="12"/>
    </row>
    <row r="1353" spans="1:19" ht="14.25" customHeight="1" x14ac:dyDescent="0.2">
      <c r="A1353" s="1" t="s">
        <v>28</v>
      </c>
      <c r="B1353" s="7">
        <v>46093.932673611111</v>
      </c>
      <c r="C1353" s="7">
        <v>46093.946180555555</v>
      </c>
      <c r="D1353" s="8">
        <v>46093</v>
      </c>
      <c r="E1353" s="9">
        <v>0.94618055555474712</v>
      </c>
      <c r="F1353" s="10" t="s">
        <v>1574</v>
      </c>
      <c r="G1353" s="10" t="s">
        <v>21</v>
      </c>
      <c r="H1353" s="10" t="s">
        <v>101</v>
      </c>
      <c r="I1353" s="10" t="s">
        <v>23</v>
      </c>
      <c r="J1353" s="11">
        <v>1.7</v>
      </c>
      <c r="K1353" s="12"/>
      <c r="L1353" s="12"/>
      <c r="M1353" s="12"/>
      <c r="N1353" s="12"/>
      <c r="O1353" s="12"/>
      <c r="P1353" s="12"/>
      <c r="Q1353" s="12"/>
      <c r="R1353" s="12"/>
      <c r="S1353" s="12"/>
    </row>
    <row r="1354" spans="1:19" ht="14.25" customHeight="1" x14ac:dyDescent="0.2">
      <c r="A1354" s="1" t="s">
        <v>24</v>
      </c>
      <c r="B1354" s="7">
        <v>46093.936203703706</v>
      </c>
      <c r="C1354" s="7">
        <v>46093.954675925925</v>
      </c>
      <c r="D1354" s="8">
        <v>46093</v>
      </c>
      <c r="E1354" s="9">
        <v>0.95467592592467554</v>
      </c>
      <c r="F1354" s="10" t="s">
        <v>1575</v>
      </c>
      <c r="G1354" s="10" t="s">
        <v>26</v>
      </c>
      <c r="H1354" s="10" t="s">
        <v>128</v>
      </c>
      <c r="I1354" s="10" t="s">
        <v>23</v>
      </c>
      <c r="J1354" s="11">
        <v>0.97</v>
      </c>
      <c r="K1354" s="12"/>
      <c r="L1354" s="12"/>
      <c r="M1354" s="12"/>
      <c r="N1354" s="12"/>
      <c r="O1354" s="12"/>
      <c r="P1354" s="12"/>
      <c r="Q1354" s="12"/>
      <c r="R1354" s="12"/>
      <c r="S1354" s="12"/>
    </row>
    <row r="1355" spans="1:19" ht="14.25" customHeight="1" x14ac:dyDescent="0.2">
      <c r="A1355" s="1" t="s">
        <v>57</v>
      </c>
      <c r="B1355" s="7">
        <v>46093.937222222223</v>
      </c>
      <c r="C1355" s="7">
        <v>46093.960081018522</v>
      </c>
      <c r="D1355" s="8">
        <v>46093</v>
      </c>
      <c r="E1355" s="9">
        <v>0.96008101852203254</v>
      </c>
      <c r="F1355" s="10" t="s">
        <v>1576</v>
      </c>
      <c r="G1355" s="10" t="s">
        <v>21</v>
      </c>
      <c r="H1355" s="10" t="s">
        <v>710</v>
      </c>
      <c r="I1355" s="10" t="s">
        <v>23</v>
      </c>
      <c r="J1355" s="11">
        <v>0.98</v>
      </c>
      <c r="K1355" s="12"/>
      <c r="L1355" s="12">
        <f>SUM(J1355:J1371)</f>
        <v>19.599999999999998</v>
      </c>
      <c r="M1355" s="13">
        <f>L1355*65</f>
        <v>1273.9999999999998</v>
      </c>
      <c r="N1355" s="14">
        <f>MAX(500,M1355)</f>
        <v>1273.9999999999998</v>
      </c>
      <c r="O1355" s="12"/>
      <c r="P1355" s="12"/>
      <c r="Q1355" s="12"/>
      <c r="R1355" s="12"/>
      <c r="S1355" s="12"/>
    </row>
    <row r="1356" spans="1:19" ht="14.25" customHeight="1" x14ac:dyDescent="0.2">
      <c r="A1356" s="1" t="s">
        <v>24</v>
      </c>
      <c r="B1356" s="7">
        <v>46093.953229166669</v>
      </c>
      <c r="C1356" s="7">
        <v>46093.960682870369</v>
      </c>
      <c r="D1356" s="8">
        <v>46093</v>
      </c>
      <c r="E1356" s="9">
        <v>0.96068287036905531</v>
      </c>
      <c r="F1356" s="10" t="s">
        <v>1577</v>
      </c>
      <c r="G1356" s="10" t="s">
        <v>21</v>
      </c>
      <c r="H1356" s="10" t="s">
        <v>22</v>
      </c>
      <c r="I1356" s="10" t="s">
        <v>23</v>
      </c>
      <c r="J1356" s="11">
        <v>0.83</v>
      </c>
      <c r="K1356" s="12"/>
      <c r="L1356" s="12"/>
      <c r="M1356" s="12"/>
      <c r="N1356" s="12"/>
      <c r="O1356" s="12"/>
      <c r="P1356" s="12"/>
      <c r="Q1356" s="12"/>
      <c r="R1356" s="12"/>
      <c r="S1356" s="12"/>
    </row>
    <row r="1357" spans="1:19" ht="14.25" customHeight="1" x14ac:dyDescent="0.2">
      <c r="A1357" s="1" t="s">
        <v>57</v>
      </c>
      <c r="B1357" s="7">
        <v>46093.935787037037</v>
      </c>
      <c r="C1357" s="7">
        <v>46093.961076388892</v>
      </c>
      <c r="D1357" s="8">
        <v>46093</v>
      </c>
      <c r="E1357" s="9">
        <v>0.961076388892252</v>
      </c>
      <c r="F1357" s="10" t="s">
        <v>1578</v>
      </c>
      <c r="G1357" s="10" t="s">
        <v>21</v>
      </c>
      <c r="H1357" s="10" t="s">
        <v>59</v>
      </c>
      <c r="I1357" s="10" t="s">
        <v>23</v>
      </c>
      <c r="J1357" s="11">
        <v>0.83</v>
      </c>
      <c r="K1357" s="12"/>
      <c r="L1357" s="12"/>
      <c r="M1357" s="12"/>
      <c r="N1357" s="12"/>
      <c r="O1357" s="12"/>
      <c r="P1357" s="12"/>
      <c r="Q1357" s="12"/>
      <c r="R1357" s="12"/>
      <c r="S1357" s="12"/>
    </row>
    <row r="1358" spans="1:19" ht="14.25" customHeight="1" x14ac:dyDescent="0.2">
      <c r="A1358" s="1" t="s">
        <v>33</v>
      </c>
      <c r="B1358" s="7">
        <v>46093.951805555553</v>
      </c>
      <c r="C1358" s="7">
        <v>46093.96802083333</v>
      </c>
      <c r="D1358" s="8">
        <v>46093</v>
      </c>
      <c r="E1358" s="9">
        <v>0.96802083333022892</v>
      </c>
      <c r="F1358" s="10" t="s">
        <v>1579</v>
      </c>
      <c r="G1358" s="10" t="s">
        <v>21</v>
      </c>
      <c r="H1358" s="10" t="s">
        <v>41</v>
      </c>
      <c r="I1358" s="10" t="s">
        <v>23</v>
      </c>
      <c r="J1358" s="11">
        <v>1.77</v>
      </c>
      <c r="K1358" s="12"/>
      <c r="L1358" s="12"/>
      <c r="M1358" s="12"/>
      <c r="N1358" s="12"/>
      <c r="O1358" s="12"/>
      <c r="P1358" s="12"/>
      <c r="Q1358" s="12"/>
      <c r="R1358" s="12"/>
      <c r="S1358" s="12"/>
    </row>
    <row r="1359" spans="1:19" ht="14.25" customHeight="1" x14ac:dyDescent="0.2">
      <c r="A1359" s="1" t="s">
        <v>112</v>
      </c>
      <c r="B1359" s="7">
        <v>46093.962152777778</v>
      </c>
      <c r="C1359" s="7">
        <v>46093.9687037037</v>
      </c>
      <c r="D1359" s="8">
        <v>46093</v>
      </c>
      <c r="E1359" s="9">
        <v>0.96870370370015735</v>
      </c>
      <c r="F1359" s="10" t="s">
        <v>1580</v>
      </c>
      <c r="G1359" s="10" t="s">
        <v>21</v>
      </c>
      <c r="H1359" s="10" t="s">
        <v>117</v>
      </c>
      <c r="I1359" s="10" t="s">
        <v>23</v>
      </c>
      <c r="J1359" s="11">
        <v>0.83</v>
      </c>
      <c r="K1359" s="12"/>
      <c r="L1359" s="12"/>
      <c r="M1359" s="12"/>
      <c r="N1359" s="12"/>
      <c r="O1359" s="12"/>
      <c r="P1359" s="12"/>
      <c r="Q1359" s="12"/>
      <c r="R1359" s="12"/>
      <c r="S1359" s="12"/>
    </row>
    <row r="1360" spans="1:19" ht="14.25" customHeight="1" x14ac:dyDescent="0.2">
      <c r="A1360" s="22" t="s">
        <v>24</v>
      </c>
      <c r="B1360" s="23">
        <v>46093.944201388891</v>
      </c>
      <c r="C1360" s="23">
        <v>46093.970949074072</v>
      </c>
      <c r="D1360" s="24">
        <v>46093</v>
      </c>
      <c r="E1360" s="25">
        <v>0.97094907407154096</v>
      </c>
      <c r="F1360" s="22" t="s">
        <v>1581</v>
      </c>
      <c r="G1360" s="22" t="s">
        <v>21</v>
      </c>
      <c r="H1360" s="22" t="s">
        <v>41</v>
      </c>
      <c r="I1360" s="22" t="s">
        <v>583</v>
      </c>
      <c r="J1360" s="26">
        <v>1.77</v>
      </c>
      <c r="K1360" s="26"/>
      <c r="L1360" s="26"/>
      <c r="M1360" s="26"/>
      <c r="N1360" s="26"/>
      <c r="O1360" s="26"/>
      <c r="P1360" s="26"/>
      <c r="Q1360" s="26"/>
      <c r="R1360" s="26"/>
      <c r="S1360" s="26"/>
    </row>
    <row r="1361" spans="1:19" ht="14.25" customHeight="1" x14ac:dyDescent="0.2">
      <c r="A1361" s="1" t="s">
        <v>95</v>
      </c>
      <c r="B1361" s="7">
        <v>46093.954525462963</v>
      </c>
      <c r="C1361" s="7">
        <v>46093.974293981482</v>
      </c>
      <c r="D1361" s="8">
        <v>46093</v>
      </c>
      <c r="E1361" s="9">
        <v>0.97429398148233304</v>
      </c>
      <c r="F1361" s="10" t="s">
        <v>1582</v>
      </c>
      <c r="G1361" s="10" t="s">
        <v>21</v>
      </c>
      <c r="H1361" s="10" t="s">
        <v>110</v>
      </c>
      <c r="I1361" s="10" t="s">
        <v>23</v>
      </c>
      <c r="J1361" s="11">
        <v>0.83</v>
      </c>
      <c r="K1361" s="12"/>
      <c r="L1361" s="12"/>
      <c r="M1361" s="12"/>
      <c r="N1361" s="12"/>
      <c r="O1361" s="12"/>
      <c r="P1361" s="12"/>
      <c r="Q1361" s="12"/>
      <c r="R1361" s="12"/>
      <c r="S1361" s="12"/>
    </row>
    <row r="1362" spans="1:19" ht="14.25" customHeight="1" x14ac:dyDescent="0.2">
      <c r="A1362" s="1" t="s">
        <v>95</v>
      </c>
      <c r="B1362" s="7">
        <v>46093.954525462963</v>
      </c>
      <c r="C1362" s="7">
        <v>46093.974537037036</v>
      </c>
      <c r="D1362" s="8">
        <v>46093</v>
      </c>
      <c r="E1362" s="9">
        <v>0.97453703703649808</v>
      </c>
      <c r="F1362" s="10" t="s">
        <v>1583</v>
      </c>
      <c r="G1362" s="10" t="s">
        <v>21</v>
      </c>
      <c r="H1362" s="10" t="s">
        <v>52</v>
      </c>
      <c r="I1362" s="10" t="s">
        <v>23</v>
      </c>
      <c r="J1362" s="11">
        <v>0.98</v>
      </c>
      <c r="K1362" s="12"/>
      <c r="L1362" s="12"/>
      <c r="M1362" s="12"/>
      <c r="N1362" s="12"/>
      <c r="O1362" s="12"/>
      <c r="P1362" s="12"/>
      <c r="Q1362" s="12"/>
      <c r="R1362" s="12"/>
      <c r="S1362" s="12"/>
    </row>
    <row r="1363" spans="1:19" ht="14.25" customHeight="1" x14ac:dyDescent="0.2">
      <c r="A1363" s="1" t="s">
        <v>42</v>
      </c>
      <c r="B1363" s="7">
        <v>46093.950243055559</v>
      </c>
      <c r="C1363" s="7">
        <v>46093.975162037037</v>
      </c>
      <c r="D1363" s="8">
        <v>46093</v>
      </c>
      <c r="E1363" s="9">
        <v>0.97516203703708015</v>
      </c>
      <c r="F1363" s="10" t="s">
        <v>1584</v>
      </c>
      <c r="G1363" s="10" t="s">
        <v>26</v>
      </c>
      <c r="H1363" s="10" t="s">
        <v>125</v>
      </c>
      <c r="I1363" s="10" t="s">
        <v>23</v>
      </c>
      <c r="J1363" s="11">
        <v>0.63</v>
      </c>
      <c r="K1363" s="12"/>
      <c r="L1363" s="12"/>
      <c r="M1363" s="12"/>
      <c r="N1363" s="12"/>
      <c r="O1363" s="12"/>
      <c r="P1363" s="12"/>
      <c r="Q1363" s="12"/>
      <c r="R1363" s="12"/>
      <c r="S1363" s="12"/>
    </row>
    <row r="1364" spans="1:19" ht="14.25" customHeight="1" x14ac:dyDescent="0.2">
      <c r="A1364" s="22" t="s">
        <v>33</v>
      </c>
      <c r="B1364" s="23">
        <v>46093.941979166666</v>
      </c>
      <c r="C1364" s="23">
        <v>46093.977303240739</v>
      </c>
      <c r="D1364" s="24">
        <v>46093</v>
      </c>
      <c r="E1364" s="25">
        <v>0.97730324073927477</v>
      </c>
      <c r="F1364" s="22" t="s">
        <v>1585</v>
      </c>
      <c r="G1364" s="22" t="s">
        <v>21</v>
      </c>
      <c r="H1364" s="22" t="s">
        <v>22</v>
      </c>
      <c r="I1364" s="22" t="s">
        <v>583</v>
      </c>
      <c r="J1364" s="26">
        <v>0.83</v>
      </c>
      <c r="K1364" s="26"/>
      <c r="L1364" s="26"/>
      <c r="M1364" s="26"/>
      <c r="N1364" s="26"/>
      <c r="O1364" s="26"/>
      <c r="P1364" s="26"/>
      <c r="Q1364" s="26"/>
      <c r="R1364" s="26"/>
      <c r="S1364" s="26"/>
    </row>
    <row r="1365" spans="1:19" ht="14.25" customHeight="1" x14ac:dyDescent="0.2">
      <c r="A1365" s="1" t="s">
        <v>95</v>
      </c>
      <c r="B1365" s="7">
        <v>46093.955983796295</v>
      </c>
      <c r="C1365" s="7">
        <v>46093.984398148146</v>
      </c>
      <c r="D1365" s="8">
        <v>46093</v>
      </c>
      <c r="E1365" s="9">
        <v>0.98439814814628335</v>
      </c>
      <c r="F1365" s="10" t="s">
        <v>1586</v>
      </c>
      <c r="G1365" s="10" t="s">
        <v>26</v>
      </c>
      <c r="H1365" s="10" t="s">
        <v>128</v>
      </c>
      <c r="I1365" s="10" t="s">
        <v>23</v>
      </c>
      <c r="J1365" s="11">
        <v>0.97</v>
      </c>
      <c r="K1365" s="12"/>
      <c r="L1365" s="12"/>
      <c r="M1365" s="12"/>
      <c r="N1365" s="12"/>
      <c r="O1365" s="12"/>
      <c r="P1365" s="12"/>
      <c r="Q1365" s="12"/>
      <c r="R1365" s="12"/>
      <c r="S1365" s="12"/>
    </row>
    <row r="1366" spans="1:19" ht="14.25" customHeight="1" x14ac:dyDescent="0.2">
      <c r="A1366" s="22" t="s">
        <v>28</v>
      </c>
      <c r="B1366" s="23">
        <v>46093.968738425923</v>
      </c>
      <c r="C1366" s="23">
        <v>46093.986990740741</v>
      </c>
      <c r="D1366" s="24">
        <v>46093</v>
      </c>
      <c r="E1366" s="25">
        <v>0.986990740741021</v>
      </c>
      <c r="F1366" s="22" t="s">
        <v>1587</v>
      </c>
      <c r="G1366" s="22" t="s">
        <v>21</v>
      </c>
      <c r="H1366" s="22" t="s">
        <v>101</v>
      </c>
      <c r="I1366" s="22" t="s">
        <v>583</v>
      </c>
      <c r="J1366" s="26">
        <v>1.7</v>
      </c>
      <c r="K1366" s="26"/>
      <c r="L1366" s="26"/>
      <c r="M1366" s="26"/>
      <c r="N1366" s="26"/>
      <c r="O1366" s="26"/>
      <c r="P1366" s="26"/>
      <c r="Q1366" s="26"/>
      <c r="R1366" s="26"/>
      <c r="S1366" s="26"/>
    </row>
    <row r="1367" spans="1:19" ht="14.25" customHeight="1" x14ac:dyDescent="0.2">
      <c r="A1367" s="1" t="s">
        <v>33</v>
      </c>
      <c r="B1367" s="7">
        <v>46093.962476851855</v>
      </c>
      <c r="C1367" s="7">
        <v>46093.987210648149</v>
      </c>
      <c r="D1367" s="8">
        <v>46093</v>
      </c>
      <c r="E1367" s="9">
        <v>0.98721064814890269</v>
      </c>
      <c r="F1367" s="10" t="s">
        <v>1588</v>
      </c>
      <c r="G1367" s="10" t="s">
        <v>21</v>
      </c>
      <c r="H1367" s="10" t="s">
        <v>1342</v>
      </c>
      <c r="I1367" s="10" t="s">
        <v>23</v>
      </c>
      <c r="J1367" s="11">
        <v>0.83</v>
      </c>
      <c r="K1367" s="12"/>
      <c r="L1367" s="12"/>
      <c r="M1367" s="12"/>
      <c r="N1367" s="12"/>
      <c r="O1367" s="12"/>
      <c r="P1367" s="12"/>
      <c r="Q1367" s="12"/>
      <c r="R1367" s="12"/>
      <c r="S1367" s="12"/>
    </row>
    <row r="1368" spans="1:19" ht="14.25" customHeight="1" x14ac:dyDescent="0.2">
      <c r="A1368" s="1" t="s">
        <v>33</v>
      </c>
      <c r="B1368" s="7">
        <v>46093.965509259258</v>
      </c>
      <c r="C1368" s="7">
        <v>46093.987812500003</v>
      </c>
      <c r="D1368" s="8">
        <v>46093</v>
      </c>
      <c r="E1368" s="9">
        <v>0.98781250000320142</v>
      </c>
      <c r="F1368" s="10" t="s">
        <v>1589</v>
      </c>
      <c r="G1368" s="10" t="s">
        <v>21</v>
      </c>
      <c r="H1368" s="10" t="s">
        <v>281</v>
      </c>
      <c r="I1368" s="10" t="s">
        <v>23</v>
      </c>
      <c r="J1368" s="11">
        <v>2.5</v>
      </c>
      <c r="K1368" s="12"/>
      <c r="L1368" s="12"/>
      <c r="M1368" s="12"/>
      <c r="N1368" s="12"/>
      <c r="O1368" s="12"/>
      <c r="P1368" s="12"/>
      <c r="Q1368" s="12"/>
      <c r="R1368" s="12"/>
      <c r="S1368" s="12"/>
    </row>
    <row r="1369" spans="1:19" ht="14.25" customHeight="1" x14ac:dyDescent="0.2">
      <c r="A1369" s="1" t="s">
        <v>42</v>
      </c>
      <c r="B1369" s="7">
        <v>46093.976481481484</v>
      </c>
      <c r="C1369" s="7">
        <v>46093.990833333337</v>
      </c>
      <c r="D1369" s="8">
        <v>46093</v>
      </c>
      <c r="E1369" s="9">
        <v>0.99083333333692281</v>
      </c>
      <c r="F1369" s="10" t="s">
        <v>1590</v>
      </c>
      <c r="G1369" s="10" t="s">
        <v>21</v>
      </c>
      <c r="H1369" s="10" t="s">
        <v>227</v>
      </c>
      <c r="I1369" s="10" t="s">
        <v>23</v>
      </c>
      <c r="J1369" s="11">
        <v>0.83</v>
      </c>
      <c r="K1369" s="12"/>
      <c r="L1369" s="12"/>
      <c r="M1369" s="12"/>
      <c r="N1369" s="12"/>
      <c r="O1369" s="12"/>
      <c r="P1369" s="12"/>
      <c r="Q1369" s="12"/>
      <c r="R1369" s="12"/>
      <c r="S1369" s="12"/>
    </row>
    <row r="1370" spans="1:19" ht="14.25" customHeight="1" x14ac:dyDescent="0.2">
      <c r="A1370" s="22" t="s">
        <v>95</v>
      </c>
      <c r="B1370" s="23">
        <v>46093.97552083333</v>
      </c>
      <c r="C1370" s="23">
        <v>46093.995810185188</v>
      </c>
      <c r="D1370" s="24">
        <v>46093</v>
      </c>
      <c r="E1370" s="25">
        <v>0.99581018518802011</v>
      </c>
      <c r="F1370" s="22" t="s">
        <v>1591</v>
      </c>
      <c r="G1370" s="22" t="s">
        <v>21</v>
      </c>
      <c r="H1370" s="22" t="s">
        <v>154</v>
      </c>
      <c r="I1370" s="22" t="s">
        <v>583</v>
      </c>
      <c r="J1370" s="26">
        <v>1.77</v>
      </c>
      <c r="K1370" s="26"/>
      <c r="L1370" s="26"/>
      <c r="M1370" s="26"/>
      <c r="N1370" s="26"/>
      <c r="O1370" s="26"/>
      <c r="P1370" s="26"/>
      <c r="Q1370" s="26"/>
      <c r="R1370" s="26"/>
      <c r="S1370" s="26"/>
    </row>
    <row r="1371" spans="1:19" ht="14.25" customHeight="1" x14ac:dyDescent="0.2">
      <c r="A1371" s="1" t="s">
        <v>95</v>
      </c>
      <c r="B1371" s="7">
        <v>46093.965069444443</v>
      </c>
      <c r="C1371" s="7">
        <v>46093.996342592596</v>
      </c>
      <c r="D1371" s="8">
        <v>46093</v>
      </c>
      <c r="E1371" s="9">
        <v>0.99634259259619284</v>
      </c>
      <c r="F1371" s="10" t="s">
        <v>1592</v>
      </c>
      <c r="G1371" s="10" t="s">
        <v>26</v>
      </c>
      <c r="H1371" s="10" t="s">
        <v>1593</v>
      </c>
      <c r="I1371" s="10" t="s">
        <v>23</v>
      </c>
      <c r="J1371" s="11">
        <v>0.72</v>
      </c>
      <c r="K1371" s="12"/>
      <c r="L1371" s="12"/>
      <c r="M1371" s="12"/>
      <c r="N1371" s="12"/>
      <c r="O1371" s="12"/>
      <c r="P1371" s="12"/>
      <c r="Q1371" s="12"/>
      <c r="R1371" s="12"/>
      <c r="S1371" s="12"/>
    </row>
    <row r="1372" spans="1:19" ht="14.25" customHeight="1" x14ac:dyDescent="0.2">
      <c r="A1372" s="22" t="s">
        <v>33</v>
      </c>
      <c r="B1372" s="23">
        <v>46093.904328703706</v>
      </c>
      <c r="C1372" s="23">
        <v>46094.002638888887</v>
      </c>
      <c r="D1372" s="24">
        <v>46094</v>
      </c>
      <c r="E1372" s="25">
        <v>2.638888887304347E-3</v>
      </c>
      <c r="F1372" s="22" t="s">
        <v>1594</v>
      </c>
      <c r="G1372" s="22" t="s">
        <v>21</v>
      </c>
      <c r="H1372" s="22" t="s">
        <v>22</v>
      </c>
      <c r="I1372" s="22" t="s">
        <v>583</v>
      </c>
      <c r="J1372" s="26">
        <v>0.83</v>
      </c>
      <c r="K1372" s="26"/>
      <c r="L1372" s="26">
        <f>SUM(J1372:J1393)</f>
        <v>24.73</v>
      </c>
      <c r="M1372" s="13">
        <f>L1372*65</f>
        <v>1607.45</v>
      </c>
      <c r="N1372" s="14">
        <f>MAX(500,M1372)</f>
        <v>1607.45</v>
      </c>
      <c r="O1372" s="26"/>
      <c r="P1372" s="26"/>
      <c r="Q1372" s="26"/>
      <c r="R1372" s="26"/>
      <c r="S1372" s="26"/>
    </row>
    <row r="1373" spans="1:19" ht="14.25" customHeight="1" x14ac:dyDescent="0.2">
      <c r="A1373" s="1" t="s">
        <v>95</v>
      </c>
      <c r="B1373" s="7">
        <v>46093.990671296298</v>
      </c>
      <c r="C1373" s="7">
        <v>46094.003333333334</v>
      </c>
      <c r="D1373" s="8">
        <v>46094</v>
      </c>
      <c r="E1373" s="9">
        <v>3.3333333340124227E-3</v>
      </c>
      <c r="F1373" s="10" t="s">
        <v>1595</v>
      </c>
      <c r="G1373" s="10" t="s">
        <v>21</v>
      </c>
      <c r="H1373" s="10" t="s">
        <v>110</v>
      </c>
      <c r="I1373" s="10" t="s">
        <v>23</v>
      </c>
      <c r="J1373" s="11">
        <v>0.83</v>
      </c>
      <c r="K1373" s="12"/>
      <c r="L1373" s="12"/>
      <c r="M1373" s="12"/>
      <c r="N1373" s="12"/>
      <c r="O1373" s="12"/>
      <c r="P1373" s="12"/>
      <c r="Q1373" s="12"/>
      <c r="R1373" s="12"/>
      <c r="S1373" s="12"/>
    </row>
    <row r="1374" spans="1:19" ht="14.25" customHeight="1" x14ac:dyDescent="0.2">
      <c r="A1374" s="1" t="s">
        <v>95</v>
      </c>
      <c r="B1374" s="7">
        <v>46093.984131944446</v>
      </c>
      <c r="C1374" s="7">
        <v>46094.004340277781</v>
      </c>
      <c r="D1374" s="8">
        <v>46094</v>
      </c>
      <c r="E1374" s="9">
        <v>4.3402777810115367E-3</v>
      </c>
      <c r="F1374" s="10" t="s">
        <v>1596</v>
      </c>
      <c r="G1374" s="10" t="s">
        <v>21</v>
      </c>
      <c r="H1374" s="10" t="s">
        <v>108</v>
      </c>
      <c r="I1374" s="10" t="s">
        <v>23</v>
      </c>
      <c r="J1374" s="11">
        <v>1.7</v>
      </c>
      <c r="K1374" s="12"/>
      <c r="L1374" s="12"/>
      <c r="M1374" s="12"/>
      <c r="N1374" s="12"/>
      <c r="O1374" s="12"/>
      <c r="P1374" s="12"/>
      <c r="Q1374" s="12"/>
      <c r="R1374" s="12"/>
      <c r="S1374" s="12"/>
    </row>
    <row r="1375" spans="1:19" ht="14.25" customHeight="1" x14ac:dyDescent="0.2">
      <c r="A1375" s="1" t="s">
        <v>95</v>
      </c>
      <c r="B1375" s="7">
        <v>46093.983530092592</v>
      </c>
      <c r="C1375" s="7">
        <v>46094.005266203705</v>
      </c>
      <c r="D1375" s="8">
        <v>46094</v>
      </c>
      <c r="E1375" s="9">
        <v>5.2662037051049992E-3</v>
      </c>
      <c r="F1375" s="10" t="s">
        <v>1597</v>
      </c>
      <c r="G1375" s="10" t="s">
        <v>21</v>
      </c>
      <c r="H1375" s="10" t="s">
        <v>268</v>
      </c>
      <c r="I1375" s="10" t="s">
        <v>23</v>
      </c>
      <c r="J1375" s="11">
        <v>1.35</v>
      </c>
      <c r="K1375" s="12"/>
      <c r="L1375" s="12"/>
      <c r="M1375" s="12"/>
      <c r="N1375" s="12"/>
      <c r="O1375" s="12"/>
      <c r="P1375" s="12"/>
      <c r="Q1375" s="12"/>
      <c r="R1375" s="12"/>
      <c r="S1375" s="12"/>
    </row>
    <row r="1376" spans="1:19" ht="14.25" customHeight="1" x14ac:dyDescent="0.2">
      <c r="A1376" s="22" t="s">
        <v>95</v>
      </c>
      <c r="B1376" s="23">
        <v>46093.975451388891</v>
      </c>
      <c r="C1376" s="23">
        <v>46094.008831018517</v>
      </c>
      <c r="D1376" s="24">
        <v>46094</v>
      </c>
      <c r="E1376" s="25">
        <v>8.8310185165028088E-3</v>
      </c>
      <c r="F1376" s="22" t="s">
        <v>1598</v>
      </c>
      <c r="G1376" s="22" t="s">
        <v>21</v>
      </c>
      <c r="H1376" s="22" t="s">
        <v>110</v>
      </c>
      <c r="I1376" s="22" t="s">
        <v>583</v>
      </c>
      <c r="J1376" s="26">
        <v>0.83</v>
      </c>
      <c r="K1376" s="26"/>
      <c r="L1376" s="26"/>
      <c r="M1376" s="26"/>
      <c r="N1376" s="26"/>
      <c r="O1376" s="26"/>
      <c r="P1376" s="26"/>
      <c r="Q1376" s="26"/>
      <c r="R1376" s="26"/>
      <c r="S1376" s="26"/>
    </row>
    <row r="1377" spans="1:19" ht="14.25" customHeight="1" x14ac:dyDescent="0.2">
      <c r="A1377" s="1" t="s">
        <v>95</v>
      </c>
      <c r="B1377" s="7">
        <v>46093.984131944446</v>
      </c>
      <c r="C1377" s="7">
        <v>46094.010925925926</v>
      </c>
      <c r="D1377" s="8">
        <v>46094</v>
      </c>
      <c r="E1377" s="9">
        <v>1.0925925926130731E-2</v>
      </c>
      <c r="F1377" s="10" t="s">
        <v>1599</v>
      </c>
      <c r="G1377" s="10" t="s">
        <v>21</v>
      </c>
      <c r="H1377" s="10" t="s">
        <v>71</v>
      </c>
      <c r="I1377" s="10" t="s">
        <v>23</v>
      </c>
      <c r="J1377" s="11">
        <v>1.05</v>
      </c>
      <c r="K1377" s="12"/>
      <c r="L1377" s="12"/>
      <c r="M1377" s="12"/>
      <c r="N1377" s="12"/>
      <c r="O1377" s="12"/>
      <c r="P1377" s="12"/>
      <c r="Q1377" s="12"/>
      <c r="R1377" s="12"/>
      <c r="S1377" s="12"/>
    </row>
    <row r="1378" spans="1:19" ht="14.25" customHeight="1" x14ac:dyDescent="0.2">
      <c r="A1378" s="1" t="s">
        <v>28</v>
      </c>
      <c r="B1378" s="7">
        <v>46093.999479166669</v>
      </c>
      <c r="C1378" s="7">
        <v>46094.01122685185</v>
      </c>
      <c r="D1378" s="8">
        <v>46094</v>
      </c>
      <c r="E1378" s="9">
        <v>1.1226851849642117E-2</v>
      </c>
      <c r="F1378" s="10" t="s">
        <v>1600</v>
      </c>
      <c r="G1378" s="10" t="s">
        <v>21</v>
      </c>
      <c r="H1378" s="10" t="s">
        <v>54</v>
      </c>
      <c r="I1378" s="10" t="s">
        <v>23</v>
      </c>
      <c r="J1378" s="11">
        <v>0.83</v>
      </c>
      <c r="K1378" s="12"/>
      <c r="L1378" s="12"/>
      <c r="M1378" s="12"/>
      <c r="N1378" s="12"/>
      <c r="O1378" s="12"/>
      <c r="P1378" s="12"/>
      <c r="Q1378" s="12"/>
      <c r="R1378" s="12"/>
      <c r="S1378" s="12"/>
    </row>
    <row r="1379" spans="1:19" ht="14.25" customHeight="1" x14ac:dyDescent="0.2">
      <c r="A1379" s="1" t="s">
        <v>95</v>
      </c>
      <c r="B1379" s="7">
        <v>46093.984201388892</v>
      </c>
      <c r="C1379" s="7">
        <v>46094.011944444443</v>
      </c>
      <c r="D1379" s="8">
        <v>46094</v>
      </c>
      <c r="E1379" s="9">
        <v>1.1944444442633539E-2</v>
      </c>
      <c r="F1379" s="10" t="s">
        <v>1601</v>
      </c>
      <c r="G1379" s="10" t="s">
        <v>26</v>
      </c>
      <c r="H1379" s="10" t="s">
        <v>1602</v>
      </c>
      <c r="I1379" s="10" t="s">
        <v>23</v>
      </c>
      <c r="J1379" s="11">
        <v>0.67</v>
      </c>
      <c r="K1379" s="12"/>
      <c r="L1379" s="12"/>
      <c r="M1379" s="12"/>
      <c r="N1379" s="12"/>
      <c r="O1379" s="12"/>
      <c r="P1379" s="12"/>
      <c r="Q1379" s="12"/>
      <c r="R1379" s="12"/>
      <c r="S1379" s="12"/>
    </row>
    <row r="1380" spans="1:19" ht="14.25" customHeight="1" x14ac:dyDescent="0.2">
      <c r="A1380" s="1" t="s">
        <v>28</v>
      </c>
      <c r="B1380" s="7">
        <v>46093.968842592592</v>
      </c>
      <c r="C1380" s="7">
        <v>46094.012662037036</v>
      </c>
      <c r="D1380" s="8">
        <v>46094</v>
      </c>
      <c r="E1380" s="9">
        <v>1.2662037035624962E-2</v>
      </c>
      <c r="F1380" s="10" t="s">
        <v>1603</v>
      </c>
      <c r="G1380" s="10" t="s">
        <v>26</v>
      </c>
      <c r="H1380" s="10" t="s">
        <v>92</v>
      </c>
      <c r="I1380" s="10" t="s">
        <v>23</v>
      </c>
      <c r="J1380" s="11">
        <v>0.63</v>
      </c>
      <c r="K1380" s="12"/>
      <c r="L1380" s="12"/>
      <c r="M1380" s="12"/>
      <c r="N1380" s="12"/>
      <c r="O1380" s="12"/>
      <c r="P1380" s="12"/>
      <c r="Q1380" s="12"/>
      <c r="R1380" s="12"/>
      <c r="S1380" s="12"/>
    </row>
    <row r="1381" spans="1:19" ht="14.25" customHeight="1" x14ac:dyDescent="0.2">
      <c r="A1381" s="1" t="s">
        <v>19</v>
      </c>
      <c r="B1381" s="7">
        <v>46094.0080787037</v>
      </c>
      <c r="C1381" s="7">
        <v>46094.017916666664</v>
      </c>
      <c r="D1381" s="8">
        <v>46094</v>
      </c>
      <c r="E1381" s="9">
        <v>1.7916666663950309E-2</v>
      </c>
      <c r="F1381" s="10" t="s">
        <v>1604</v>
      </c>
      <c r="G1381" s="10" t="s">
        <v>21</v>
      </c>
      <c r="H1381" s="10" t="s">
        <v>54</v>
      </c>
      <c r="I1381" s="10" t="s">
        <v>23</v>
      </c>
      <c r="J1381" s="11">
        <v>0.83</v>
      </c>
      <c r="K1381" s="12"/>
      <c r="L1381" s="12"/>
      <c r="M1381" s="12"/>
      <c r="N1381" s="12"/>
      <c r="O1381" s="12"/>
      <c r="P1381" s="12"/>
      <c r="Q1381" s="12"/>
      <c r="R1381" s="12"/>
      <c r="S1381" s="12"/>
    </row>
    <row r="1382" spans="1:19" ht="14.25" customHeight="1" x14ac:dyDescent="0.2">
      <c r="A1382" s="1" t="s">
        <v>95</v>
      </c>
      <c r="B1382" s="7">
        <v>46094.007384259261</v>
      </c>
      <c r="C1382" s="7">
        <v>46094.018171296295</v>
      </c>
      <c r="D1382" s="8">
        <v>46094</v>
      </c>
      <c r="E1382" s="9">
        <v>1.8171296294895001E-2</v>
      </c>
      <c r="F1382" s="10" t="s">
        <v>1605</v>
      </c>
      <c r="G1382" s="10" t="s">
        <v>21</v>
      </c>
      <c r="H1382" s="10" t="s">
        <v>110</v>
      </c>
      <c r="I1382" s="10" t="s">
        <v>23</v>
      </c>
      <c r="J1382" s="11">
        <v>0.83</v>
      </c>
      <c r="K1382" s="12"/>
      <c r="L1382" s="12"/>
      <c r="M1382" s="12"/>
      <c r="N1382" s="12"/>
      <c r="O1382" s="12"/>
      <c r="P1382" s="12"/>
      <c r="Q1382" s="12"/>
      <c r="R1382" s="12"/>
      <c r="S1382" s="12"/>
    </row>
    <row r="1383" spans="1:19" ht="14.25" customHeight="1" x14ac:dyDescent="0.2">
      <c r="A1383" s="1" t="s">
        <v>95</v>
      </c>
      <c r="B1383" s="7">
        <v>46094.001631944448</v>
      </c>
      <c r="C1383" s="7">
        <v>46094.018738425926</v>
      </c>
      <c r="D1383" s="8">
        <v>46094</v>
      </c>
      <c r="E1383" s="9">
        <v>1.8738425926130731E-2</v>
      </c>
      <c r="F1383" s="10" t="s">
        <v>1606</v>
      </c>
      <c r="G1383" s="10" t="s">
        <v>21</v>
      </c>
      <c r="H1383" s="10" t="s">
        <v>108</v>
      </c>
      <c r="I1383" s="10" t="s">
        <v>23</v>
      </c>
      <c r="J1383" s="11">
        <v>1.7</v>
      </c>
      <c r="K1383" s="12"/>
      <c r="L1383" s="12"/>
      <c r="M1383" s="12"/>
      <c r="N1383" s="12"/>
      <c r="O1383" s="12"/>
      <c r="P1383" s="12"/>
      <c r="Q1383" s="12"/>
      <c r="R1383" s="12"/>
      <c r="S1383" s="12"/>
    </row>
    <row r="1384" spans="1:19" ht="14.25" customHeight="1" x14ac:dyDescent="0.2">
      <c r="A1384" s="22" t="s">
        <v>24</v>
      </c>
      <c r="B1384" s="23">
        <v>46093.976759259262</v>
      </c>
      <c r="C1384" s="23">
        <v>46094.020821759259</v>
      </c>
      <c r="D1384" s="24">
        <v>46094</v>
      </c>
      <c r="E1384" s="25">
        <v>2.0821759258979E-2</v>
      </c>
      <c r="F1384" s="22" t="s">
        <v>1607</v>
      </c>
      <c r="G1384" s="22" t="s">
        <v>21</v>
      </c>
      <c r="H1384" s="22" t="s">
        <v>22</v>
      </c>
      <c r="I1384" s="22" t="s">
        <v>583</v>
      </c>
      <c r="J1384" s="26">
        <v>0.83</v>
      </c>
      <c r="K1384" s="26"/>
      <c r="L1384" s="26"/>
      <c r="M1384" s="26"/>
      <c r="N1384" s="26"/>
      <c r="O1384" s="26"/>
      <c r="P1384" s="26"/>
      <c r="Q1384" s="26"/>
      <c r="R1384" s="26"/>
      <c r="S1384" s="26"/>
    </row>
    <row r="1385" spans="1:19" ht="14.25" customHeight="1" x14ac:dyDescent="0.2">
      <c r="A1385" s="22" t="s">
        <v>24</v>
      </c>
      <c r="B1385" s="23">
        <v>46093.976759259262</v>
      </c>
      <c r="C1385" s="23">
        <v>46094.020821759259</v>
      </c>
      <c r="D1385" s="24">
        <v>46094</v>
      </c>
      <c r="E1385" s="25">
        <v>2.0821759258979E-2</v>
      </c>
      <c r="F1385" s="22" t="s">
        <v>1608</v>
      </c>
      <c r="G1385" s="22" t="s">
        <v>21</v>
      </c>
      <c r="H1385" s="22" t="s">
        <v>52</v>
      </c>
      <c r="I1385" s="22" t="s">
        <v>583</v>
      </c>
      <c r="J1385" s="26">
        <v>0.98</v>
      </c>
      <c r="K1385" s="26"/>
      <c r="L1385" s="26"/>
      <c r="M1385" s="26"/>
      <c r="N1385" s="26"/>
      <c r="O1385" s="26"/>
      <c r="P1385" s="26"/>
      <c r="Q1385" s="26"/>
      <c r="R1385" s="26"/>
      <c r="S1385" s="26"/>
    </row>
    <row r="1386" spans="1:19" ht="14.25" customHeight="1" x14ac:dyDescent="0.2">
      <c r="A1386" s="1" t="s">
        <v>95</v>
      </c>
      <c r="B1386" s="7">
        <v>46094.009409722225</v>
      </c>
      <c r="C1386" s="7">
        <v>46094.023356481484</v>
      </c>
      <c r="D1386" s="8">
        <v>46094</v>
      </c>
      <c r="E1386" s="9">
        <v>2.3356481484370306E-2</v>
      </c>
      <c r="F1386" s="10" t="s">
        <v>1609</v>
      </c>
      <c r="G1386" s="10" t="s">
        <v>21</v>
      </c>
      <c r="H1386" s="10" t="s">
        <v>1610</v>
      </c>
      <c r="I1386" s="10" t="s">
        <v>23</v>
      </c>
      <c r="J1386" s="11">
        <v>0.83</v>
      </c>
      <c r="K1386" s="12"/>
      <c r="L1386" s="12"/>
      <c r="M1386" s="12"/>
      <c r="N1386" s="12"/>
      <c r="O1386" s="12"/>
      <c r="P1386" s="12"/>
      <c r="Q1386" s="12"/>
      <c r="R1386" s="12"/>
      <c r="S1386" s="12"/>
    </row>
    <row r="1387" spans="1:19" ht="14.25" customHeight="1" x14ac:dyDescent="0.2">
      <c r="A1387" s="1" t="s">
        <v>42</v>
      </c>
      <c r="B1387" s="7">
        <v>46094.000057870369</v>
      </c>
      <c r="C1387" s="7">
        <v>46094.027291666665</v>
      </c>
      <c r="D1387" s="8">
        <v>46094</v>
      </c>
      <c r="E1387" s="9">
        <v>2.7291666665405501E-2</v>
      </c>
      <c r="F1387" s="10" t="s">
        <v>1611</v>
      </c>
      <c r="G1387" s="10" t="s">
        <v>26</v>
      </c>
      <c r="H1387" s="10" t="s">
        <v>76</v>
      </c>
      <c r="I1387" s="10" t="s">
        <v>23</v>
      </c>
      <c r="J1387" s="11">
        <v>0.75</v>
      </c>
      <c r="K1387" s="12"/>
      <c r="L1387" s="12"/>
      <c r="M1387" s="12"/>
      <c r="N1387" s="12"/>
      <c r="O1387" s="12"/>
      <c r="P1387" s="12"/>
      <c r="Q1387" s="12"/>
      <c r="R1387" s="12"/>
      <c r="S1387" s="12"/>
    </row>
    <row r="1388" spans="1:19" ht="14.25" customHeight="1" x14ac:dyDescent="0.2">
      <c r="A1388" s="22" t="s">
        <v>24</v>
      </c>
      <c r="B1388" s="23">
        <v>46094.005879629629</v>
      </c>
      <c r="C1388" s="23">
        <v>46094.02952546296</v>
      </c>
      <c r="D1388" s="24">
        <v>46094</v>
      </c>
      <c r="E1388" s="25">
        <v>2.9525462960009463E-2</v>
      </c>
      <c r="F1388" s="22" t="s">
        <v>1612</v>
      </c>
      <c r="G1388" s="22" t="s">
        <v>21</v>
      </c>
      <c r="H1388" s="22" t="s">
        <v>39</v>
      </c>
      <c r="I1388" s="22" t="s">
        <v>583</v>
      </c>
      <c r="J1388" s="26">
        <v>1.77</v>
      </c>
      <c r="K1388" s="26"/>
      <c r="L1388" s="26"/>
      <c r="M1388" s="26"/>
      <c r="N1388" s="26"/>
      <c r="O1388" s="26"/>
      <c r="P1388" s="26"/>
      <c r="Q1388" s="26"/>
      <c r="R1388" s="26"/>
      <c r="S1388" s="26"/>
    </row>
    <row r="1389" spans="1:19" ht="14.25" customHeight="1" x14ac:dyDescent="0.2">
      <c r="A1389" s="1" t="s">
        <v>24</v>
      </c>
      <c r="B1389" s="7">
        <v>46094.006099537037</v>
      </c>
      <c r="C1389" s="7">
        <v>46094.033217592594</v>
      </c>
      <c r="D1389" s="8">
        <v>46094</v>
      </c>
      <c r="E1389" s="9">
        <v>3.3217592594155576E-2</v>
      </c>
      <c r="F1389" s="10" t="s">
        <v>1613</v>
      </c>
      <c r="G1389" s="10" t="s">
        <v>26</v>
      </c>
      <c r="H1389" s="10" t="s">
        <v>1614</v>
      </c>
      <c r="I1389" s="10" t="s">
        <v>23</v>
      </c>
      <c r="J1389" s="11">
        <v>0.62</v>
      </c>
      <c r="K1389" s="12"/>
      <c r="L1389" s="12"/>
      <c r="M1389" s="12"/>
      <c r="N1389" s="12"/>
      <c r="O1389" s="12"/>
      <c r="P1389" s="12"/>
      <c r="Q1389" s="12"/>
      <c r="R1389" s="12"/>
      <c r="S1389" s="12"/>
    </row>
    <row r="1390" spans="1:19" ht="14.25" customHeight="1" x14ac:dyDescent="0.2">
      <c r="A1390" s="1" t="s">
        <v>95</v>
      </c>
      <c r="B1390" s="7">
        <v>46094.025902777779</v>
      </c>
      <c r="C1390" s="7">
        <v>46094.036620370367</v>
      </c>
      <c r="D1390" s="8">
        <v>46094</v>
      </c>
      <c r="E1390" s="9">
        <v>3.662037036701804E-2</v>
      </c>
      <c r="F1390" s="10" t="s">
        <v>1615</v>
      </c>
      <c r="G1390" s="10" t="s">
        <v>21</v>
      </c>
      <c r="H1390" s="10" t="s">
        <v>97</v>
      </c>
      <c r="I1390" s="10" t="s">
        <v>23</v>
      </c>
      <c r="J1390" s="11">
        <v>1.77</v>
      </c>
      <c r="K1390" s="12"/>
      <c r="L1390" s="12"/>
      <c r="M1390" s="12"/>
      <c r="N1390" s="12"/>
      <c r="O1390" s="12"/>
      <c r="P1390" s="12"/>
      <c r="Q1390" s="12"/>
      <c r="R1390" s="12"/>
      <c r="S1390" s="12"/>
    </row>
    <row r="1391" spans="1:19" ht="14.25" customHeight="1" x14ac:dyDescent="0.2">
      <c r="A1391" s="1" t="s">
        <v>28</v>
      </c>
      <c r="B1391" s="7">
        <v>46094.001307870371</v>
      </c>
      <c r="C1391" s="7">
        <v>46094.039085648146</v>
      </c>
      <c r="D1391" s="8">
        <v>46094</v>
      </c>
      <c r="E1391" s="9">
        <v>3.9085648146283347E-2</v>
      </c>
      <c r="F1391" s="10" t="s">
        <v>1616</v>
      </c>
      <c r="G1391" s="10" t="s">
        <v>21</v>
      </c>
      <c r="H1391" s="10" t="s">
        <v>35</v>
      </c>
      <c r="I1391" s="10" t="s">
        <v>23</v>
      </c>
      <c r="J1391" s="11">
        <v>2.5</v>
      </c>
      <c r="K1391" s="12"/>
      <c r="L1391" s="12"/>
      <c r="M1391" s="12"/>
      <c r="N1391" s="12"/>
      <c r="O1391" s="12"/>
      <c r="P1391" s="12"/>
      <c r="Q1391" s="12"/>
      <c r="R1391" s="12"/>
      <c r="S1391" s="12"/>
    </row>
    <row r="1392" spans="1:19" ht="14.25" customHeight="1" x14ac:dyDescent="0.2">
      <c r="A1392" s="1" t="s">
        <v>33</v>
      </c>
      <c r="B1392" s="7">
        <v>46094.020937499998</v>
      </c>
      <c r="C1392" s="7">
        <v>46094.039768518516</v>
      </c>
      <c r="D1392" s="8">
        <v>46094</v>
      </c>
      <c r="E1392" s="9">
        <v>3.976851851621177E-2</v>
      </c>
      <c r="F1392" s="10" t="s">
        <v>1617</v>
      </c>
      <c r="G1392" s="10" t="s">
        <v>21</v>
      </c>
      <c r="H1392" s="10" t="s">
        <v>22</v>
      </c>
      <c r="I1392" s="10" t="s">
        <v>23</v>
      </c>
      <c r="J1392" s="11">
        <v>0.83</v>
      </c>
      <c r="K1392" s="12"/>
      <c r="L1392" s="12"/>
      <c r="M1392" s="12"/>
      <c r="N1392" s="12"/>
      <c r="O1392" s="12"/>
      <c r="P1392" s="12"/>
      <c r="Q1392" s="12"/>
      <c r="R1392" s="12"/>
      <c r="S1392" s="12"/>
    </row>
    <row r="1393" spans="1:19" ht="14.25" customHeight="1" x14ac:dyDescent="0.2">
      <c r="A1393" s="1" t="s">
        <v>28</v>
      </c>
      <c r="B1393" s="7">
        <v>46094.022800925923</v>
      </c>
      <c r="C1393" s="7">
        <v>46094.041145833333</v>
      </c>
      <c r="D1393" s="8">
        <v>46094</v>
      </c>
      <c r="E1393" s="9">
        <v>4.1145833332848269E-2</v>
      </c>
      <c r="F1393" s="10" t="s">
        <v>1618</v>
      </c>
      <c r="G1393" s="10" t="s">
        <v>21</v>
      </c>
      <c r="H1393" s="10" t="s">
        <v>41</v>
      </c>
      <c r="I1393" s="10" t="s">
        <v>23</v>
      </c>
      <c r="J1393" s="11">
        <v>1.77</v>
      </c>
      <c r="K1393" s="12"/>
      <c r="L1393" s="12"/>
      <c r="M1393" s="12"/>
      <c r="N1393" s="12"/>
      <c r="O1393" s="12"/>
      <c r="P1393" s="12"/>
      <c r="Q1393" s="12"/>
      <c r="R1393" s="12"/>
      <c r="S1393" s="12"/>
    </row>
    <row r="1394" spans="1:19" ht="14.25" customHeight="1" x14ac:dyDescent="0.2">
      <c r="A1394" s="1" t="s">
        <v>33</v>
      </c>
      <c r="B1394" s="7">
        <v>46094.020937499998</v>
      </c>
      <c r="C1394" s="7">
        <v>46094.041724537034</v>
      </c>
      <c r="D1394" s="8">
        <v>46094</v>
      </c>
      <c r="E1394" s="9">
        <v>4.1724537033587694E-2</v>
      </c>
      <c r="F1394" s="10" t="s">
        <v>1619</v>
      </c>
      <c r="G1394" s="10" t="s">
        <v>21</v>
      </c>
      <c r="H1394" s="10" t="s">
        <v>71</v>
      </c>
      <c r="I1394" s="10" t="s">
        <v>23</v>
      </c>
      <c r="J1394" s="11">
        <v>1.05</v>
      </c>
      <c r="K1394" s="12"/>
      <c r="L1394" s="12">
        <f>SUM(J1394:J1406)</f>
        <v>17.39</v>
      </c>
      <c r="M1394" s="13">
        <f>L1394*65</f>
        <v>1130.3500000000001</v>
      </c>
      <c r="N1394" s="14">
        <f>MAX(500,M1394)</f>
        <v>1130.3500000000001</v>
      </c>
      <c r="O1394" s="12"/>
      <c r="P1394" s="12"/>
      <c r="Q1394" s="12"/>
      <c r="R1394" s="12"/>
      <c r="S1394" s="12"/>
    </row>
    <row r="1395" spans="1:19" ht="14.25" customHeight="1" x14ac:dyDescent="0.2">
      <c r="A1395" s="22" t="s">
        <v>24</v>
      </c>
      <c r="B1395" s="23">
        <v>46093.904814814814</v>
      </c>
      <c r="C1395" s="23">
        <v>46094.042800925927</v>
      </c>
      <c r="D1395" s="24">
        <v>46094</v>
      </c>
      <c r="E1395" s="25">
        <v>4.2800925926712807E-2</v>
      </c>
      <c r="F1395" s="22" t="s">
        <v>1620</v>
      </c>
      <c r="G1395" s="22" t="s">
        <v>21</v>
      </c>
      <c r="H1395" s="22" t="s">
        <v>523</v>
      </c>
      <c r="I1395" s="22" t="s">
        <v>583</v>
      </c>
      <c r="J1395" s="26">
        <v>1.96</v>
      </c>
      <c r="K1395" s="26"/>
      <c r="L1395" s="26"/>
      <c r="M1395" s="26"/>
      <c r="N1395" s="26"/>
      <c r="O1395" s="26"/>
      <c r="P1395" s="26"/>
      <c r="Q1395" s="26"/>
      <c r="R1395" s="26"/>
      <c r="S1395" s="26"/>
    </row>
    <row r="1396" spans="1:19" ht="14.25" customHeight="1" x14ac:dyDescent="0.2">
      <c r="A1396" s="1" t="s">
        <v>33</v>
      </c>
      <c r="B1396" s="7">
        <v>46094.03670138889</v>
      </c>
      <c r="C1396" s="7">
        <v>46094.044803240744</v>
      </c>
      <c r="D1396" s="8">
        <v>46094</v>
      </c>
      <c r="E1396" s="9">
        <v>4.4803240743931383E-2</v>
      </c>
      <c r="F1396" s="10" t="s">
        <v>1621</v>
      </c>
      <c r="G1396" s="10" t="s">
        <v>21</v>
      </c>
      <c r="H1396" s="10" t="s">
        <v>22</v>
      </c>
      <c r="I1396" s="10" t="s">
        <v>23</v>
      </c>
      <c r="J1396" s="11">
        <v>0.83</v>
      </c>
      <c r="K1396" s="12"/>
      <c r="L1396" s="12"/>
      <c r="M1396" s="12"/>
      <c r="N1396" s="12"/>
      <c r="O1396" s="12"/>
      <c r="P1396" s="12"/>
      <c r="Q1396" s="12"/>
      <c r="R1396" s="12"/>
      <c r="S1396" s="12"/>
    </row>
    <row r="1397" spans="1:19" ht="14.25" customHeight="1" x14ac:dyDescent="0.2">
      <c r="A1397" s="1" t="s">
        <v>42</v>
      </c>
      <c r="B1397" s="7">
        <v>46094.013611111113</v>
      </c>
      <c r="C1397" s="7">
        <v>46094.049050925925</v>
      </c>
      <c r="D1397" s="8">
        <v>46094</v>
      </c>
      <c r="E1397" s="9">
        <v>4.9050925925257616E-2</v>
      </c>
      <c r="F1397" s="10" t="s">
        <v>1622</v>
      </c>
      <c r="G1397" s="10" t="s">
        <v>26</v>
      </c>
      <c r="H1397" s="10" t="s">
        <v>56</v>
      </c>
      <c r="I1397" s="10" t="s">
        <v>23</v>
      </c>
      <c r="J1397" s="11">
        <v>0.73</v>
      </c>
      <c r="K1397" s="12"/>
      <c r="L1397" s="12"/>
      <c r="M1397" s="12"/>
      <c r="N1397" s="12"/>
      <c r="O1397" s="12"/>
      <c r="P1397" s="12"/>
      <c r="Q1397" s="12"/>
      <c r="R1397" s="12"/>
      <c r="S1397" s="12"/>
    </row>
    <row r="1398" spans="1:19" ht="14.25" customHeight="1" x14ac:dyDescent="0.2">
      <c r="A1398" s="1" t="s">
        <v>112</v>
      </c>
      <c r="B1398" s="7">
        <v>46094.041620370372</v>
      </c>
      <c r="C1398" s="7">
        <v>46094.049768518518</v>
      </c>
      <c r="D1398" s="8">
        <v>46094</v>
      </c>
      <c r="E1398" s="9">
        <v>4.9768518518249039E-2</v>
      </c>
      <c r="F1398" s="10" t="s">
        <v>1623</v>
      </c>
      <c r="G1398" s="10" t="s">
        <v>21</v>
      </c>
      <c r="H1398" s="10" t="s">
        <v>114</v>
      </c>
      <c r="I1398" s="10" t="s">
        <v>23</v>
      </c>
      <c r="J1398" s="11">
        <v>1.7</v>
      </c>
      <c r="K1398" s="12"/>
      <c r="L1398" s="12"/>
      <c r="M1398" s="12"/>
      <c r="N1398" s="12"/>
      <c r="O1398" s="12"/>
      <c r="P1398" s="12"/>
      <c r="Q1398" s="12"/>
      <c r="R1398" s="12"/>
      <c r="S1398" s="12"/>
    </row>
    <row r="1399" spans="1:19" ht="14.25" customHeight="1" x14ac:dyDescent="0.2">
      <c r="A1399" s="1" t="s">
        <v>112</v>
      </c>
      <c r="B1399" s="7">
        <v>46094.041620370372</v>
      </c>
      <c r="C1399" s="7">
        <v>46094.052511574075</v>
      </c>
      <c r="D1399" s="8">
        <v>46094</v>
      </c>
      <c r="E1399" s="9">
        <v>5.2511574074742384E-2</v>
      </c>
      <c r="F1399" s="10" t="s">
        <v>1624</v>
      </c>
      <c r="G1399" s="10" t="s">
        <v>21</v>
      </c>
      <c r="H1399" s="10" t="s">
        <v>123</v>
      </c>
      <c r="I1399" s="10" t="s">
        <v>23</v>
      </c>
      <c r="J1399" s="11">
        <v>1.05</v>
      </c>
      <c r="K1399" s="12"/>
      <c r="L1399" s="12"/>
      <c r="M1399" s="12"/>
      <c r="N1399" s="12"/>
      <c r="O1399" s="12"/>
      <c r="P1399" s="12"/>
      <c r="Q1399" s="12"/>
      <c r="R1399" s="12"/>
      <c r="S1399" s="12"/>
    </row>
    <row r="1400" spans="1:19" ht="14.25" customHeight="1" x14ac:dyDescent="0.2">
      <c r="A1400" s="1" t="s">
        <v>19</v>
      </c>
      <c r="B1400" s="7">
        <v>46094.046296296299</v>
      </c>
      <c r="C1400" s="7">
        <v>46094.058206018519</v>
      </c>
      <c r="D1400" s="8">
        <v>46094</v>
      </c>
      <c r="E1400" s="9">
        <v>5.8206018518831115E-2</v>
      </c>
      <c r="F1400" s="10" t="s">
        <v>1625</v>
      </c>
      <c r="G1400" s="10" t="s">
        <v>21</v>
      </c>
      <c r="H1400" s="10" t="s">
        <v>41</v>
      </c>
      <c r="I1400" s="10" t="s">
        <v>23</v>
      </c>
      <c r="J1400" s="11">
        <v>1.77</v>
      </c>
      <c r="K1400" s="12"/>
      <c r="L1400" s="12"/>
      <c r="M1400" s="12"/>
      <c r="N1400" s="12"/>
      <c r="O1400" s="12"/>
      <c r="P1400" s="12"/>
      <c r="Q1400" s="12"/>
      <c r="R1400" s="12"/>
      <c r="S1400" s="12"/>
    </row>
    <row r="1401" spans="1:19" ht="14.25" customHeight="1" x14ac:dyDescent="0.2">
      <c r="A1401" s="1" t="s">
        <v>95</v>
      </c>
      <c r="B1401" s="7">
        <v>46094.034710648149</v>
      </c>
      <c r="C1401" s="7">
        <v>46094.069085648145</v>
      </c>
      <c r="D1401" s="8">
        <v>46094</v>
      </c>
      <c r="E1401" s="9">
        <v>6.9085648145119194E-2</v>
      </c>
      <c r="F1401" s="10" t="s">
        <v>1626</v>
      </c>
      <c r="G1401" s="10" t="s">
        <v>21</v>
      </c>
      <c r="H1401" s="10" t="s">
        <v>52</v>
      </c>
      <c r="I1401" s="10" t="s">
        <v>23</v>
      </c>
      <c r="J1401" s="11">
        <v>0.98</v>
      </c>
      <c r="K1401" s="12"/>
      <c r="L1401" s="12"/>
      <c r="M1401" s="12"/>
      <c r="N1401" s="12"/>
      <c r="O1401" s="12"/>
      <c r="P1401" s="12"/>
      <c r="Q1401" s="12"/>
      <c r="R1401" s="12"/>
      <c r="S1401" s="12"/>
    </row>
    <row r="1402" spans="1:19" ht="14.25" customHeight="1" x14ac:dyDescent="0.2">
      <c r="A1402" s="1" t="s">
        <v>46</v>
      </c>
      <c r="B1402" s="7">
        <v>46094.055</v>
      </c>
      <c r="C1402" s="7">
        <v>46094.06958333333</v>
      </c>
      <c r="D1402" s="8">
        <v>46094</v>
      </c>
      <c r="E1402" s="9">
        <v>6.9583333330228925E-2</v>
      </c>
      <c r="F1402" s="10" t="s">
        <v>1627</v>
      </c>
      <c r="G1402" s="10" t="s">
        <v>21</v>
      </c>
      <c r="H1402" s="10" t="s">
        <v>71</v>
      </c>
      <c r="I1402" s="10" t="s">
        <v>23</v>
      </c>
      <c r="J1402" s="11">
        <v>1.05</v>
      </c>
      <c r="K1402" s="12"/>
      <c r="L1402" s="12"/>
      <c r="M1402" s="12"/>
      <c r="N1402" s="12"/>
      <c r="O1402" s="12"/>
      <c r="P1402" s="12"/>
      <c r="Q1402" s="12"/>
      <c r="R1402" s="12"/>
      <c r="S1402" s="12"/>
    </row>
    <row r="1403" spans="1:19" ht="14.25" customHeight="1" x14ac:dyDescent="0.2">
      <c r="A1403" s="1" t="s">
        <v>95</v>
      </c>
      <c r="B1403" s="7">
        <v>46094.060925925929</v>
      </c>
      <c r="C1403" s="7">
        <v>46094.070011574076</v>
      </c>
      <c r="D1403" s="8">
        <v>46094</v>
      </c>
      <c r="E1403" s="9">
        <v>7.0011574076488614E-2</v>
      </c>
      <c r="F1403" s="10" t="s">
        <v>1628</v>
      </c>
      <c r="G1403" s="10" t="s">
        <v>21</v>
      </c>
      <c r="H1403" s="10" t="s">
        <v>97</v>
      </c>
      <c r="I1403" s="10" t="s">
        <v>23</v>
      </c>
      <c r="J1403" s="11">
        <v>1.77</v>
      </c>
      <c r="K1403" s="12"/>
      <c r="L1403" s="12"/>
      <c r="M1403" s="12"/>
      <c r="N1403" s="12"/>
      <c r="O1403" s="12"/>
      <c r="P1403" s="12"/>
      <c r="Q1403" s="12"/>
      <c r="R1403" s="12"/>
      <c r="S1403" s="12"/>
    </row>
    <row r="1404" spans="1:19" ht="14.25" customHeight="1" x14ac:dyDescent="0.2">
      <c r="A1404" s="1" t="s">
        <v>95</v>
      </c>
      <c r="B1404" s="7">
        <v>46094.034710648149</v>
      </c>
      <c r="C1404" s="7">
        <v>46094.070972222224</v>
      </c>
      <c r="D1404" s="8">
        <v>46094</v>
      </c>
      <c r="E1404" s="9">
        <v>7.0972222223645076E-2</v>
      </c>
      <c r="F1404" s="10" t="s">
        <v>1629</v>
      </c>
      <c r="G1404" s="10" t="s">
        <v>21</v>
      </c>
      <c r="H1404" s="10" t="s">
        <v>1630</v>
      </c>
      <c r="I1404" s="10" t="s">
        <v>23</v>
      </c>
      <c r="J1404" s="11">
        <v>1.82</v>
      </c>
      <c r="K1404" s="12"/>
      <c r="L1404" s="12"/>
      <c r="M1404" s="12"/>
      <c r="N1404" s="12"/>
      <c r="O1404" s="12"/>
      <c r="P1404" s="12"/>
      <c r="Q1404" s="12"/>
      <c r="R1404" s="12"/>
      <c r="S1404" s="12"/>
    </row>
    <row r="1405" spans="1:19" ht="14.25" customHeight="1" x14ac:dyDescent="0.2">
      <c r="A1405" s="1" t="s">
        <v>24</v>
      </c>
      <c r="B1405" s="7">
        <v>46094.064131944448</v>
      </c>
      <c r="C1405" s="7">
        <v>46094.078356481485</v>
      </c>
      <c r="D1405" s="8">
        <v>46094</v>
      </c>
      <c r="E1405" s="9">
        <v>7.8356481484661344E-2</v>
      </c>
      <c r="F1405" s="10" t="s">
        <v>1631</v>
      </c>
      <c r="G1405" s="10" t="s">
        <v>21</v>
      </c>
      <c r="H1405" s="10" t="s">
        <v>101</v>
      </c>
      <c r="I1405" s="10" t="s">
        <v>23</v>
      </c>
      <c r="J1405" s="11">
        <v>1.7</v>
      </c>
      <c r="K1405" s="12"/>
      <c r="L1405" s="12"/>
      <c r="M1405" s="12"/>
      <c r="N1405" s="12"/>
      <c r="O1405" s="12"/>
      <c r="P1405" s="12"/>
      <c r="Q1405" s="12"/>
      <c r="R1405" s="12"/>
      <c r="S1405" s="12"/>
    </row>
    <row r="1406" spans="1:19" ht="14.25" customHeight="1" x14ac:dyDescent="0.2">
      <c r="A1406" s="1" t="s">
        <v>24</v>
      </c>
      <c r="B1406" s="7">
        <v>46094.058958333335</v>
      </c>
      <c r="C1406" s="7">
        <v>46094.080891203703</v>
      </c>
      <c r="D1406" s="8">
        <v>46094</v>
      </c>
      <c r="E1406" s="9">
        <v>8.0891203702776693E-2</v>
      </c>
      <c r="F1406" s="10" t="s">
        <v>1632</v>
      </c>
      <c r="G1406" s="10" t="s">
        <v>21</v>
      </c>
      <c r="H1406" s="10" t="s">
        <v>464</v>
      </c>
      <c r="I1406" s="10" t="s">
        <v>23</v>
      </c>
      <c r="J1406" s="11">
        <v>0.98</v>
      </c>
      <c r="K1406" s="12"/>
      <c r="L1406" s="12"/>
      <c r="M1406" s="12"/>
      <c r="N1406" s="12"/>
      <c r="O1406" s="12"/>
      <c r="P1406" s="12"/>
      <c r="Q1406" s="12"/>
      <c r="R1406" s="12"/>
      <c r="S1406" s="12"/>
    </row>
    <row r="1407" spans="1:19" ht="14.25" customHeight="1" x14ac:dyDescent="0.2">
      <c r="A1407" s="1" t="s">
        <v>19</v>
      </c>
      <c r="B1407" s="7">
        <v>46094.058969907404</v>
      </c>
      <c r="C1407" s="7">
        <v>46094.097557870373</v>
      </c>
      <c r="D1407" s="8">
        <v>46094</v>
      </c>
      <c r="E1407" s="9">
        <v>9.7557870372838806E-2</v>
      </c>
      <c r="F1407" s="10" t="s">
        <v>1633</v>
      </c>
      <c r="G1407" s="10" t="s">
        <v>21</v>
      </c>
      <c r="H1407" s="10" t="s">
        <v>281</v>
      </c>
      <c r="I1407" s="10" t="s">
        <v>23</v>
      </c>
      <c r="J1407" s="11">
        <v>2.5</v>
      </c>
      <c r="K1407" s="12"/>
      <c r="L1407" s="12">
        <f>SUM(J1407:J1416)</f>
        <v>15.6</v>
      </c>
      <c r="M1407" s="13">
        <f>L1407*65</f>
        <v>1014</v>
      </c>
      <c r="N1407" s="14">
        <f>MAX(500,M1407)</f>
        <v>1014</v>
      </c>
      <c r="O1407" s="12"/>
      <c r="P1407" s="12"/>
      <c r="Q1407" s="12"/>
      <c r="R1407" s="12"/>
      <c r="S1407" s="12"/>
    </row>
    <row r="1408" spans="1:19" ht="14.25" customHeight="1" x14ac:dyDescent="0.2">
      <c r="A1408" s="1" t="s">
        <v>95</v>
      </c>
      <c r="B1408" s="7">
        <v>46094.060833333337</v>
      </c>
      <c r="C1408" s="7">
        <v>46094.101087962961</v>
      </c>
      <c r="D1408" s="8">
        <v>46094</v>
      </c>
      <c r="E1408" s="9">
        <v>0.10108796296117362</v>
      </c>
      <c r="F1408" s="10" t="s">
        <v>1634</v>
      </c>
      <c r="G1408" s="10" t="s">
        <v>180</v>
      </c>
      <c r="H1408" s="10" t="s">
        <v>1635</v>
      </c>
      <c r="I1408" s="10" t="s">
        <v>23</v>
      </c>
      <c r="J1408" s="11">
        <v>2.1</v>
      </c>
      <c r="K1408" s="12"/>
      <c r="L1408" s="12"/>
      <c r="M1408" s="12"/>
      <c r="N1408" s="12"/>
      <c r="O1408" s="12"/>
      <c r="P1408" s="12"/>
      <c r="Q1408" s="12"/>
      <c r="R1408" s="12"/>
      <c r="S1408" s="12"/>
    </row>
    <row r="1409" spans="1:19" ht="14.25" customHeight="1" x14ac:dyDescent="0.2">
      <c r="A1409" s="1" t="s">
        <v>33</v>
      </c>
      <c r="B1409" s="7">
        <v>46094.087407407409</v>
      </c>
      <c r="C1409" s="7">
        <v>46094.101388888892</v>
      </c>
      <c r="D1409" s="8">
        <v>46094</v>
      </c>
      <c r="E1409" s="9">
        <v>0.10138888889196096</v>
      </c>
      <c r="F1409" s="10" t="s">
        <v>1636</v>
      </c>
      <c r="G1409" s="10" t="s">
        <v>21</v>
      </c>
      <c r="H1409" s="10" t="s">
        <v>22</v>
      </c>
      <c r="I1409" s="10" t="s">
        <v>23</v>
      </c>
      <c r="J1409" s="11">
        <v>0.83</v>
      </c>
      <c r="K1409" s="12"/>
      <c r="L1409" s="12"/>
      <c r="M1409" s="12"/>
      <c r="N1409" s="12"/>
      <c r="O1409" s="12"/>
      <c r="P1409" s="12"/>
      <c r="Q1409" s="12"/>
      <c r="R1409" s="12"/>
      <c r="S1409" s="12"/>
    </row>
    <row r="1410" spans="1:19" ht="14.25" customHeight="1" x14ac:dyDescent="0.2">
      <c r="A1410" s="1" t="s">
        <v>33</v>
      </c>
      <c r="B1410" s="7">
        <v>46094.087407407409</v>
      </c>
      <c r="C1410" s="7">
        <v>46094.101678240739</v>
      </c>
      <c r="D1410" s="8">
        <v>46094</v>
      </c>
      <c r="E1410" s="9">
        <v>0.10167824073869269</v>
      </c>
      <c r="F1410" s="10" t="s">
        <v>1637</v>
      </c>
      <c r="G1410" s="10" t="s">
        <v>21</v>
      </c>
      <c r="H1410" s="10" t="s">
        <v>142</v>
      </c>
      <c r="I1410" s="10" t="s">
        <v>23</v>
      </c>
      <c r="J1410" s="11">
        <v>0.83</v>
      </c>
      <c r="K1410" s="12"/>
      <c r="L1410" s="12"/>
      <c r="M1410" s="12"/>
      <c r="N1410" s="12"/>
      <c r="O1410" s="12"/>
      <c r="P1410" s="12"/>
      <c r="Q1410" s="12"/>
      <c r="R1410" s="12"/>
      <c r="S1410" s="12"/>
    </row>
    <row r="1411" spans="1:19" ht="14.25" customHeight="1" x14ac:dyDescent="0.2">
      <c r="A1411" s="1" t="s">
        <v>95</v>
      </c>
      <c r="B1411" s="7">
        <v>46094.087592592594</v>
      </c>
      <c r="C1411" s="7">
        <v>46094.10229166667</v>
      </c>
      <c r="D1411" s="8">
        <v>46094</v>
      </c>
      <c r="E1411" s="9">
        <v>0.10229166666977108</v>
      </c>
      <c r="F1411" s="10" t="s">
        <v>1638</v>
      </c>
      <c r="G1411" s="10" t="s">
        <v>21</v>
      </c>
      <c r="H1411" s="10" t="s">
        <v>1382</v>
      </c>
      <c r="I1411" s="10" t="s">
        <v>23</v>
      </c>
      <c r="J1411" s="11">
        <v>1.77</v>
      </c>
      <c r="K1411" s="12"/>
      <c r="L1411" s="12"/>
      <c r="M1411" s="12"/>
      <c r="N1411" s="12"/>
      <c r="O1411" s="12"/>
      <c r="P1411" s="12"/>
      <c r="Q1411" s="12"/>
      <c r="R1411" s="12"/>
      <c r="S1411" s="12"/>
    </row>
    <row r="1412" spans="1:19" ht="14.25" customHeight="1" x14ac:dyDescent="0.2">
      <c r="A1412" s="1" t="s">
        <v>95</v>
      </c>
      <c r="B1412" s="7">
        <v>46094.060833333337</v>
      </c>
      <c r="C1412" s="7">
        <v>46094.102638888886</v>
      </c>
      <c r="D1412" s="8">
        <v>46094</v>
      </c>
      <c r="E1412" s="9">
        <v>0.10263888888584916</v>
      </c>
      <c r="F1412" s="10" t="s">
        <v>1639</v>
      </c>
      <c r="G1412" s="10" t="s">
        <v>180</v>
      </c>
      <c r="H1412" s="10" t="s">
        <v>1640</v>
      </c>
      <c r="I1412" s="10" t="s">
        <v>23</v>
      </c>
      <c r="J1412" s="11">
        <v>2.1</v>
      </c>
      <c r="K1412" s="12"/>
      <c r="L1412" s="12"/>
      <c r="M1412" s="12"/>
      <c r="N1412" s="12"/>
      <c r="O1412" s="12"/>
      <c r="P1412" s="12"/>
      <c r="Q1412" s="12"/>
      <c r="R1412" s="12"/>
      <c r="S1412" s="12"/>
    </row>
    <row r="1413" spans="1:19" ht="14.25" customHeight="1" x14ac:dyDescent="0.2">
      <c r="A1413" s="1" t="s">
        <v>95</v>
      </c>
      <c r="B1413" s="7">
        <v>46094.060833333337</v>
      </c>
      <c r="C1413" s="7">
        <v>46094.106365740743</v>
      </c>
      <c r="D1413" s="8">
        <v>46094</v>
      </c>
      <c r="E1413" s="9">
        <v>0.10636574074305827</v>
      </c>
      <c r="F1413" s="10" t="s">
        <v>1641</v>
      </c>
      <c r="G1413" s="10" t="s">
        <v>180</v>
      </c>
      <c r="H1413" s="10" t="s">
        <v>181</v>
      </c>
      <c r="I1413" s="10" t="s">
        <v>23</v>
      </c>
      <c r="J1413" s="11">
        <v>2.23</v>
      </c>
      <c r="K1413" s="12"/>
      <c r="L1413" s="12"/>
      <c r="M1413" s="12"/>
      <c r="N1413" s="12"/>
      <c r="O1413" s="12"/>
      <c r="P1413" s="12"/>
      <c r="Q1413" s="12"/>
      <c r="R1413" s="12"/>
      <c r="S1413" s="12"/>
    </row>
    <row r="1414" spans="1:19" ht="14.25" customHeight="1" x14ac:dyDescent="0.2">
      <c r="A1414" s="1" t="s">
        <v>95</v>
      </c>
      <c r="B1414" s="7">
        <v>46094.060833333337</v>
      </c>
      <c r="C1414" s="7">
        <v>46094.10837962963</v>
      </c>
      <c r="D1414" s="8">
        <v>46094</v>
      </c>
      <c r="E1414" s="9">
        <v>0.10837962962978054</v>
      </c>
      <c r="F1414" s="10" t="s">
        <v>1642</v>
      </c>
      <c r="G1414" s="10" t="s">
        <v>180</v>
      </c>
      <c r="H1414" s="10" t="s">
        <v>1643</v>
      </c>
      <c r="I1414" s="10" t="s">
        <v>23</v>
      </c>
      <c r="J1414" s="11">
        <v>2.23</v>
      </c>
      <c r="K1414" s="12"/>
      <c r="L1414" s="12"/>
      <c r="M1414" s="12"/>
      <c r="N1414" s="12"/>
      <c r="O1414" s="12"/>
      <c r="P1414" s="12"/>
      <c r="Q1414" s="12"/>
      <c r="R1414" s="12"/>
      <c r="S1414" s="12"/>
    </row>
    <row r="1415" spans="1:19" ht="14.25" customHeight="1" x14ac:dyDescent="0.2">
      <c r="A1415" s="1" t="s">
        <v>95</v>
      </c>
      <c r="B1415" s="7">
        <v>46094.094768518517</v>
      </c>
      <c r="C1415" s="7">
        <v>46094.11005787037</v>
      </c>
      <c r="D1415" s="8">
        <v>46094</v>
      </c>
      <c r="E1415" s="9">
        <v>0.11005787036992842</v>
      </c>
      <c r="F1415" s="10" t="s">
        <v>1644</v>
      </c>
      <c r="G1415" s="10" t="s">
        <v>44</v>
      </c>
      <c r="H1415" s="10" t="s">
        <v>45</v>
      </c>
      <c r="I1415" s="10" t="s">
        <v>23</v>
      </c>
      <c r="J1415" s="11">
        <v>0.18</v>
      </c>
      <c r="K1415" s="12"/>
      <c r="L1415" s="12"/>
      <c r="M1415" s="12"/>
      <c r="N1415" s="12"/>
      <c r="O1415" s="12"/>
      <c r="P1415" s="12"/>
      <c r="Q1415" s="12"/>
      <c r="R1415" s="12"/>
      <c r="S1415" s="12"/>
    </row>
    <row r="1416" spans="1:19" ht="14.25" customHeight="1" x14ac:dyDescent="0.2">
      <c r="A1416" s="1" t="s">
        <v>33</v>
      </c>
      <c r="B1416" s="7">
        <v>46094.097060185188</v>
      </c>
      <c r="C1416" s="7">
        <v>46094.11377314815</v>
      </c>
      <c r="D1416" s="8">
        <v>46094</v>
      </c>
      <c r="E1416" s="9">
        <v>0.11377314815035788</v>
      </c>
      <c r="F1416" s="10" t="s">
        <v>1645</v>
      </c>
      <c r="G1416" s="10" t="s">
        <v>21</v>
      </c>
      <c r="H1416" s="10" t="s">
        <v>22</v>
      </c>
      <c r="I1416" s="10" t="s">
        <v>23</v>
      </c>
      <c r="J1416" s="11">
        <v>0.83</v>
      </c>
      <c r="K1416" s="12"/>
      <c r="L1416" s="12"/>
      <c r="M1416" s="12"/>
      <c r="N1416" s="12"/>
      <c r="O1416" s="12"/>
      <c r="P1416" s="12"/>
      <c r="Q1416" s="12"/>
      <c r="R1416" s="12"/>
      <c r="S1416" s="12"/>
    </row>
    <row r="1417" spans="1:19" ht="14.25" customHeight="1" x14ac:dyDescent="0.2">
      <c r="A1417" s="1" t="s">
        <v>42</v>
      </c>
      <c r="B1417" s="7">
        <v>46094.095833333333</v>
      </c>
      <c r="C1417" s="7">
        <v>46094.128136574072</v>
      </c>
      <c r="D1417" s="8">
        <v>46094</v>
      </c>
      <c r="E1417" s="9">
        <v>0.12813657407241408</v>
      </c>
      <c r="F1417" s="10" t="s">
        <v>1646</v>
      </c>
      <c r="G1417" s="10" t="s">
        <v>26</v>
      </c>
      <c r="H1417" s="10" t="s">
        <v>76</v>
      </c>
      <c r="I1417" s="10" t="s">
        <v>23</v>
      </c>
      <c r="J1417" s="11">
        <v>0.75</v>
      </c>
      <c r="K1417" s="12">
        <f>SUM(J1417:J1434)</f>
        <v>17.689999999999998</v>
      </c>
      <c r="L1417" s="12">
        <f>SUM(J1417:J1423)</f>
        <v>8.629999999999999</v>
      </c>
      <c r="M1417" s="13">
        <f>L1417*65</f>
        <v>560.94999999999993</v>
      </c>
      <c r="N1417" s="14">
        <f>MAX(500,M1417)</f>
        <v>560.94999999999993</v>
      </c>
      <c r="O1417" s="12"/>
      <c r="P1417" s="12"/>
      <c r="Q1417" s="12"/>
      <c r="R1417" s="12"/>
      <c r="S1417" s="12"/>
    </row>
    <row r="1418" spans="1:19" ht="14.25" customHeight="1" x14ac:dyDescent="0.2">
      <c r="A1418" s="1" t="s">
        <v>24</v>
      </c>
      <c r="B1418" s="7">
        <v>46094.121030092596</v>
      </c>
      <c r="C1418" s="7">
        <v>46094.12872685185</v>
      </c>
      <c r="D1418" s="8">
        <v>46094</v>
      </c>
      <c r="E1418" s="9">
        <v>0.12872685184993315</v>
      </c>
      <c r="F1418" s="10" t="s">
        <v>1647</v>
      </c>
      <c r="G1418" s="10" t="s">
        <v>21</v>
      </c>
      <c r="H1418" s="10" t="s">
        <v>101</v>
      </c>
      <c r="I1418" s="10" t="s">
        <v>23</v>
      </c>
      <c r="J1418" s="11">
        <v>1.7</v>
      </c>
      <c r="K1418" s="12"/>
      <c r="L1418" s="12"/>
      <c r="M1418" s="12"/>
      <c r="N1418" s="12"/>
      <c r="O1418" s="12"/>
      <c r="P1418" s="12"/>
      <c r="Q1418" s="12"/>
      <c r="R1418" s="12"/>
      <c r="S1418" s="12"/>
    </row>
    <row r="1419" spans="1:19" ht="14.25" customHeight="1" x14ac:dyDescent="0.2">
      <c r="A1419" s="1" t="s">
        <v>24</v>
      </c>
      <c r="B1419" s="7">
        <v>46094.101273148146</v>
      </c>
      <c r="C1419" s="7">
        <v>46094.131724537037</v>
      </c>
      <c r="D1419" s="8">
        <v>46094</v>
      </c>
      <c r="E1419" s="9">
        <v>0.13172453703737119</v>
      </c>
      <c r="F1419" s="10" t="s">
        <v>1648</v>
      </c>
      <c r="G1419" s="10" t="s">
        <v>26</v>
      </c>
      <c r="H1419" s="10" t="s">
        <v>27</v>
      </c>
      <c r="I1419" s="10" t="s">
        <v>23</v>
      </c>
      <c r="J1419" s="11">
        <v>0.68</v>
      </c>
      <c r="K1419" s="12"/>
      <c r="L1419" s="12"/>
      <c r="M1419" s="12"/>
      <c r="N1419" s="12"/>
      <c r="O1419" s="12"/>
      <c r="P1419" s="12"/>
      <c r="Q1419" s="12"/>
      <c r="R1419" s="12"/>
      <c r="S1419" s="12"/>
    </row>
    <row r="1420" spans="1:19" ht="14.25" customHeight="1" x14ac:dyDescent="0.2">
      <c r="A1420" s="1" t="s">
        <v>33</v>
      </c>
      <c r="B1420" s="7">
        <v>46094.132847222223</v>
      </c>
      <c r="C1420" s="7">
        <v>46094.148344907408</v>
      </c>
      <c r="D1420" s="8">
        <v>46094</v>
      </c>
      <c r="E1420" s="9">
        <v>0.14834490740759065</v>
      </c>
      <c r="F1420" s="10" t="s">
        <v>1649</v>
      </c>
      <c r="G1420" s="10" t="s">
        <v>21</v>
      </c>
      <c r="H1420" s="10" t="s">
        <v>22</v>
      </c>
      <c r="I1420" s="10" t="s">
        <v>23</v>
      </c>
      <c r="J1420" s="11">
        <v>0.83</v>
      </c>
      <c r="K1420" s="12"/>
      <c r="L1420" s="12"/>
      <c r="M1420" s="12"/>
      <c r="N1420" s="12"/>
      <c r="O1420" s="12"/>
      <c r="P1420" s="12"/>
      <c r="Q1420" s="12"/>
      <c r="R1420" s="12"/>
      <c r="S1420" s="12"/>
    </row>
    <row r="1421" spans="1:19" ht="14.25" customHeight="1" x14ac:dyDescent="0.2">
      <c r="A1421" s="1" t="s">
        <v>95</v>
      </c>
      <c r="B1421" s="7">
        <v>46094.115983796299</v>
      </c>
      <c r="C1421" s="7">
        <v>46094.154432870368</v>
      </c>
      <c r="D1421" s="8">
        <v>46094</v>
      </c>
      <c r="E1421" s="9">
        <v>0.15443287036760012</v>
      </c>
      <c r="F1421" s="10" t="s">
        <v>1650</v>
      </c>
      <c r="G1421" s="10" t="s">
        <v>21</v>
      </c>
      <c r="H1421" s="10" t="s">
        <v>435</v>
      </c>
      <c r="I1421" s="10" t="s">
        <v>23</v>
      </c>
      <c r="J1421" s="11">
        <v>1.1299999999999999</v>
      </c>
      <c r="K1421" s="12"/>
      <c r="L1421" s="12"/>
      <c r="M1421" s="12"/>
      <c r="N1421" s="12"/>
      <c r="O1421" s="12"/>
      <c r="P1421" s="12"/>
      <c r="Q1421" s="12"/>
      <c r="R1421" s="12"/>
      <c r="S1421" s="12"/>
    </row>
    <row r="1422" spans="1:19" ht="14.25" customHeight="1" x14ac:dyDescent="0.2">
      <c r="A1422" s="1" t="s">
        <v>95</v>
      </c>
      <c r="B1422" s="7">
        <v>46094.115983796299</v>
      </c>
      <c r="C1422" s="7">
        <v>46094.155069444445</v>
      </c>
      <c r="D1422" s="8">
        <v>46094</v>
      </c>
      <c r="E1422" s="9">
        <v>0.15506944444496185</v>
      </c>
      <c r="F1422" s="10" t="s">
        <v>1651</v>
      </c>
      <c r="G1422" s="10" t="s">
        <v>21</v>
      </c>
      <c r="H1422" s="10" t="s">
        <v>97</v>
      </c>
      <c r="I1422" s="10" t="s">
        <v>23</v>
      </c>
      <c r="J1422" s="11">
        <v>1.77</v>
      </c>
      <c r="K1422" s="12"/>
      <c r="L1422" s="12"/>
      <c r="M1422" s="12"/>
      <c r="N1422" s="12"/>
      <c r="O1422" s="12"/>
      <c r="P1422" s="12"/>
      <c r="Q1422" s="12"/>
      <c r="R1422" s="12"/>
      <c r="S1422" s="12"/>
    </row>
    <row r="1423" spans="1:19" ht="14.25" customHeight="1" x14ac:dyDescent="0.2">
      <c r="A1423" s="1" t="s">
        <v>95</v>
      </c>
      <c r="B1423" s="7">
        <v>46094.150578703702</v>
      </c>
      <c r="C1423" s="7">
        <v>46094.157986111109</v>
      </c>
      <c r="D1423" s="8">
        <v>46094</v>
      </c>
      <c r="E1423" s="9">
        <v>0.15798611110949423</v>
      </c>
      <c r="F1423" s="10" t="s">
        <v>1652</v>
      </c>
      <c r="G1423" s="10" t="s">
        <v>21</v>
      </c>
      <c r="H1423" s="10" t="s">
        <v>97</v>
      </c>
      <c r="I1423" s="10" t="s">
        <v>23</v>
      </c>
      <c r="J1423" s="11">
        <v>1.77</v>
      </c>
      <c r="K1423" s="12"/>
      <c r="L1423" s="12"/>
      <c r="M1423" s="12"/>
      <c r="N1423" s="12"/>
      <c r="O1423" s="12"/>
      <c r="P1423" s="12"/>
      <c r="Q1423" s="12"/>
      <c r="R1423" s="12"/>
      <c r="S1423" s="12"/>
    </row>
    <row r="1424" spans="1:19" ht="14.25" customHeight="1" x14ac:dyDescent="0.2">
      <c r="A1424" s="1" t="s">
        <v>42</v>
      </c>
      <c r="B1424" s="7">
        <v>46094.148136574076</v>
      </c>
      <c r="C1424" s="7">
        <v>46094.179027777776</v>
      </c>
      <c r="D1424" s="8">
        <v>46094</v>
      </c>
      <c r="E1424" s="9">
        <v>0.17902777777635492</v>
      </c>
      <c r="F1424" s="10" t="s">
        <v>1653</v>
      </c>
      <c r="G1424" s="10" t="s">
        <v>26</v>
      </c>
      <c r="H1424" s="10" t="s">
        <v>125</v>
      </c>
      <c r="I1424" s="10" t="s">
        <v>23</v>
      </c>
      <c r="J1424" s="11">
        <v>0.63</v>
      </c>
      <c r="K1424" s="12"/>
      <c r="L1424" s="12">
        <f>SUM(J1424:J1430)</f>
        <v>5.59</v>
      </c>
      <c r="M1424" s="13">
        <f>L1424*65</f>
        <v>363.34999999999997</v>
      </c>
      <c r="N1424" s="14">
        <f>MAX(500,M1424)</f>
        <v>500</v>
      </c>
      <c r="O1424" s="12"/>
      <c r="P1424" s="12"/>
      <c r="Q1424" s="12"/>
      <c r="R1424" s="12"/>
      <c r="S1424" s="12"/>
    </row>
    <row r="1425" spans="1:19" ht="14.25" customHeight="1" x14ac:dyDescent="0.2">
      <c r="A1425" s="1" t="s">
        <v>24</v>
      </c>
      <c r="B1425" s="7">
        <v>46094.169166666667</v>
      </c>
      <c r="C1425" s="7">
        <v>46094.179155092592</v>
      </c>
      <c r="D1425" s="8">
        <v>46094</v>
      </c>
      <c r="E1425" s="9">
        <v>0.17915509259182727</v>
      </c>
      <c r="F1425" s="10" t="s">
        <v>1654</v>
      </c>
      <c r="G1425" s="10" t="s">
        <v>21</v>
      </c>
      <c r="H1425" s="10" t="s">
        <v>22</v>
      </c>
      <c r="I1425" s="10" t="s">
        <v>23</v>
      </c>
      <c r="J1425" s="11">
        <v>0.83</v>
      </c>
      <c r="K1425" s="12"/>
      <c r="L1425" s="12"/>
      <c r="M1425" s="12"/>
      <c r="N1425" s="12"/>
      <c r="O1425" s="12"/>
      <c r="P1425" s="12"/>
      <c r="Q1425" s="12"/>
      <c r="R1425" s="12"/>
      <c r="S1425" s="12"/>
    </row>
    <row r="1426" spans="1:19" ht="14.25" customHeight="1" x14ac:dyDescent="0.2">
      <c r="A1426" s="1" t="s">
        <v>42</v>
      </c>
      <c r="B1426" s="7">
        <v>46094.166400462964</v>
      </c>
      <c r="C1426" s="7">
        <v>46094.179363425923</v>
      </c>
      <c r="D1426" s="8">
        <v>46094</v>
      </c>
      <c r="E1426" s="9">
        <v>0.17936342592292931</v>
      </c>
      <c r="F1426" s="10" t="s">
        <v>1655</v>
      </c>
      <c r="G1426" s="10" t="s">
        <v>44</v>
      </c>
      <c r="H1426" s="10" t="s">
        <v>849</v>
      </c>
      <c r="I1426" s="10" t="s">
        <v>23</v>
      </c>
      <c r="J1426" s="11">
        <v>0.22</v>
      </c>
      <c r="K1426" s="12"/>
      <c r="L1426" s="12"/>
      <c r="M1426" s="12"/>
      <c r="N1426" s="12"/>
      <c r="O1426" s="12"/>
      <c r="P1426" s="12"/>
      <c r="Q1426" s="12"/>
      <c r="R1426" s="12"/>
      <c r="S1426" s="12"/>
    </row>
    <row r="1427" spans="1:19" ht="14.25" customHeight="1" x14ac:dyDescent="0.2">
      <c r="A1427" s="1" t="s">
        <v>95</v>
      </c>
      <c r="B1427" s="7">
        <v>46094.128483796296</v>
      </c>
      <c r="C1427" s="7">
        <v>46094.184305555558</v>
      </c>
      <c r="D1427" s="8">
        <v>46094</v>
      </c>
      <c r="E1427" s="9">
        <v>0.18430555555823958</v>
      </c>
      <c r="F1427" s="10" t="s">
        <v>1656</v>
      </c>
      <c r="G1427" s="10" t="s">
        <v>26</v>
      </c>
      <c r="H1427" s="10" t="s">
        <v>1232</v>
      </c>
      <c r="I1427" s="10" t="s">
        <v>23</v>
      </c>
      <c r="J1427" s="11">
        <v>0.75</v>
      </c>
      <c r="K1427" s="12"/>
      <c r="L1427" s="12"/>
      <c r="M1427" s="12"/>
      <c r="N1427" s="12"/>
      <c r="O1427" s="12"/>
      <c r="P1427" s="12"/>
      <c r="Q1427" s="12"/>
      <c r="R1427" s="12"/>
      <c r="S1427" s="12"/>
    </row>
    <row r="1428" spans="1:19" ht="14.25" customHeight="1" x14ac:dyDescent="0.2">
      <c r="A1428" s="1" t="s">
        <v>95</v>
      </c>
      <c r="B1428" s="7">
        <v>46094.139120370368</v>
      </c>
      <c r="C1428" s="7">
        <v>46094.185590277775</v>
      </c>
      <c r="D1428" s="8">
        <v>46094</v>
      </c>
      <c r="E1428" s="9">
        <v>0.18559027777519077</v>
      </c>
      <c r="F1428" s="10" t="s">
        <v>1657</v>
      </c>
      <c r="G1428" s="10" t="s">
        <v>26</v>
      </c>
      <c r="H1428" s="10" t="s">
        <v>938</v>
      </c>
      <c r="I1428" s="10" t="s">
        <v>23</v>
      </c>
      <c r="J1428" s="11">
        <v>0.73</v>
      </c>
      <c r="K1428" s="12"/>
      <c r="L1428" s="12"/>
      <c r="M1428" s="12"/>
      <c r="N1428" s="12"/>
      <c r="O1428" s="12"/>
      <c r="P1428" s="12"/>
      <c r="Q1428" s="12"/>
      <c r="R1428" s="12"/>
      <c r="S1428" s="12"/>
    </row>
    <row r="1429" spans="1:19" ht="14.25" customHeight="1" x14ac:dyDescent="0.2">
      <c r="A1429" s="1" t="s">
        <v>95</v>
      </c>
      <c r="B1429" s="7">
        <v>46094.179930555554</v>
      </c>
      <c r="C1429" s="7">
        <v>46094.188981481479</v>
      </c>
      <c r="D1429" s="8">
        <v>46094</v>
      </c>
      <c r="E1429" s="9">
        <v>0.18898148147854954</v>
      </c>
      <c r="F1429" s="10" t="s">
        <v>1658</v>
      </c>
      <c r="G1429" s="10" t="s">
        <v>21</v>
      </c>
      <c r="H1429" s="10" t="s">
        <v>108</v>
      </c>
      <c r="I1429" s="10" t="s">
        <v>23</v>
      </c>
      <c r="J1429" s="11">
        <v>1.7</v>
      </c>
      <c r="K1429" s="12"/>
      <c r="L1429" s="12"/>
      <c r="M1429" s="12"/>
      <c r="N1429" s="12"/>
      <c r="O1429" s="12"/>
      <c r="P1429" s="12"/>
      <c r="Q1429" s="12"/>
      <c r="R1429" s="12"/>
      <c r="S1429" s="12"/>
    </row>
    <row r="1430" spans="1:19" ht="14.25" customHeight="1" x14ac:dyDescent="0.2">
      <c r="A1430" s="1" t="s">
        <v>42</v>
      </c>
      <c r="B1430" s="7">
        <v>46094.174467592595</v>
      </c>
      <c r="C1430" s="7">
        <v>46094.205347222225</v>
      </c>
      <c r="D1430" s="8">
        <v>46094</v>
      </c>
      <c r="E1430" s="9">
        <v>0.20534722222510027</v>
      </c>
      <c r="F1430" s="10" t="s">
        <v>1659</v>
      </c>
      <c r="G1430" s="10" t="s">
        <v>26</v>
      </c>
      <c r="H1430" s="10" t="s">
        <v>56</v>
      </c>
      <c r="I1430" s="10" t="s">
        <v>23</v>
      </c>
      <c r="J1430" s="11">
        <v>0.73</v>
      </c>
      <c r="K1430" s="12"/>
      <c r="L1430" s="12"/>
      <c r="M1430" s="12"/>
      <c r="N1430" s="12"/>
      <c r="O1430" s="12"/>
      <c r="P1430" s="12"/>
      <c r="Q1430" s="12"/>
      <c r="R1430" s="12"/>
      <c r="S1430" s="12"/>
    </row>
    <row r="1431" spans="1:19" ht="14.25" customHeight="1" x14ac:dyDescent="0.2">
      <c r="A1431" s="1" t="s">
        <v>95</v>
      </c>
      <c r="B1431" s="7">
        <v>46094.187361111108</v>
      </c>
      <c r="C1431" s="7">
        <v>46094.212569444448</v>
      </c>
      <c r="D1431" s="8">
        <v>46094</v>
      </c>
      <c r="E1431" s="9">
        <v>0.21256944444758119</v>
      </c>
      <c r="F1431" s="10" t="s">
        <v>1660</v>
      </c>
      <c r="G1431" s="10" t="s">
        <v>21</v>
      </c>
      <c r="H1431" s="10" t="s">
        <v>110</v>
      </c>
      <c r="I1431" s="10" t="s">
        <v>23</v>
      </c>
      <c r="J1431" s="11">
        <v>0.83</v>
      </c>
      <c r="K1431" s="12"/>
      <c r="L1431" s="12">
        <f>SUM(J1431:J1434)</f>
        <v>3.4699999999999998</v>
      </c>
      <c r="M1431" s="13">
        <f>L1431*65</f>
        <v>225.54999999999998</v>
      </c>
      <c r="N1431" s="14">
        <f>MAX(500,M1431)</f>
        <v>500</v>
      </c>
      <c r="O1431" s="12"/>
      <c r="P1431" s="12"/>
      <c r="Q1431" s="12"/>
      <c r="R1431" s="12"/>
      <c r="S1431" s="12"/>
    </row>
    <row r="1432" spans="1:19" ht="14.25" customHeight="1" x14ac:dyDescent="0.2">
      <c r="A1432" s="1" t="s">
        <v>33</v>
      </c>
      <c r="B1432" s="7">
        <v>46094.208923611113</v>
      </c>
      <c r="C1432" s="7">
        <v>46094.225300925929</v>
      </c>
      <c r="D1432" s="8">
        <v>46094</v>
      </c>
      <c r="E1432" s="9">
        <v>0.22530092592933215</v>
      </c>
      <c r="F1432" s="10" t="s">
        <v>1661</v>
      </c>
      <c r="G1432" s="10" t="s">
        <v>21</v>
      </c>
      <c r="H1432" s="10" t="s">
        <v>22</v>
      </c>
      <c r="I1432" s="10" t="s">
        <v>23</v>
      </c>
      <c r="J1432" s="11">
        <v>0.83</v>
      </c>
      <c r="K1432" s="12"/>
      <c r="L1432" s="12"/>
      <c r="M1432" s="12"/>
      <c r="N1432" s="12"/>
      <c r="O1432" s="12"/>
      <c r="P1432" s="12"/>
      <c r="Q1432" s="12"/>
      <c r="R1432" s="12"/>
      <c r="S1432" s="12"/>
    </row>
    <row r="1433" spans="1:19" ht="14.25" customHeight="1" x14ac:dyDescent="0.2">
      <c r="A1433" s="1" t="s">
        <v>33</v>
      </c>
      <c r="B1433" s="7">
        <v>46094.208923611113</v>
      </c>
      <c r="C1433" s="7">
        <v>46094.225613425922</v>
      </c>
      <c r="D1433" s="8">
        <v>46094</v>
      </c>
      <c r="E1433" s="9">
        <v>0.22561342592234723</v>
      </c>
      <c r="F1433" s="10" t="s">
        <v>1662</v>
      </c>
      <c r="G1433" s="10" t="s">
        <v>21</v>
      </c>
      <c r="H1433" s="10" t="s">
        <v>52</v>
      </c>
      <c r="I1433" s="10" t="s">
        <v>23</v>
      </c>
      <c r="J1433" s="11">
        <v>0.98</v>
      </c>
      <c r="K1433" s="12"/>
      <c r="L1433" s="12"/>
      <c r="M1433" s="12"/>
      <c r="N1433" s="12"/>
      <c r="O1433" s="12"/>
      <c r="P1433" s="12"/>
      <c r="Q1433" s="12"/>
      <c r="R1433" s="12"/>
      <c r="S1433" s="12"/>
    </row>
    <row r="1434" spans="1:19" ht="14.25" customHeight="1" x14ac:dyDescent="0.2">
      <c r="A1434" s="1" t="s">
        <v>95</v>
      </c>
      <c r="B1434" s="7">
        <v>46094.218530092592</v>
      </c>
      <c r="C1434" s="7">
        <v>46094.249212962961</v>
      </c>
      <c r="D1434" s="8">
        <v>46094</v>
      </c>
      <c r="E1434" s="9">
        <v>0.24921296296088258</v>
      </c>
      <c r="F1434" s="10" t="s">
        <v>1663</v>
      </c>
      <c r="G1434" s="10" t="s">
        <v>21</v>
      </c>
      <c r="H1434" s="10" t="s">
        <v>110</v>
      </c>
      <c r="I1434" s="10" t="s">
        <v>23</v>
      </c>
      <c r="J1434" s="11">
        <v>0.83</v>
      </c>
      <c r="K1434" s="12"/>
      <c r="L1434" s="12"/>
      <c r="M1434" s="12"/>
      <c r="N1434" s="12"/>
      <c r="O1434" s="12"/>
      <c r="P1434" s="12"/>
      <c r="Q1434" s="12"/>
      <c r="R1434" s="12"/>
      <c r="S1434" s="12"/>
    </row>
    <row r="1435" spans="1:19" ht="14.25" customHeight="1" x14ac:dyDescent="0.2">
      <c r="A1435" s="1" t="s">
        <v>19</v>
      </c>
      <c r="B1435" s="7">
        <v>46094.871111111112</v>
      </c>
      <c r="C1435" s="7">
        <v>46094.880335648151</v>
      </c>
      <c r="D1435" s="8">
        <v>46094</v>
      </c>
      <c r="E1435" s="9">
        <v>0.880335648151231</v>
      </c>
      <c r="F1435" s="10" t="s">
        <v>1664</v>
      </c>
      <c r="G1435" s="10" t="s">
        <v>21</v>
      </c>
      <c r="H1435" s="10" t="s">
        <v>101</v>
      </c>
      <c r="I1435" s="10" t="s">
        <v>23</v>
      </c>
      <c r="J1435" s="11">
        <v>1.7</v>
      </c>
      <c r="K1435" s="12">
        <f>SUM(J1435,J1436,J1442,J1444,J1445,J1446,J1447,J1448,J1449,J1450,J1451,J1452,J1455:J1459,J1461,J1463:J1466,J1469,J1471,J1475:J1477,J1480,J1487,J1491:J1499,J1501,J1505:J1509,J1512:J1517,J1519:J1539)</f>
        <v>91.08</v>
      </c>
      <c r="L1435" s="12">
        <f>SUM(J1435:J1458)</f>
        <v>26.609999999999989</v>
      </c>
      <c r="M1435" s="13">
        <f>L1435*65</f>
        <v>1729.6499999999992</v>
      </c>
      <c r="N1435" s="14">
        <f>MAX(500,M1435)</f>
        <v>1729.6499999999992</v>
      </c>
      <c r="O1435" s="12"/>
      <c r="P1435" s="12"/>
      <c r="Q1435" s="12"/>
      <c r="R1435" s="12"/>
      <c r="S1435" s="12"/>
    </row>
    <row r="1436" spans="1:19" ht="14.25" customHeight="1" x14ac:dyDescent="0.2">
      <c r="A1436" s="1" t="s">
        <v>63</v>
      </c>
      <c r="B1436" s="7">
        <v>46094.832743055558</v>
      </c>
      <c r="C1436" s="7">
        <v>46094.883240740739</v>
      </c>
      <c r="D1436" s="8">
        <v>46094</v>
      </c>
      <c r="E1436" s="9">
        <v>0.88324074073898373</v>
      </c>
      <c r="F1436" s="10" t="s">
        <v>1665</v>
      </c>
      <c r="G1436" s="10" t="s">
        <v>21</v>
      </c>
      <c r="H1436" s="10" t="s">
        <v>110</v>
      </c>
      <c r="I1436" s="10" t="s">
        <v>23</v>
      </c>
      <c r="J1436" s="11">
        <v>0.83</v>
      </c>
      <c r="K1436" s="12"/>
      <c r="L1436" s="12"/>
      <c r="M1436" s="12"/>
      <c r="N1436" s="12"/>
      <c r="O1436" s="12"/>
      <c r="P1436" s="12"/>
      <c r="Q1436" s="12"/>
      <c r="R1436" s="12"/>
      <c r="S1436" s="12"/>
    </row>
    <row r="1437" spans="1:19" ht="14.25" customHeight="1" x14ac:dyDescent="0.2">
      <c r="A1437" s="22" t="s">
        <v>19</v>
      </c>
      <c r="B1437" s="23">
        <v>46094.865393518521</v>
      </c>
      <c r="C1437" s="23">
        <v>46094.883969907409</v>
      </c>
      <c r="D1437" s="24">
        <v>46094</v>
      </c>
      <c r="E1437" s="25">
        <v>0.88396990740875481</v>
      </c>
      <c r="F1437" s="22" t="s">
        <v>1666</v>
      </c>
      <c r="G1437" s="22" t="s">
        <v>21</v>
      </c>
      <c r="H1437" s="22" t="s">
        <v>41</v>
      </c>
      <c r="I1437" s="22" t="s">
        <v>583</v>
      </c>
      <c r="J1437" s="26">
        <v>1.77</v>
      </c>
      <c r="K1437" s="26"/>
      <c r="L1437" s="26"/>
      <c r="M1437" s="26"/>
      <c r="N1437" s="26"/>
      <c r="O1437" s="26"/>
      <c r="P1437" s="26"/>
      <c r="Q1437" s="26"/>
      <c r="R1437" s="26"/>
      <c r="S1437" s="26"/>
    </row>
    <row r="1438" spans="1:19" ht="14.25" customHeight="1" x14ac:dyDescent="0.2">
      <c r="A1438" s="22" t="s">
        <v>24</v>
      </c>
      <c r="B1438" s="23">
        <v>46094.868750000001</v>
      </c>
      <c r="C1438" s="23">
        <v>46094.885000000002</v>
      </c>
      <c r="D1438" s="24">
        <v>46094</v>
      </c>
      <c r="E1438" s="25">
        <v>0.88500000000203727</v>
      </c>
      <c r="F1438" s="22" t="s">
        <v>1667</v>
      </c>
      <c r="G1438" s="22" t="s">
        <v>44</v>
      </c>
      <c r="H1438" s="22" t="s">
        <v>185</v>
      </c>
      <c r="I1438" s="22" t="s">
        <v>583</v>
      </c>
      <c r="J1438" s="26">
        <v>0.18</v>
      </c>
      <c r="K1438" s="26"/>
      <c r="L1438" s="26"/>
      <c r="M1438" s="26"/>
      <c r="N1438" s="26"/>
      <c r="O1438" s="26"/>
      <c r="P1438" s="26"/>
      <c r="Q1438" s="26"/>
      <c r="R1438" s="26"/>
      <c r="S1438" s="26"/>
    </row>
    <row r="1439" spans="1:19" ht="14.25" customHeight="1" x14ac:dyDescent="0.2">
      <c r="A1439" s="22" t="s">
        <v>24</v>
      </c>
      <c r="B1439" s="23">
        <v>46094.865914351853</v>
      </c>
      <c r="C1439" s="23">
        <v>46094.886365740742</v>
      </c>
      <c r="D1439" s="24">
        <v>46094</v>
      </c>
      <c r="E1439" s="25">
        <v>0.88636574074189411</v>
      </c>
      <c r="F1439" s="22" t="s">
        <v>1668</v>
      </c>
      <c r="G1439" s="22" t="s">
        <v>44</v>
      </c>
      <c r="H1439" s="22" t="s">
        <v>185</v>
      </c>
      <c r="I1439" s="22" t="s">
        <v>583</v>
      </c>
      <c r="J1439" s="26">
        <v>0.18</v>
      </c>
      <c r="K1439" s="26"/>
      <c r="L1439" s="26"/>
      <c r="M1439" s="26"/>
      <c r="N1439" s="26"/>
      <c r="O1439" s="26"/>
      <c r="P1439" s="26"/>
      <c r="Q1439" s="26"/>
      <c r="R1439" s="26"/>
      <c r="S1439" s="26"/>
    </row>
    <row r="1440" spans="1:19" ht="14.25" customHeight="1" x14ac:dyDescent="0.2">
      <c r="A1440" s="22" t="s">
        <v>112</v>
      </c>
      <c r="B1440" s="23">
        <v>46094.87736111111</v>
      </c>
      <c r="C1440" s="23">
        <v>46094.887974537036</v>
      </c>
      <c r="D1440" s="24">
        <v>46094</v>
      </c>
      <c r="E1440" s="25">
        <v>0.887974537035916</v>
      </c>
      <c r="F1440" s="22" t="s">
        <v>1669</v>
      </c>
      <c r="G1440" s="22" t="s">
        <v>44</v>
      </c>
      <c r="H1440" s="22" t="s">
        <v>1670</v>
      </c>
      <c r="I1440" s="22" t="s">
        <v>583</v>
      </c>
      <c r="J1440" s="26">
        <v>0.18</v>
      </c>
      <c r="K1440" s="26"/>
      <c r="L1440" s="26"/>
      <c r="M1440" s="26"/>
      <c r="N1440" s="26"/>
      <c r="O1440" s="26"/>
      <c r="P1440" s="26"/>
      <c r="Q1440" s="26"/>
      <c r="R1440" s="26"/>
      <c r="S1440" s="26"/>
    </row>
    <row r="1441" spans="1:19" ht="14.25" customHeight="1" x14ac:dyDescent="0.2">
      <c r="A1441" s="22" t="s">
        <v>148</v>
      </c>
      <c r="B1441" s="23">
        <v>46094.883368055554</v>
      </c>
      <c r="C1441" s="23">
        <v>46094.889884259261</v>
      </c>
      <c r="D1441" s="24">
        <v>46094</v>
      </c>
      <c r="E1441" s="25">
        <v>0.88988425926072523</v>
      </c>
      <c r="F1441" s="22" t="s">
        <v>1671</v>
      </c>
      <c r="G1441" s="22" t="s">
        <v>44</v>
      </c>
      <c r="H1441" s="22" t="s">
        <v>790</v>
      </c>
      <c r="I1441" s="22" t="s">
        <v>583</v>
      </c>
      <c r="J1441" s="26">
        <v>0.18</v>
      </c>
      <c r="K1441" s="26"/>
      <c r="L1441" s="26"/>
      <c r="M1441" s="26"/>
      <c r="N1441" s="26"/>
      <c r="O1441" s="26"/>
      <c r="P1441" s="26"/>
      <c r="Q1441" s="26"/>
      <c r="R1441" s="26"/>
      <c r="S1441" s="26"/>
    </row>
    <row r="1442" spans="1:19" ht="14.25" customHeight="1" x14ac:dyDescent="0.2">
      <c r="A1442" s="1" t="s">
        <v>42</v>
      </c>
      <c r="B1442" s="7">
        <v>46094.860671296294</v>
      </c>
      <c r="C1442" s="7">
        <v>46094.890451388892</v>
      </c>
      <c r="D1442" s="8">
        <v>46094</v>
      </c>
      <c r="E1442" s="9">
        <v>0.89045138889196096</v>
      </c>
      <c r="F1442" s="10" t="s">
        <v>1672</v>
      </c>
      <c r="G1442" s="10" t="s">
        <v>26</v>
      </c>
      <c r="H1442" s="10" t="s">
        <v>157</v>
      </c>
      <c r="I1442" s="10" t="s">
        <v>23</v>
      </c>
      <c r="J1442" s="11">
        <v>0.73</v>
      </c>
      <c r="K1442" s="12"/>
      <c r="L1442" s="12"/>
      <c r="M1442" s="12"/>
      <c r="N1442" s="12"/>
      <c r="O1442" s="12"/>
      <c r="P1442" s="12"/>
      <c r="Q1442" s="12"/>
      <c r="R1442" s="12"/>
      <c r="S1442" s="12"/>
    </row>
    <row r="1443" spans="1:19" ht="14.25" customHeight="1" x14ac:dyDescent="0.2">
      <c r="A1443" s="22" t="s">
        <v>24</v>
      </c>
      <c r="B1443" s="23">
        <v>46094.862581018519</v>
      </c>
      <c r="C1443" s="23">
        <v>46094.897743055553</v>
      </c>
      <c r="D1443" s="24">
        <v>46094</v>
      </c>
      <c r="E1443" s="25">
        <v>0.89774305555329192</v>
      </c>
      <c r="F1443" s="22" t="s">
        <v>1673</v>
      </c>
      <c r="G1443" s="22" t="s">
        <v>21</v>
      </c>
      <c r="H1443" s="22" t="s">
        <v>41</v>
      </c>
      <c r="I1443" s="22" t="s">
        <v>583</v>
      </c>
      <c r="J1443" s="26">
        <v>1.77</v>
      </c>
      <c r="K1443" s="26"/>
      <c r="L1443" s="26"/>
      <c r="M1443" s="26"/>
      <c r="N1443" s="26"/>
      <c r="O1443" s="26"/>
      <c r="P1443" s="26"/>
      <c r="Q1443" s="26"/>
      <c r="R1443" s="26"/>
      <c r="S1443" s="26"/>
    </row>
    <row r="1444" spans="1:19" ht="14.25" customHeight="1" x14ac:dyDescent="0.2">
      <c r="A1444" s="1" t="s">
        <v>112</v>
      </c>
      <c r="B1444" s="7">
        <v>46094.880752314813</v>
      </c>
      <c r="C1444" s="7">
        <v>46094.901134259257</v>
      </c>
      <c r="D1444" s="8">
        <v>46094</v>
      </c>
      <c r="E1444" s="9">
        <v>0.90113425925665069</v>
      </c>
      <c r="F1444" s="10" t="s">
        <v>1674</v>
      </c>
      <c r="G1444" s="10" t="s">
        <v>21</v>
      </c>
      <c r="H1444" s="10" t="s">
        <v>117</v>
      </c>
      <c r="I1444" s="10" t="s">
        <v>23</v>
      </c>
      <c r="J1444" s="11">
        <v>0.83</v>
      </c>
      <c r="K1444" s="12"/>
      <c r="L1444" s="12"/>
      <c r="M1444" s="12"/>
      <c r="N1444" s="12"/>
      <c r="O1444" s="12"/>
      <c r="P1444" s="12"/>
      <c r="Q1444" s="12"/>
      <c r="R1444" s="12"/>
      <c r="S1444" s="12"/>
    </row>
    <row r="1445" spans="1:19" ht="14.25" customHeight="1" x14ac:dyDescent="0.2">
      <c r="A1445" s="1" t="s">
        <v>28</v>
      </c>
      <c r="B1445" s="7">
        <v>46094.883784722224</v>
      </c>
      <c r="C1445" s="7">
        <v>46094.903229166666</v>
      </c>
      <c r="D1445" s="8">
        <v>46094</v>
      </c>
      <c r="E1445" s="9">
        <v>0.90322916666627862</v>
      </c>
      <c r="F1445" s="10" t="s">
        <v>1675</v>
      </c>
      <c r="G1445" s="10" t="s">
        <v>21</v>
      </c>
      <c r="H1445" s="10" t="s">
        <v>101</v>
      </c>
      <c r="I1445" s="10" t="s">
        <v>23</v>
      </c>
      <c r="J1445" s="11">
        <v>1.7</v>
      </c>
      <c r="K1445" s="12"/>
      <c r="L1445" s="12"/>
      <c r="M1445" s="12"/>
      <c r="N1445" s="12"/>
      <c r="O1445" s="12"/>
      <c r="P1445" s="12"/>
      <c r="Q1445" s="12"/>
      <c r="R1445" s="12"/>
      <c r="S1445" s="12"/>
    </row>
    <row r="1446" spans="1:19" ht="14.25" customHeight="1" x14ac:dyDescent="0.2">
      <c r="A1446" s="1" t="s">
        <v>28</v>
      </c>
      <c r="B1446" s="7">
        <v>46094.893495370372</v>
      </c>
      <c r="C1446" s="7">
        <v>46094.903784722221</v>
      </c>
      <c r="D1446" s="8">
        <v>46094</v>
      </c>
      <c r="E1446" s="9">
        <v>0.90378472222073469</v>
      </c>
      <c r="F1446" s="10" t="s">
        <v>1676</v>
      </c>
      <c r="G1446" s="10" t="s">
        <v>21</v>
      </c>
      <c r="H1446" s="10" t="s">
        <v>41</v>
      </c>
      <c r="I1446" s="10" t="s">
        <v>23</v>
      </c>
      <c r="J1446" s="11">
        <v>1.77</v>
      </c>
      <c r="K1446" s="12"/>
      <c r="L1446" s="12"/>
      <c r="M1446" s="12"/>
      <c r="N1446" s="12"/>
      <c r="O1446" s="12"/>
      <c r="P1446" s="12"/>
      <c r="Q1446" s="12"/>
      <c r="R1446" s="12"/>
      <c r="S1446" s="12"/>
    </row>
    <row r="1447" spans="1:19" ht="14.25" customHeight="1" x14ac:dyDescent="0.2">
      <c r="A1447" s="1" t="s">
        <v>24</v>
      </c>
      <c r="B1447" s="7">
        <v>46094.888148148151</v>
      </c>
      <c r="C1447" s="7">
        <v>46094.90766203704</v>
      </c>
      <c r="D1447" s="8">
        <v>46094</v>
      </c>
      <c r="E1447" s="9">
        <v>0.9076620370396995</v>
      </c>
      <c r="F1447" s="10" t="s">
        <v>1677</v>
      </c>
      <c r="G1447" s="10" t="s">
        <v>21</v>
      </c>
      <c r="H1447" s="10" t="s">
        <v>39</v>
      </c>
      <c r="I1447" s="10" t="s">
        <v>23</v>
      </c>
      <c r="J1447" s="11">
        <v>1.77</v>
      </c>
      <c r="K1447" s="12"/>
      <c r="L1447" s="12"/>
      <c r="M1447" s="12"/>
      <c r="N1447" s="12"/>
      <c r="O1447" s="12"/>
      <c r="P1447" s="12"/>
      <c r="Q1447" s="12"/>
      <c r="R1447" s="12"/>
      <c r="S1447" s="12"/>
    </row>
    <row r="1448" spans="1:19" ht="14.25" customHeight="1" x14ac:dyDescent="0.2">
      <c r="A1448" s="1" t="s">
        <v>19</v>
      </c>
      <c r="B1448" s="7">
        <v>46094.889432870368</v>
      </c>
      <c r="C1448" s="7">
        <v>46094.90824074074</v>
      </c>
      <c r="D1448" s="8">
        <v>46094</v>
      </c>
      <c r="E1448" s="9">
        <v>0.90824074074043892</v>
      </c>
      <c r="F1448" s="10" t="s">
        <v>1678</v>
      </c>
      <c r="G1448" s="10" t="s">
        <v>21</v>
      </c>
      <c r="H1448" s="10" t="s">
        <v>39</v>
      </c>
      <c r="I1448" s="10" t="s">
        <v>23</v>
      </c>
      <c r="J1448" s="11">
        <v>1.77</v>
      </c>
      <c r="K1448" s="12"/>
      <c r="L1448" s="12"/>
      <c r="M1448" s="12"/>
      <c r="N1448" s="12"/>
      <c r="O1448" s="12"/>
      <c r="P1448" s="12"/>
      <c r="Q1448" s="12"/>
      <c r="R1448" s="12"/>
      <c r="S1448" s="12"/>
    </row>
    <row r="1449" spans="1:19" ht="14.25" customHeight="1" x14ac:dyDescent="0.2">
      <c r="A1449" s="1" t="s">
        <v>19</v>
      </c>
      <c r="B1449" s="7">
        <v>46094.881956018522</v>
      </c>
      <c r="C1449" s="7">
        <v>46094.908854166664</v>
      </c>
      <c r="D1449" s="8">
        <v>46094</v>
      </c>
      <c r="E1449" s="9">
        <v>0.90885416666424135</v>
      </c>
      <c r="F1449" s="10" t="s">
        <v>1679</v>
      </c>
      <c r="G1449" s="10" t="s">
        <v>21</v>
      </c>
      <c r="H1449" s="10" t="s">
        <v>52</v>
      </c>
      <c r="I1449" s="10" t="s">
        <v>23</v>
      </c>
      <c r="J1449" s="11">
        <v>0.98</v>
      </c>
      <c r="K1449" s="12"/>
      <c r="L1449" s="12"/>
      <c r="M1449" s="12"/>
      <c r="N1449" s="12"/>
      <c r="O1449" s="12"/>
      <c r="P1449" s="12"/>
      <c r="Q1449" s="12"/>
      <c r="R1449" s="12"/>
      <c r="S1449" s="12"/>
    </row>
    <row r="1450" spans="1:19" ht="14.25" customHeight="1" x14ac:dyDescent="0.2">
      <c r="A1450" s="1" t="s">
        <v>19</v>
      </c>
      <c r="B1450" s="7">
        <v>46094.881944444445</v>
      </c>
      <c r="C1450" s="7">
        <v>46094.909143518518</v>
      </c>
      <c r="D1450" s="8">
        <v>46094</v>
      </c>
      <c r="E1450" s="9">
        <v>0.90914351851824904</v>
      </c>
      <c r="F1450" s="10" t="s">
        <v>1680</v>
      </c>
      <c r="G1450" s="10" t="s">
        <v>21</v>
      </c>
      <c r="H1450" s="10" t="s">
        <v>22</v>
      </c>
      <c r="I1450" s="10" t="s">
        <v>23</v>
      </c>
      <c r="J1450" s="11">
        <v>0.83</v>
      </c>
      <c r="K1450" s="12"/>
      <c r="L1450" s="12"/>
      <c r="M1450" s="12"/>
      <c r="N1450" s="12"/>
      <c r="O1450" s="12"/>
      <c r="P1450" s="12"/>
      <c r="Q1450" s="12"/>
      <c r="R1450" s="12"/>
      <c r="S1450" s="12"/>
    </row>
    <row r="1451" spans="1:19" ht="14.25" customHeight="1" x14ac:dyDescent="0.2">
      <c r="A1451" s="1" t="s">
        <v>19</v>
      </c>
      <c r="B1451" s="7">
        <v>46094.890949074077</v>
      </c>
      <c r="C1451" s="7">
        <v>46094.910509259258</v>
      </c>
      <c r="D1451" s="8">
        <v>46094</v>
      </c>
      <c r="E1451" s="9">
        <v>0.91050925925810589</v>
      </c>
      <c r="F1451" s="10" t="s">
        <v>1681</v>
      </c>
      <c r="G1451" s="10" t="s">
        <v>21</v>
      </c>
      <c r="H1451" s="10" t="s">
        <v>41</v>
      </c>
      <c r="I1451" s="10" t="s">
        <v>23</v>
      </c>
      <c r="J1451" s="11">
        <v>1.77</v>
      </c>
      <c r="K1451" s="12"/>
      <c r="L1451" s="12"/>
      <c r="M1451" s="12"/>
      <c r="N1451" s="12"/>
      <c r="O1451" s="12"/>
      <c r="P1451" s="12"/>
      <c r="Q1451" s="12"/>
      <c r="R1451" s="12"/>
      <c r="S1451" s="12"/>
    </row>
    <row r="1452" spans="1:19" ht="14.25" customHeight="1" x14ac:dyDescent="0.2">
      <c r="A1452" s="1" t="s">
        <v>33</v>
      </c>
      <c r="B1452" s="7">
        <v>46094.896956018521</v>
      </c>
      <c r="C1452" s="7">
        <v>46094.910868055558</v>
      </c>
      <c r="D1452" s="8">
        <v>46094</v>
      </c>
      <c r="E1452" s="9">
        <v>0.91086805555823958</v>
      </c>
      <c r="F1452" s="10" t="s">
        <v>1682</v>
      </c>
      <c r="G1452" s="10" t="s">
        <v>21</v>
      </c>
      <c r="H1452" s="10" t="s">
        <v>22</v>
      </c>
      <c r="I1452" s="10" t="s">
        <v>23</v>
      </c>
      <c r="J1452" s="11">
        <v>0.83</v>
      </c>
      <c r="K1452" s="12"/>
      <c r="L1452" s="12"/>
      <c r="M1452" s="12"/>
      <c r="N1452" s="12"/>
      <c r="O1452" s="12"/>
      <c r="P1452" s="12"/>
      <c r="Q1452" s="12"/>
      <c r="R1452" s="12"/>
      <c r="S1452" s="12"/>
    </row>
    <row r="1453" spans="1:19" ht="14.25" customHeight="1" x14ac:dyDescent="0.2">
      <c r="A1453" s="22" t="s">
        <v>33</v>
      </c>
      <c r="B1453" s="23">
        <v>46094.879143518519</v>
      </c>
      <c r="C1453" s="23">
        <v>46094.911006944443</v>
      </c>
      <c r="D1453" s="24">
        <v>46094</v>
      </c>
      <c r="E1453" s="25">
        <v>0.91100694444321562</v>
      </c>
      <c r="F1453" s="22" t="s">
        <v>1683</v>
      </c>
      <c r="G1453" s="22" t="s">
        <v>21</v>
      </c>
      <c r="H1453" s="22" t="s">
        <v>22</v>
      </c>
      <c r="I1453" s="22" t="s">
        <v>583</v>
      </c>
      <c r="J1453" s="26">
        <v>0.83</v>
      </c>
      <c r="K1453" s="26"/>
      <c r="L1453" s="26"/>
      <c r="M1453" s="26"/>
      <c r="N1453" s="26"/>
      <c r="O1453" s="26"/>
      <c r="P1453" s="26"/>
      <c r="Q1453" s="26"/>
      <c r="R1453" s="26"/>
      <c r="S1453" s="26"/>
    </row>
    <row r="1454" spans="1:19" ht="14.25" customHeight="1" x14ac:dyDescent="0.2">
      <c r="A1454" s="22" t="s">
        <v>33</v>
      </c>
      <c r="B1454" s="23">
        <v>46094.879143518519</v>
      </c>
      <c r="C1454" s="23">
        <v>46094.911006944443</v>
      </c>
      <c r="D1454" s="24">
        <v>46094</v>
      </c>
      <c r="E1454" s="25">
        <v>0.91100694444321562</v>
      </c>
      <c r="F1454" s="22" t="s">
        <v>1684</v>
      </c>
      <c r="G1454" s="22" t="s">
        <v>21</v>
      </c>
      <c r="H1454" s="22" t="s">
        <v>142</v>
      </c>
      <c r="I1454" s="22" t="s">
        <v>583</v>
      </c>
      <c r="J1454" s="26">
        <v>0.83</v>
      </c>
      <c r="K1454" s="26"/>
      <c r="L1454" s="26"/>
      <c r="M1454" s="26"/>
      <c r="N1454" s="26"/>
      <c r="O1454" s="26"/>
      <c r="P1454" s="26"/>
      <c r="Q1454" s="26"/>
      <c r="R1454" s="26"/>
      <c r="S1454" s="26"/>
    </row>
    <row r="1455" spans="1:19" ht="14.25" customHeight="1" x14ac:dyDescent="0.2">
      <c r="A1455" s="1" t="s">
        <v>33</v>
      </c>
      <c r="B1455" s="7">
        <v>46094.896956018521</v>
      </c>
      <c r="C1455" s="7">
        <v>46094.911030092589</v>
      </c>
      <c r="D1455" s="8">
        <v>46094</v>
      </c>
      <c r="E1455" s="9">
        <v>0.91103009258949896</v>
      </c>
      <c r="F1455" s="10" t="s">
        <v>1685</v>
      </c>
      <c r="G1455" s="10" t="s">
        <v>21</v>
      </c>
      <c r="H1455" s="10" t="s">
        <v>52</v>
      </c>
      <c r="I1455" s="10" t="s">
        <v>23</v>
      </c>
      <c r="J1455" s="11">
        <v>0.98</v>
      </c>
      <c r="K1455" s="12"/>
      <c r="L1455" s="12"/>
      <c r="M1455" s="12"/>
      <c r="N1455" s="12"/>
      <c r="O1455" s="12"/>
      <c r="P1455" s="12"/>
      <c r="Q1455" s="12"/>
      <c r="R1455" s="12"/>
      <c r="S1455" s="12"/>
    </row>
    <row r="1456" spans="1:19" ht="14.25" customHeight="1" x14ac:dyDescent="0.2">
      <c r="A1456" s="1" t="s">
        <v>63</v>
      </c>
      <c r="B1456" s="7">
        <v>46094.89671296296</v>
      </c>
      <c r="C1456" s="7">
        <v>46094.912314814814</v>
      </c>
      <c r="D1456" s="8">
        <v>46094</v>
      </c>
      <c r="E1456" s="9">
        <v>0.91231481481372612</v>
      </c>
      <c r="F1456" s="10" t="s">
        <v>1686</v>
      </c>
      <c r="G1456" s="10" t="s">
        <v>21</v>
      </c>
      <c r="H1456" s="10" t="s">
        <v>1535</v>
      </c>
      <c r="I1456" s="10" t="s">
        <v>23</v>
      </c>
      <c r="J1456" s="11">
        <v>1.7</v>
      </c>
      <c r="K1456" s="12"/>
      <c r="L1456" s="12"/>
      <c r="M1456" s="12"/>
      <c r="N1456" s="12"/>
      <c r="O1456" s="12"/>
      <c r="P1456" s="12"/>
      <c r="Q1456" s="12"/>
      <c r="R1456" s="12"/>
      <c r="S1456" s="12"/>
    </row>
    <row r="1457" spans="1:19" ht="14.25" customHeight="1" x14ac:dyDescent="0.2">
      <c r="A1457" s="1" t="s">
        <v>42</v>
      </c>
      <c r="B1457" s="7">
        <v>46094.884768518517</v>
      </c>
      <c r="C1457" s="7">
        <v>46094.913344907407</v>
      </c>
      <c r="D1457" s="8">
        <v>46094</v>
      </c>
      <c r="E1457" s="9">
        <v>0.91334490740700858</v>
      </c>
      <c r="F1457" s="10" t="s">
        <v>1687</v>
      </c>
      <c r="G1457" s="10" t="s">
        <v>26</v>
      </c>
      <c r="H1457" s="10" t="s">
        <v>56</v>
      </c>
      <c r="I1457" s="10" t="s">
        <v>23</v>
      </c>
      <c r="J1457" s="11">
        <v>0.73</v>
      </c>
      <c r="K1457" s="12"/>
      <c r="L1457" s="12"/>
      <c r="M1457" s="12"/>
      <c r="N1457" s="12"/>
      <c r="O1457" s="12"/>
      <c r="P1457" s="12"/>
      <c r="Q1457" s="12"/>
      <c r="R1457" s="12"/>
      <c r="S1457" s="12"/>
    </row>
    <row r="1458" spans="1:19" ht="14.25" customHeight="1" x14ac:dyDescent="0.2">
      <c r="A1458" s="1" t="s">
        <v>28</v>
      </c>
      <c r="B1458" s="7">
        <v>46094.90252314815</v>
      </c>
      <c r="C1458" s="7">
        <v>46094.914606481485</v>
      </c>
      <c r="D1458" s="8">
        <v>46094</v>
      </c>
      <c r="E1458" s="9">
        <v>0.91460648148495238</v>
      </c>
      <c r="F1458" s="10" t="s">
        <v>1688</v>
      </c>
      <c r="G1458" s="10" t="s">
        <v>21</v>
      </c>
      <c r="H1458" s="10" t="s">
        <v>41</v>
      </c>
      <c r="I1458" s="10" t="s">
        <v>23</v>
      </c>
      <c r="J1458" s="11">
        <v>1.77</v>
      </c>
      <c r="K1458" s="12"/>
      <c r="L1458" s="12"/>
      <c r="M1458" s="12"/>
      <c r="N1458" s="12"/>
      <c r="O1458" s="12"/>
      <c r="P1458" s="12"/>
      <c r="Q1458" s="12"/>
      <c r="R1458" s="12"/>
      <c r="S1458" s="12"/>
    </row>
    <row r="1459" spans="1:19" ht="14.25" customHeight="1" x14ac:dyDescent="0.2">
      <c r="A1459" s="1" t="s">
        <v>33</v>
      </c>
      <c r="B1459" s="7">
        <v>46094.910763888889</v>
      </c>
      <c r="C1459" s="7">
        <v>46094.924409722225</v>
      </c>
      <c r="D1459" s="8">
        <v>46094</v>
      </c>
      <c r="E1459" s="9">
        <v>0.92440972222539131</v>
      </c>
      <c r="F1459" s="10" t="s">
        <v>1689</v>
      </c>
      <c r="G1459" s="10" t="s">
        <v>21</v>
      </c>
      <c r="H1459" s="10" t="s">
        <v>1690</v>
      </c>
      <c r="I1459" s="10" t="s">
        <v>23</v>
      </c>
      <c r="J1459" s="11">
        <v>1.1299999999999999</v>
      </c>
      <c r="K1459" s="12"/>
      <c r="L1459" s="12">
        <f>SUM(J1459:J1473)</f>
        <v>14.379999999999999</v>
      </c>
      <c r="M1459" s="13">
        <f>L1459*65</f>
        <v>934.69999999999993</v>
      </c>
      <c r="N1459" s="14">
        <f>MAX(500,M1459)</f>
        <v>934.69999999999993</v>
      </c>
      <c r="O1459" s="12"/>
      <c r="P1459" s="12"/>
      <c r="Q1459" s="12"/>
      <c r="R1459" s="12"/>
      <c r="S1459" s="12"/>
    </row>
    <row r="1460" spans="1:19" ht="14.25" customHeight="1" x14ac:dyDescent="0.2">
      <c r="A1460" s="22" t="s">
        <v>19</v>
      </c>
      <c r="B1460" s="23">
        <v>46094.884317129632</v>
      </c>
      <c r="C1460" s="23">
        <v>46094.928587962961</v>
      </c>
      <c r="D1460" s="24">
        <v>46094</v>
      </c>
      <c r="E1460" s="25">
        <v>0.92858796296059154</v>
      </c>
      <c r="F1460" s="22" t="s">
        <v>1691</v>
      </c>
      <c r="G1460" s="22" t="s">
        <v>21</v>
      </c>
      <c r="H1460" s="22" t="s">
        <v>268</v>
      </c>
      <c r="I1460" s="22" t="s">
        <v>583</v>
      </c>
      <c r="J1460" s="26">
        <v>1.35</v>
      </c>
      <c r="K1460" s="26"/>
      <c r="L1460" s="26"/>
      <c r="M1460" s="26"/>
      <c r="N1460" s="26"/>
      <c r="O1460" s="26"/>
      <c r="P1460" s="26"/>
      <c r="Q1460" s="26"/>
      <c r="R1460" s="26"/>
      <c r="S1460" s="26"/>
    </row>
    <row r="1461" spans="1:19" ht="14.25" customHeight="1" x14ac:dyDescent="0.2">
      <c r="A1461" s="1" t="s">
        <v>33</v>
      </c>
      <c r="B1461" s="7">
        <v>46094.911608796298</v>
      </c>
      <c r="C1461" s="7">
        <v>46094.933680555558</v>
      </c>
      <c r="D1461" s="8">
        <v>46094</v>
      </c>
      <c r="E1461" s="9">
        <v>0.9336805555576575</v>
      </c>
      <c r="F1461" s="10" t="s">
        <v>1692</v>
      </c>
      <c r="G1461" s="10" t="s">
        <v>26</v>
      </c>
      <c r="H1461" s="10" t="s">
        <v>86</v>
      </c>
      <c r="I1461" s="10" t="s">
        <v>23</v>
      </c>
      <c r="J1461" s="11">
        <v>0.88</v>
      </c>
      <c r="K1461" s="12"/>
      <c r="L1461" s="12"/>
      <c r="M1461" s="12"/>
      <c r="N1461" s="12"/>
      <c r="O1461" s="12"/>
      <c r="P1461" s="12"/>
      <c r="Q1461" s="12"/>
      <c r="R1461" s="12"/>
      <c r="S1461" s="12"/>
    </row>
    <row r="1462" spans="1:19" ht="14.25" customHeight="1" x14ac:dyDescent="0.2">
      <c r="A1462" s="22" t="s">
        <v>24</v>
      </c>
      <c r="B1462" s="23">
        <v>46094.895162037035</v>
      </c>
      <c r="C1462" s="23">
        <v>46094.936354166668</v>
      </c>
      <c r="D1462" s="24">
        <v>46094</v>
      </c>
      <c r="E1462" s="25">
        <v>0.93635416666802485</v>
      </c>
      <c r="F1462" s="22" t="s">
        <v>1693</v>
      </c>
      <c r="G1462" s="22" t="s">
        <v>21</v>
      </c>
      <c r="H1462" s="22" t="s">
        <v>22</v>
      </c>
      <c r="I1462" s="22" t="s">
        <v>583</v>
      </c>
      <c r="J1462" s="26">
        <v>0.83</v>
      </c>
      <c r="K1462" s="26"/>
      <c r="L1462" s="26"/>
      <c r="M1462" s="26"/>
      <c r="N1462" s="26"/>
      <c r="O1462" s="26"/>
      <c r="P1462" s="26"/>
      <c r="Q1462" s="26"/>
      <c r="R1462" s="26"/>
      <c r="S1462" s="26"/>
    </row>
    <row r="1463" spans="1:19" ht="14.25" customHeight="1" x14ac:dyDescent="0.2">
      <c r="A1463" s="1" t="s">
        <v>19</v>
      </c>
      <c r="B1463" s="7">
        <v>46094.923321759263</v>
      </c>
      <c r="C1463" s="7">
        <v>46094.936874999999</v>
      </c>
      <c r="D1463" s="8">
        <v>46094</v>
      </c>
      <c r="E1463" s="9">
        <v>0.93687499999941792</v>
      </c>
      <c r="F1463" s="10" t="s">
        <v>1694</v>
      </c>
      <c r="G1463" s="10" t="s">
        <v>21</v>
      </c>
      <c r="H1463" s="10" t="s">
        <v>41</v>
      </c>
      <c r="I1463" s="10" t="s">
        <v>23</v>
      </c>
      <c r="J1463" s="11">
        <v>1.77</v>
      </c>
      <c r="K1463" s="12"/>
      <c r="L1463" s="12"/>
      <c r="M1463" s="12"/>
      <c r="N1463" s="12"/>
      <c r="O1463" s="12"/>
      <c r="P1463" s="12"/>
      <c r="Q1463" s="12"/>
      <c r="R1463" s="12"/>
      <c r="S1463" s="12"/>
    </row>
    <row r="1464" spans="1:19" ht="14.25" customHeight="1" x14ac:dyDescent="0.2">
      <c r="A1464" s="1" t="s">
        <v>24</v>
      </c>
      <c r="B1464" s="7">
        <v>46094.918865740743</v>
      </c>
      <c r="C1464" s="7">
        <v>46094.937245370369</v>
      </c>
      <c r="D1464" s="8">
        <v>46094</v>
      </c>
      <c r="E1464" s="9">
        <v>0.93724537036905531</v>
      </c>
      <c r="F1464" s="10" t="s">
        <v>1695</v>
      </c>
      <c r="G1464" s="10" t="s">
        <v>21</v>
      </c>
      <c r="H1464" s="10" t="s">
        <v>1696</v>
      </c>
      <c r="I1464" s="10" t="s">
        <v>23</v>
      </c>
      <c r="J1464" s="11">
        <v>0.98</v>
      </c>
      <c r="K1464" s="12"/>
      <c r="L1464" s="12"/>
      <c r="M1464" s="12"/>
      <c r="N1464" s="12"/>
      <c r="O1464" s="12"/>
      <c r="P1464" s="12"/>
      <c r="Q1464" s="12"/>
      <c r="R1464" s="12"/>
      <c r="S1464" s="12"/>
    </row>
    <row r="1465" spans="1:19" ht="14.25" customHeight="1" x14ac:dyDescent="0.2">
      <c r="A1465" s="1" t="s">
        <v>24</v>
      </c>
      <c r="B1465" s="7">
        <v>46094.608958333331</v>
      </c>
      <c r="C1465" s="7">
        <v>46094.938321759262</v>
      </c>
      <c r="D1465" s="8">
        <v>46094</v>
      </c>
      <c r="E1465" s="9">
        <v>0.93832175926218042</v>
      </c>
      <c r="F1465" s="10" t="s">
        <v>1697</v>
      </c>
      <c r="G1465" s="10" t="s">
        <v>21</v>
      </c>
      <c r="H1465" s="10" t="s">
        <v>71</v>
      </c>
      <c r="I1465" s="10" t="s">
        <v>23</v>
      </c>
      <c r="J1465" s="11">
        <v>1.05</v>
      </c>
      <c r="K1465" s="12"/>
      <c r="L1465" s="12"/>
      <c r="M1465" s="12"/>
      <c r="N1465" s="12"/>
      <c r="O1465" s="12"/>
      <c r="P1465" s="12"/>
      <c r="Q1465" s="12"/>
      <c r="R1465" s="12"/>
      <c r="S1465" s="12"/>
    </row>
    <row r="1466" spans="1:19" ht="14.25" customHeight="1" x14ac:dyDescent="0.2">
      <c r="A1466" s="1" t="s">
        <v>28</v>
      </c>
      <c r="B1466" s="7">
        <v>46094.929490740738</v>
      </c>
      <c r="C1466" s="7">
        <v>46094.940972222219</v>
      </c>
      <c r="D1466" s="8">
        <v>46094</v>
      </c>
      <c r="E1466" s="9">
        <v>0.94097222221898846</v>
      </c>
      <c r="F1466" s="10" t="s">
        <v>1698</v>
      </c>
      <c r="G1466" s="10" t="s">
        <v>21</v>
      </c>
      <c r="H1466" s="10" t="s">
        <v>41</v>
      </c>
      <c r="I1466" s="10" t="s">
        <v>23</v>
      </c>
      <c r="J1466" s="11">
        <v>1.77</v>
      </c>
      <c r="K1466" s="12"/>
      <c r="L1466" s="12"/>
      <c r="M1466" s="12"/>
      <c r="N1466" s="12"/>
      <c r="O1466" s="12"/>
      <c r="P1466" s="12"/>
      <c r="Q1466" s="12"/>
      <c r="R1466" s="12"/>
      <c r="S1466" s="12"/>
    </row>
    <row r="1467" spans="1:19" ht="14.25" customHeight="1" x14ac:dyDescent="0.2">
      <c r="A1467" s="22" t="s">
        <v>24</v>
      </c>
      <c r="B1467" s="23">
        <v>46094.916504629633</v>
      </c>
      <c r="C1467" s="23">
        <v>46094.942337962966</v>
      </c>
      <c r="D1467" s="24">
        <v>46094</v>
      </c>
      <c r="E1467" s="25">
        <v>0.94233796296612127</v>
      </c>
      <c r="F1467" s="22" t="s">
        <v>1699</v>
      </c>
      <c r="G1467" s="22" t="s">
        <v>21</v>
      </c>
      <c r="H1467" s="22" t="s">
        <v>52</v>
      </c>
      <c r="I1467" s="22" t="s">
        <v>583</v>
      </c>
      <c r="J1467" s="26">
        <v>0.98</v>
      </c>
      <c r="K1467" s="26"/>
      <c r="L1467" s="26"/>
      <c r="M1467" s="26"/>
      <c r="N1467" s="26"/>
      <c r="O1467" s="26"/>
      <c r="P1467" s="26"/>
      <c r="Q1467" s="26"/>
      <c r="R1467" s="26"/>
      <c r="S1467" s="26"/>
    </row>
    <row r="1468" spans="1:19" ht="14.25" customHeight="1" x14ac:dyDescent="0.2">
      <c r="A1468" s="22" t="s">
        <v>33</v>
      </c>
      <c r="B1468" s="23">
        <v>46094.898668981485</v>
      </c>
      <c r="C1468" s="23">
        <v>46094.945023148146</v>
      </c>
      <c r="D1468" s="24">
        <v>46094</v>
      </c>
      <c r="E1468" s="25">
        <v>0.94502314814599231</v>
      </c>
      <c r="F1468" s="22" t="s">
        <v>1700</v>
      </c>
      <c r="G1468" s="22" t="s">
        <v>44</v>
      </c>
      <c r="H1468" s="22" t="s">
        <v>185</v>
      </c>
      <c r="I1468" s="22" t="s">
        <v>583</v>
      </c>
      <c r="J1468" s="26">
        <v>0.18</v>
      </c>
      <c r="K1468" s="26"/>
      <c r="L1468" s="26"/>
      <c r="M1468" s="26"/>
      <c r="N1468" s="26"/>
      <c r="O1468" s="26"/>
      <c r="P1468" s="26"/>
      <c r="Q1468" s="26"/>
      <c r="R1468" s="26"/>
      <c r="S1468" s="26"/>
    </row>
    <row r="1469" spans="1:19" ht="14.25" customHeight="1" x14ac:dyDescent="0.2">
      <c r="A1469" s="1" t="s">
        <v>33</v>
      </c>
      <c r="B1469" s="7">
        <v>46094.926863425928</v>
      </c>
      <c r="C1469" s="7">
        <v>46094.946331018517</v>
      </c>
      <c r="D1469" s="8">
        <v>46094</v>
      </c>
      <c r="E1469" s="9">
        <v>0.94633101851650281</v>
      </c>
      <c r="F1469" s="10" t="s">
        <v>1701</v>
      </c>
      <c r="G1469" s="10" t="s">
        <v>21</v>
      </c>
      <c r="H1469" s="10" t="s">
        <v>440</v>
      </c>
      <c r="I1469" s="10" t="s">
        <v>23</v>
      </c>
      <c r="J1469" s="11">
        <v>2.34</v>
      </c>
      <c r="K1469" s="12"/>
      <c r="L1469" s="12"/>
      <c r="M1469" s="12"/>
      <c r="N1469" s="12"/>
      <c r="O1469" s="12"/>
      <c r="P1469" s="12"/>
      <c r="Q1469" s="12"/>
      <c r="R1469" s="12"/>
      <c r="S1469" s="12"/>
    </row>
    <row r="1470" spans="1:19" ht="14.25" customHeight="1" x14ac:dyDescent="0.2">
      <c r="A1470" s="22" t="s">
        <v>33</v>
      </c>
      <c r="B1470" s="23">
        <v>46094.876250000001</v>
      </c>
      <c r="C1470" s="23">
        <v>46094.948553240742</v>
      </c>
      <c r="D1470" s="24">
        <v>46094</v>
      </c>
      <c r="E1470" s="25">
        <v>0.94855324074160308</v>
      </c>
      <c r="F1470" s="22" t="s">
        <v>1702</v>
      </c>
      <c r="G1470" s="22" t="s">
        <v>44</v>
      </c>
      <c r="H1470" s="22" t="s">
        <v>185</v>
      </c>
      <c r="I1470" s="22" t="s">
        <v>583</v>
      </c>
      <c r="J1470" s="26">
        <v>0.18</v>
      </c>
      <c r="K1470" s="26"/>
      <c r="L1470" s="26"/>
      <c r="M1470" s="26"/>
      <c r="N1470" s="26"/>
      <c r="O1470" s="26"/>
      <c r="P1470" s="26"/>
      <c r="Q1470" s="26"/>
      <c r="R1470" s="26"/>
      <c r="S1470" s="26"/>
    </row>
    <row r="1471" spans="1:19" ht="14.25" customHeight="1" x14ac:dyDescent="0.2">
      <c r="A1471" s="1" t="s">
        <v>19</v>
      </c>
      <c r="B1471" s="7">
        <v>46094.924201388887</v>
      </c>
      <c r="C1471" s="7">
        <v>46094.949247685188</v>
      </c>
      <c r="D1471" s="8">
        <v>46094</v>
      </c>
      <c r="E1471" s="9">
        <v>0.94924768518831115</v>
      </c>
      <c r="F1471" s="10" t="s">
        <v>1703</v>
      </c>
      <c r="G1471" s="10" t="s">
        <v>26</v>
      </c>
      <c r="H1471" s="10" t="s">
        <v>205</v>
      </c>
      <c r="I1471" s="10" t="s">
        <v>23</v>
      </c>
      <c r="J1471" s="11">
        <v>0.57999999999999996</v>
      </c>
      <c r="K1471" s="12"/>
      <c r="L1471" s="12"/>
      <c r="M1471" s="12"/>
      <c r="N1471" s="12"/>
      <c r="O1471" s="12"/>
      <c r="P1471" s="12"/>
      <c r="Q1471" s="12"/>
      <c r="R1471" s="12"/>
      <c r="S1471" s="12"/>
    </row>
    <row r="1472" spans="1:19" ht="14.25" customHeight="1" x14ac:dyDescent="0.2">
      <c r="A1472" s="22" t="s">
        <v>33</v>
      </c>
      <c r="B1472" s="23">
        <v>46094.876250000001</v>
      </c>
      <c r="C1472" s="23">
        <v>46094.950729166667</v>
      </c>
      <c r="D1472" s="24">
        <v>46094</v>
      </c>
      <c r="E1472" s="25">
        <v>0.95072916666686069</v>
      </c>
      <c r="F1472" s="22" t="s">
        <v>1704</v>
      </c>
      <c r="G1472" s="22" t="s">
        <v>44</v>
      </c>
      <c r="H1472" s="22" t="s">
        <v>1705</v>
      </c>
      <c r="I1472" s="22" t="s">
        <v>583</v>
      </c>
      <c r="J1472" s="26">
        <v>0.18</v>
      </c>
      <c r="K1472" s="26"/>
      <c r="L1472" s="26"/>
      <c r="M1472" s="26"/>
      <c r="N1472" s="26"/>
      <c r="O1472" s="26"/>
      <c r="P1472" s="26"/>
      <c r="Q1472" s="26"/>
      <c r="R1472" s="26"/>
      <c r="S1472" s="26"/>
    </row>
    <row r="1473" spans="1:19" ht="14.25" customHeight="1" x14ac:dyDescent="0.2">
      <c r="A1473" s="22" t="s">
        <v>19</v>
      </c>
      <c r="B1473" s="23">
        <v>46094.86859953704</v>
      </c>
      <c r="C1473" s="23">
        <v>46094.951909722222</v>
      </c>
      <c r="D1473" s="24">
        <v>46094</v>
      </c>
      <c r="E1473" s="25">
        <v>0.95190972222189885</v>
      </c>
      <c r="F1473" s="22" t="s">
        <v>1706</v>
      </c>
      <c r="G1473" s="22" t="s">
        <v>44</v>
      </c>
      <c r="H1473" s="22" t="s">
        <v>185</v>
      </c>
      <c r="I1473" s="22" t="s">
        <v>583</v>
      </c>
      <c r="J1473" s="26">
        <v>0.18</v>
      </c>
      <c r="K1473" s="26"/>
      <c r="L1473" s="26"/>
      <c r="M1473" s="26"/>
      <c r="N1473" s="26"/>
      <c r="O1473" s="26"/>
      <c r="P1473" s="26"/>
      <c r="Q1473" s="26"/>
      <c r="R1473" s="26"/>
      <c r="S1473" s="26"/>
    </row>
    <row r="1474" spans="1:19" ht="14.25" customHeight="1" x14ac:dyDescent="0.2">
      <c r="A1474" s="22" t="s">
        <v>19</v>
      </c>
      <c r="B1474" s="23">
        <v>46094.939074074071</v>
      </c>
      <c r="C1474" s="23">
        <v>46094.959675925929</v>
      </c>
      <c r="D1474" s="24">
        <v>46094</v>
      </c>
      <c r="E1474" s="25">
        <v>0.95967592592933215</v>
      </c>
      <c r="F1474" s="22" t="s">
        <v>1707</v>
      </c>
      <c r="G1474" s="22" t="s">
        <v>21</v>
      </c>
      <c r="H1474" s="22" t="s">
        <v>1342</v>
      </c>
      <c r="I1474" s="22" t="s">
        <v>583</v>
      </c>
      <c r="J1474" s="26">
        <v>0.83</v>
      </c>
      <c r="K1474" s="26"/>
      <c r="L1474" s="26">
        <f>SUM(J1474:J1499)</f>
        <v>19.999999999999993</v>
      </c>
      <c r="M1474" s="13">
        <f>L1474*65</f>
        <v>1299.9999999999995</v>
      </c>
      <c r="N1474" s="14">
        <f>MAX(500,M1474)</f>
        <v>1299.9999999999995</v>
      </c>
      <c r="O1474" s="26"/>
      <c r="P1474" s="26"/>
      <c r="Q1474" s="26"/>
      <c r="R1474" s="26"/>
      <c r="S1474" s="26"/>
    </row>
    <row r="1475" spans="1:19" ht="14.25" customHeight="1" x14ac:dyDescent="0.2">
      <c r="A1475" s="1" t="s">
        <v>19</v>
      </c>
      <c r="B1475" s="7">
        <v>46094.921539351853</v>
      </c>
      <c r="C1475" s="7">
        <v>46094.960219907407</v>
      </c>
      <c r="D1475" s="8">
        <v>46094</v>
      </c>
      <c r="E1475" s="9">
        <v>0.96021990740700858</v>
      </c>
      <c r="F1475" s="10" t="s">
        <v>1708</v>
      </c>
      <c r="G1475" s="10" t="s">
        <v>21</v>
      </c>
      <c r="H1475" s="10" t="s">
        <v>1709</v>
      </c>
      <c r="I1475" s="10" t="s">
        <v>23</v>
      </c>
      <c r="J1475" s="11">
        <v>1.77</v>
      </c>
      <c r="K1475" s="12"/>
      <c r="L1475" s="12"/>
      <c r="M1475" s="12"/>
      <c r="N1475" s="12"/>
      <c r="O1475" s="12"/>
      <c r="P1475" s="12"/>
      <c r="Q1475" s="12"/>
      <c r="R1475" s="12"/>
      <c r="S1475" s="12"/>
    </row>
    <row r="1476" spans="1:19" ht="14.25" customHeight="1" x14ac:dyDescent="0.2">
      <c r="A1476" s="1" t="s">
        <v>19</v>
      </c>
      <c r="B1476" s="7">
        <v>46094.945277777777</v>
      </c>
      <c r="C1476" s="7">
        <v>46094.961689814816</v>
      </c>
      <c r="D1476" s="8">
        <v>46094</v>
      </c>
      <c r="E1476" s="9">
        <v>0.96168981481605442</v>
      </c>
      <c r="F1476" s="10" t="s">
        <v>1710</v>
      </c>
      <c r="G1476" s="10" t="s">
        <v>21</v>
      </c>
      <c r="H1476" s="10" t="s">
        <v>101</v>
      </c>
      <c r="I1476" s="10" t="s">
        <v>23</v>
      </c>
      <c r="J1476" s="11">
        <v>1.7</v>
      </c>
      <c r="K1476" s="12"/>
      <c r="L1476" s="12"/>
      <c r="M1476" s="12"/>
      <c r="N1476" s="12"/>
      <c r="O1476" s="12"/>
      <c r="P1476" s="12"/>
      <c r="Q1476" s="12"/>
      <c r="R1476" s="12"/>
      <c r="S1476" s="12"/>
    </row>
    <row r="1477" spans="1:19" ht="14.25" customHeight="1" x14ac:dyDescent="0.2">
      <c r="A1477" s="1" t="s">
        <v>19</v>
      </c>
      <c r="B1477" s="7">
        <v>46094.956979166665</v>
      </c>
      <c r="C1477" s="7">
        <v>46094.966840277775</v>
      </c>
      <c r="D1477" s="8">
        <v>46094</v>
      </c>
      <c r="E1477" s="9">
        <v>0.96684027777519077</v>
      </c>
      <c r="F1477" s="10" t="s">
        <v>1711</v>
      </c>
      <c r="G1477" s="10" t="s">
        <v>21</v>
      </c>
      <c r="H1477" s="10" t="s">
        <v>101</v>
      </c>
      <c r="I1477" s="10" t="s">
        <v>23</v>
      </c>
      <c r="J1477" s="11">
        <v>1.7</v>
      </c>
      <c r="K1477" s="12"/>
      <c r="L1477" s="12"/>
      <c r="M1477" s="12"/>
      <c r="N1477" s="12"/>
      <c r="O1477" s="12"/>
      <c r="P1477" s="12"/>
      <c r="Q1477" s="12"/>
      <c r="R1477" s="12"/>
      <c r="S1477" s="12"/>
    </row>
    <row r="1478" spans="1:19" ht="14.25" customHeight="1" x14ac:dyDescent="0.2">
      <c r="A1478" s="22" t="s">
        <v>28</v>
      </c>
      <c r="B1478" s="23">
        <v>46094.943761574075</v>
      </c>
      <c r="C1478" s="23">
        <v>46094.96806712963</v>
      </c>
      <c r="D1478" s="24">
        <v>46094</v>
      </c>
      <c r="E1478" s="25">
        <v>0.96806712963007158</v>
      </c>
      <c r="F1478" s="22" t="s">
        <v>1712</v>
      </c>
      <c r="G1478" s="22" t="s">
        <v>21</v>
      </c>
      <c r="H1478" s="22" t="s">
        <v>41</v>
      </c>
      <c r="I1478" s="22" t="s">
        <v>583</v>
      </c>
      <c r="J1478" s="26">
        <v>1.77</v>
      </c>
      <c r="K1478" s="26"/>
      <c r="L1478" s="26"/>
      <c r="M1478" s="26"/>
      <c r="N1478" s="26"/>
      <c r="O1478" s="26"/>
      <c r="P1478" s="26"/>
      <c r="Q1478" s="26"/>
      <c r="R1478" s="26"/>
      <c r="S1478" s="26"/>
    </row>
    <row r="1479" spans="1:19" ht="14.25" customHeight="1" x14ac:dyDescent="0.2">
      <c r="A1479" s="22" t="s">
        <v>33</v>
      </c>
      <c r="B1479" s="23">
        <v>46094.915312500001</v>
      </c>
      <c r="C1479" s="23">
        <v>46094.970023148147</v>
      </c>
      <c r="D1479" s="24">
        <v>46094</v>
      </c>
      <c r="E1479" s="25">
        <v>0.9700231481474475</v>
      </c>
      <c r="F1479" s="22" t="s">
        <v>1713</v>
      </c>
      <c r="G1479" s="22" t="s">
        <v>44</v>
      </c>
      <c r="H1479" s="22" t="s">
        <v>185</v>
      </c>
      <c r="I1479" s="22" t="s">
        <v>583</v>
      </c>
      <c r="J1479" s="26">
        <v>0.18</v>
      </c>
      <c r="K1479" s="26"/>
      <c r="L1479" s="26"/>
      <c r="M1479" s="26"/>
      <c r="N1479" s="26"/>
      <c r="O1479" s="26"/>
      <c r="P1479" s="26"/>
      <c r="Q1479" s="26"/>
      <c r="R1479" s="26"/>
      <c r="S1479" s="26"/>
    </row>
    <row r="1480" spans="1:19" ht="14.25" customHeight="1" x14ac:dyDescent="0.2">
      <c r="A1480" s="1" t="s">
        <v>24</v>
      </c>
      <c r="B1480" s="7">
        <v>46094.958310185182</v>
      </c>
      <c r="C1480" s="7">
        <v>46094.970717592594</v>
      </c>
      <c r="D1480" s="8">
        <v>46094</v>
      </c>
      <c r="E1480" s="9">
        <v>0.97071759259415558</v>
      </c>
      <c r="F1480" s="10" t="s">
        <v>1714</v>
      </c>
      <c r="G1480" s="10" t="s">
        <v>26</v>
      </c>
      <c r="H1480" s="10" t="s">
        <v>202</v>
      </c>
      <c r="I1480" s="10" t="s">
        <v>23</v>
      </c>
      <c r="J1480" s="11">
        <v>0.57999999999999996</v>
      </c>
      <c r="K1480" s="12"/>
      <c r="L1480" s="12"/>
      <c r="M1480" s="12"/>
      <c r="N1480" s="12"/>
      <c r="O1480" s="12"/>
      <c r="P1480" s="12"/>
      <c r="Q1480" s="12"/>
      <c r="R1480" s="12"/>
      <c r="S1480" s="12"/>
    </row>
    <row r="1481" spans="1:19" ht="14.25" customHeight="1" x14ac:dyDescent="0.2">
      <c r="A1481" s="22" t="s">
        <v>24</v>
      </c>
      <c r="B1481" s="23">
        <v>46094.948194444441</v>
      </c>
      <c r="C1481" s="23">
        <v>46094.972002314818</v>
      </c>
      <c r="D1481" s="24">
        <v>46094</v>
      </c>
      <c r="E1481" s="25">
        <v>0.97200231481838273</v>
      </c>
      <c r="F1481" s="22" t="s">
        <v>1715</v>
      </c>
      <c r="G1481" s="22" t="s">
        <v>44</v>
      </c>
      <c r="H1481" s="22" t="s">
        <v>185</v>
      </c>
      <c r="I1481" s="22" t="s">
        <v>583</v>
      </c>
      <c r="J1481" s="26">
        <v>0.18</v>
      </c>
      <c r="K1481" s="26"/>
      <c r="L1481" s="26"/>
      <c r="M1481" s="26"/>
      <c r="N1481" s="26"/>
      <c r="O1481" s="26"/>
      <c r="P1481" s="26"/>
      <c r="Q1481" s="26"/>
      <c r="R1481" s="26"/>
      <c r="S1481" s="26"/>
    </row>
    <row r="1482" spans="1:19" ht="14.25" customHeight="1" x14ac:dyDescent="0.2">
      <c r="A1482" s="22" t="s">
        <v>19</v>
      </c>
      <c r="B1482" s="23">
        <v>46094.927893518521</v>
      </c>
      <c r="C1482" s="23">
        <v>46094.974050925928</v>
      </c>
      <c r="D1482" s="24">
        <v>46094</v>
      </c>
      <c r="E1482" s="25">
        <v>0.974050925928168</v>
      </c>
      <c r="F1482" s="22" t="s">
        <v>1716</v>
      </c>
      <c r="G1482" s="22" t="s">
        <v>44</v>
      </c>
      <c r="H1482" s="22" t="s">
        <v>185</v>
      </c>
      <c r="I1482" s="22" t="s">
        <v>583</v>
      </c>
      <c r="J1482" s="26">
        <v>0.18</v>
      </c>
      <c r="K1482" s="26"/>
      <c r="L1482" s="26"/>
      <c r="M1482" s="26"/>
      <c r="N1482" s="26"/>
      <c r="O1482" s="26"/>
      <c r="P1482" s="26"/>
      <c r="Q1482" s="26"/>
      <c r="R1482" s="26"/>
      <c r="S1482" s="26"/>
    </row>
    <row r="1483" spans="1:19" ht="14.25" customHeight="1" x14ac:dyDescent="0.2">
      <c r="A1483" s="22" t="s">
        <v>33</v>
      </c>
      <c r="B1483" s="23">
        <v>46094.91946759259</v>
      </c>
      <c r="C1483" s="23">
        <v>46094.976273148146</v>
      </c>
      <c r="D1483" s="24">
        <v>46094</v>
      </c>
      <c r="E1483" s="25">
        <v>0.97627314814599231</v>
      </c>
      <c r="F1483" s="22" t="s">
        <v>1717</v>
      </c>
      <c r="G1483" s="22" t="s">
        <v>44</v>
      </c>
      <c r="H1483" s="22" t="s">
        <v>185</v>
      </c>
      <c r="I1483" s="22" t="s">
        <v>583</v>
      </c>
      <c r="J1483" s="26">
        <v>0.18</v>
      </c>
      <c r="K1483" s="26"/>
      <c r="L1483" s="26"/>
      <c r="M1483" s="26"/>
      <c r="N1483" s="26"/>
      <c r="O1483" s="26"/>
      <c r="P1483" s="26"/>
      <c r="Q1483" s="26"/>
      <c r="R1483" s="26"/>
      <c r="S1483" s="26"/>
    </row>
    <row r="1484" spans="1:19" ht="14.25" customHeight="1" x14ac:dyDescent="0.2">
      <c r="A1484" s="22" t="s">
        <v>230</v>
      </c>
      <c r="B1484" s="23">
        <v>46094.956446759257</v>
      </c>
      <c r="C1484" s="23">
        <v>46094.979004629633</v>
      </c>
      <c r="D1484" s="24">
        <v>46094</v>
      </c>
      <c r="E1484" s="25">
        <v>0.97900462963298196</v>
      </c>
      <c r="F1484" s="22" t="s">
        <v>1718</v>
      </c>
      <c r="G1484" s="22" t="s">
        <v>44</v>
      </c>
      <c r="H1484" s="22" t="s">
        <v>446</v>
      </c>
      <c r="I1484" s="22" t="s">
        <v>583</v>
      </c>
      <c r="J1484" s="26">
        <v>0.18</v>
      </c>
      <c r="K1484" s="26"/>
      <c r="L1484" s="26"/>
      <c r="M1484" s="26"/>
      <c r="N1484" s="26"/>
      <c r="O1484" s="26"/>
      <c r="P1484" s="26"/>
      <c r="Q1484" s="26"/>
      <c r="R1484" s="26"/>
      <c r="S1484" s="26"/>
    </row>
    <row r="1485" spans="1:19" ht="14.25" customHeight="1" x14ac:dyDescent="0.2">
      <c r="A1485" s="22" t="s">
        <v>28</v>
      </c>
      <c r="B1485" s="23">
        <v>46094.893460648149</v>
      </c>
      <c r="C1485" s="23">
        <v>46094.980787037035</v>
      </c>
      <c r="D1485" s="24">
        <v>46094</v>
      </c>
      <c r="E1485" s="25">
        <v>0.98078703703504289</v>
      </c>
      <c r="F1485" s="22" t="s">
        <v>1719</v>
      </c>
      <c r="G1485" s="22" t="s">
        <v>44</v>
      </c>
      <c r="H1485" s="22" t="s">
        <v>1522</v>
      </c>
      <c r="I1485" s="22" t="s">
        <v>583</v>
      </c>
      <c r="J1485" s="26">
        <v>0.18</v>
      </c>
      <c r="K1485" s="26"/>
      <c r="L1485" s="26"/>
      <c r="M1485" s="26"/>
      <c r="N1485" s="26"/>
      <c r="O1485" s="26"/>
      <c r="P1485" s="26"/>
      <c r="Q1485" s="26"/>
      <c r="R1485" s="26"/>
      <c r="S1485" s="26"/>
    </row>
    <row r="1486" spans="1:19" ht="14.25" customHeight="1" x14ac:dyDescent="0.2">
      <c r="A1486" s="22" t="s">
        <v>57</v>
      </c>
      <c r="B1486" s="23">
        <v>46094.933113425926</v>
      </c>
      <c r="C1486" s="23">
        <v>46094.983275462961</v>
      </c>
      <c r="D1486" s="24">
        <v>46094</v>
      </c>
      <c r="E1486" s="25">
        <v>0.98327546296059154</v>
      </c>
      <c r="F1486" s="22" t="s">
        <v>1720</v>
      </c>
      <c r="G1486" s="22" t="s">
        <v>44</v>
      </c>
      <c r="H1486" s="22" t="s">
        <v>1721</v>
      </c>
      <c r="I1486" s="22" t="s">
        <v>583</v>
      </c>
      <c r="J1486" s="26">
        <v>0.21</v>
      </c>
      <c r="K1486" s="26"/>
      <c r="L1486" s="26"/>
      <c r="M1486" s="26"/>
      <c r="N1486" s="26"/>
      <c r="O1486" s="26"/>
      <c r="P1486" s="26"/>
      <c r="Q1486" s="26"/>
      <c r="R1486" s="26"/>
      <c r="S1486" s="26"/>
    </row>
    <row r="1487" spans="1:19" ht="14.25" customHeight="1" x14ac:dyDescent="0.2">
      <c r="A1487" s="1" t="s">
        <v>42</v>
      </c>
      <c r="B1487" s="7">
        <v>46094.946030092593</v>
      </c>
      <c r="C1487" s="7">
        <v>46094.984027777777</v>
      </c>
      <c r="D1487" s="8">
        <v>46094</v>
      </c>
      <c r="E1487" s="9">
        <v>0.98402777777664596</v>
      </c>
      <c r="F1487" s="10" t="s">
        <v>1722</v>
      </c>
      <c r="G1487" s="10" t="s">
        <v>26</v>
      </c>
      <c r="H1487" s="10" t="s">
        <v>172</v>
      </c>
      <c r="I1487" s="10" t="s">
        <v>23</v>
      </c>
      <c r="J1487" s="11">
        <v>0.67</v>
      </c>
      <c r="K1487" s="12"/>
      <c r="L1487" s="12"/>
      <c r="M1487" s="12"/>
      <c r="N1487" s="12"/>
      <c r="O1487" s="12"/>
      <c r="P1487" s="12"/>
      <c r="Q1487" s="12"/>
      <c r="R1487" s="12"/>
      <c r="S1487" s="12"/>
    </row>
    <row r="1488" spans="1:19" ht="14.25" customHeight="1" x14ac:dyDescent="0.2">
      <c r="A1488" s="22" t="s">
        <v>19</v>
      </c>
      <c r="B1488" s="23">
        <v>46094.936018518521</v>
      </c>
      <c r="C1488" s="23">
        <v>46094.985578703701</v>
      </c>
      <c r="D1488" s="24">
        <v>46094</v>
      </c>
      <c r="E1488" s="25">
        <v>0.9855787037013215</v>
      </c>
      <c r="F1488" s="22" t="s">
        <v>1723</v>
      </c>
      <c r="G1488" s="22" t="s">
        <v>44</v>
      </c>
      <c r="H1488" s="22" t="s">
        <v>185</v>
      </c>
      <c r="I1488" s="22" t="s">
        <v>583</v>
      </c>
      <c r="J1488" s="26">
        <v>0.18</v>
      </c>
      <c r="K1488" s="26"/>
      <c r="L1488" s="26"/>
      <c r="M1488" s="26"/>
      <c r="N1488" s="26"/>
      <c r="O1488" s="26"/>
      <c r="P1488" s="26"/>
      <c r="Q1488" s="26"/>
      <c r="R1488" s="26"/>
      <c r="S1488" s="26"/>
    </row>
    <row r="1489" spans="1:19" ht="14.25" customHeight="1" x14ac:dyDescent="0.2">
      <c r="A1489" s="22" t="s">
        <v>28</v>
      </c>
      <c r="B1489" s="23">
        <v>46094.894328703704</v>
      </c>
      <c r="C1489" s="23">
        <v>46094.987534722219</v>
      </c>
      <c r="D1489" s="24">
        <v>46094</v>
      </c>
      <c r="E1489" s="25">
        <v>0.98753472221869742</v>
      </c>
      <c r="F1489" s="22" t="s">
        <v>1724</v>
      </c>
      <c r="G1489" s="22" t="s">
        <v>44</v>
      </c>
      <c r="H1489" s="22" t="s">
        <v>185</v>
      </c>
      <c r="I1489" s="22" t="s">
        <v>583</v>
      </c>
      <c r="J1489" s="26">
        <v>0.18</v>
      </c>
      <c r="K1489" s="26"/>
      <c r="L1489" s="26"/>
      <c r="M1489" s="26"/>
      <c r="N1489" s="26"/>
      <c r="O1489" s="26"/>
      <c r="P1489" s="26"/>
      <c r="Q1489" s="26"/>
      <c r="R1489" s="26"/>
      <c r="S1489" s="26"/>
    </row>
    <row r="1490" spans="1:19" ht="14.25" customHeight="1" x14ac:dyDescent="0.2">
      <c r="A1490" s="22" t="s">
        <v>24</v>
      </c>
      <c r="B1490" s="23">
        <v>46094.900937500002</v>
      </c>
      <c r="C1490" s="23">
        <v>46094.989641203705</v>
      </c>
      <c r="D1490" s="24">
        <v>46094</v>
      </c>
      <c r="E1490" s="25">
        <v>0.989641203705105</v>
      </c>
      <c r="F1490" s="22" t="s">
        <v>1725</v>
      </c>
      <c r="G1490" s="22" t="s">
        <v>44</v>
      </c>
      <c r="H1490" s="22" t="s">
        <v>185</v>
      </c>
      <c r="I1490" s="22" t="s">
        <v>583</v>
      </c>
      <c r="J1490" s="26">
        <v>0.18</v>
      </c>
      <c r="K1490" s="26"/>
      <c r="L1490" s="26"/>
      <c r="M1490" s="26"/>
      <c r="N1490" s="26"/>
      <c r="O1490" s="26"/>
      <c r="P1490" s="26"/>
      <c r="Q1490" s="26"/>
      <c r="R1490" s="26"/>
      <c r="S1490" s="26"/>
    </row>
    <row r="1491" spans="1:19" ht="14.25" customHeight="1" x14ac:dyDescent="0.2">
      <c r="A1491" s="1" t="s">
        <v>95</v>
      </c>
      <c r="B1491" s="7">
        <v>46094.981273148151</v>
      </c>
      <c r="C1491" s="7">
        <v>46094.989722222221</v>
      </c>
      <c r="D1491" s="8">
        <v>46094</v>
      </c>
      <c r="E1491" s="9">
        <v>0.98972222222073469</v>
      </c>
      <c r="F1491" s="10" t="s">
        <v>1726</v>
      </c>
      <c r="G1491" s="10" t="s">
        <v>21</v>
      </c>
      <c r="H1491" s="10" t="s">
        <v>97</v>
      </c>
      <c r="I1491" s="10" t="s">
        <v>23</v>
      </c>
      <c r="J1491" s="11">
        <v>1.77</v>
      </c>
      <c r="K1491" s="12"/>
      <c r="L1491" s="12"/>
      <c r="M1491" s="12"/>
      <c r="N1491" s="12"/>
      <c r="O1491" s="12"/>
      <c r="P1491" s="12"/>
      <c r="Q1491" s="12"/>
      <c r="R1491" s="12"/>
      <c r="S1491" s="12"/>
    </row>
    <row r="1492" spans="1:19" ht="14.25" customHeight="1" x14ac:dyDescent="0.2">
      <c r="A1492" s="1" t="s">
        <v>95</v>
      </c>
      <c r="B1492" s="7">
        <v>46094.975752314815</v>
      </c>
      <c r="C1492" s="7">
        <v>46094.989872685182</v>
      </c>
      <c r="D1492" s="8">
        <v>46094</v>
      </c>
      <c r="E1492" s="9">
        <v>0.98987268518249039</v>
      </c>
      <c r="F1492" s="10" t="s">
        <v>1727</v>
      </c>
      <c r="G1492" s="10" t="s">
        <v>21</v>
      </c>
      <c r="H1492" s="10" t="s">
        <v>110</v>
      </c>
      <c r="I1492" s="10" t="s">
        <v>23</v>
      </c>
      <c r="J1492" s="11">
        <v>0.83</v>
      </c>
      <c r="K1492" s="12"/>
      <c r="L1492" s="12"/>
      <c r="M1492" s="12"/>
      <c r="N1492" s="12"/>
      <c r="O1492" s="12"/>
      <c r="P1492" s="12"/>
      <c r="Q1492" s="12"/>
      <c r="R1492" s="12"/>
      <c r="S1492" s="12"/>
    </row>
    <row r="1493" spans="1:19" ht="14.25" customHeight="1" x14ac:dyDescent="0.2">
      <c r="A1493" s="1" t="s">
        <v>33</v>
      </c>
      <c r="B1493" s="7">
        <v>46094.945567129631</v>
      </c>
      <c r="C1493" s="7">
        <v>46094.990277777775</v>
      </c>
      <c r="D1493" s="8">
        <v>46094</v>
      </c>
      <c r="E1493" s="9">
        <v>0.99027777777519077</v>
      </c>
      <c r="F1493" s="10" t="s">
        <v>1728</v>
      </c>
      <c r="G1493" s="10" t="s">
        <v>26</v>
      </c>
      <c r="H1493" s="10" t="s">
        <v>1019</v>
      </c>
      <c r="I1493" s="10" t="s">
        <v>23</v>
      </c>
      <c r="J1493" s="11">
        <v>0.67</v>
      </c>
      <c r="K1493" s="12"/>
      <c r="L1493" s="12"/>
      <c r="M1493" s="12"/>
      <c r="N1493" s="12"/>
      <c r="O1493" s="12"/>
      <c r="P1493" s="12"/>
      <c r="Q1493" s="12"/>
      <c r="R1493" s="12"/>
      <c r="S1493" s="12"/>
    </row>
    <row r="1494" spans="1:19" ht="14.25" customHeight="1" x14ac:dyDescent="0.2">
      <c r="A1494" s="1" t="s">
        <v>33</v>
      </c>
      <c r="B1494" s="7">
        <v>46094.982499999998</v>
      </c>
      <c r="C1494" s="7">
        <v>46094.993495370371</v>
      </c>
      <c r="D1494" s="8">
        <v>46094</v>
      </c>
      <c r="E1494" s="9">
        <v>0.9934953703705105</v>
      </c>
      <c r="F1494" s="10" t="s">
        <v>1729</v>
      </c>
      <c r="G1494" s="10" t="s">
        <v>21</v>
      </c>
      <c r="H1494" s="10" t="s">
        <v>41</v>
      </c>
      <c r="I1494" s="10" t="s">
        <v>23</v>
      </c>
      <c r="J1494" s="11">
        <v>1.77</v>
      </c>
      <c r="K1494" s="12"/>
      <c r="L1494" s="12"/>
      <c r="M1494" s="12"/>
      <c r="N1494" s="12"/>
      <c r="O1494" s="12"/>
      <c r="P1494" s="12"/>
      <c r="Q1494" s="12"/>
      <c r="R1494" s="12"/>
      <c r="S1494" s="12"/>
    </row>
    <row r="1495" spans="1:19" ht="14.25" customHeight="1" x14ac:dyDescent="0.2">
      <c r="A1495" s="1" t="s">
        <v>42</v>
      </c>
      <c r="B1495" s="7">
        <v>46094.962395833332</v>
      </c>
      <c r="C1495" s="7">
        <v>46094.996608796297</v>
      </c>
      <c r="D1495" s="8">
        <v>46094</v>
      </c>
      <c r="E1495" s="9">
        <v>0.99660879629664123</v>
      </c>
      <c r="F1495" s="10" t="s">
        <v>1730</v>
      </c>
      <c r="G1495" s="10" t="s">
        <v>26</v>
      </c>
      <c r="H1495" s="10" t="s">
        <v>76</v>
      </c>
      <c r="I1495" s="10" t="s">
        <v>23</v>
      </c>
      <c r="J1495" s="11">
        <v>0.75</v>
      </c>
      <c r="K1495" s="12"/>
      <c r="L1495" s="12"/>
      <c r="M1495" s="12"/>
      <c r="N1495" s="12"/>
      <c r="O1495" s="12"/>
      <c r="P1495" s="12"/>
      <c r="Q1495" s="12"/>
      <c r="R1495" s="12"/>
      <c r="S1495" s="12"/>
    </row>
    <row r="1496" spans="1:19" ht="14.25" customHeight="1" x14ac:dyDescent="0.2">
      <c r="A1496" s="1" t="s">
        <v>95</v>
      </c>
      <c r="B1496" s="7">
        <v>46094.9606712963</v>
      </c>
      <c r="C1496" s="7">
        <v>46094.996759259258</v>
      </c>
      <c r="D1496" s="8">
        <v>46094</v>
      </c>
      <c r="E1496" s="9">
        <v>0.99675925925839692</v>
      </c>
      <c r="F1496" s="10" t="s">
        <v>1731</v>
      </c>
      <c r="G1496" s="10" t="s">
        <v>21</v>
      </c>
      <c r="H1496" s="10" t="s">
        <v>110</v>
      </c>
      <c r="I1496" s="10" t="s">
        <v>23</v>
      </c>
      <c r="J1496" s="11">
        <v>0.83</v>
      </c>
      <c r="K1496" s="12"/>
      <c r="L1496" s="12"/>
      <c r="M1496" s="12"/>
      <c r="N1496" s="12"/>
      <c r="O1496" s="12"/>
      <c r="P1496" s="12"/>
      <c r="Q1496" s="12"/>
      <c r="R1496" s="12"/>
      <c r="S1496" s="12"/>
    </row>
    <row r="1497" spans="1:19" ht="14.25" customHeight="1" x14ac:dyDescent="0.2">
      <c r="A1497" s="1" t="s">
        <v>42</v>
      </c>
      <c r="B1497" s="7">
        <v>46094.969004629631</v>
      </c>
      <c r="C1497" s="7">
        <v>46094.997523148151</v>
      </c>
      <c r="D1497" s="8">
        <v>46094</v>
      </c>
      <c r="E1497" s="9">
        <v>0.997523148151231</v>
      </c>
      <c r="F1497" s="10" t="s">
        <v>1732</v>
      </c>
      <c r="G1497" s="10" t="s">
        <v>26</v>
      </c>
      <c r="H1497" s="10" t="s">
        <v>56</v>
      </c>
      <c r="I1497" s="10" t="s">
        <v>23</v>
      </c>
      <c r="J1497" s="11">
        <v>0.73</v>
      </c>
      <c r="K1497" s="12"/>
      <c r="L1497" s="12"/>
      <c r="M1497" s="12"/>
      <c r="N1497" s="12"/>
      <c r="O1497" s="12"/>
      <c r="P1497" s="12"/>
      <c r="Q1497" s="12"/>
      <c r="R1497" s="12"/>
      <c r="S1497" s="12"/>
    </row>
    <row r="1498" spans="1:19" ht="14.25" customHeight="1" x14ac:dyDescent="0.2">
      <c r="A1498" s="1" t="s">
        <v>95</v>
      </c>
      <c r="B1498" s="7">
        <v>46094.99459490741</v>
      </c>
      <c r="C1498" s="7">
        <v>46094.998020833336</v>
      </c>
      <c r="D1498" s="8">
        <v>46094</v>
      </c>
      <c r="E1498" s="9">
        <v>0.99802083333634073</v>
      </c>
      <c r="F1498" s="10" t="s">
        <v>1733</v>
      </c>
      <c r="G1498" s="10" t="s">
        <v>21</v>
      </c>
      <c r="H1498" s="10" t="s">
        <v>110</v>
      </c>
      <c r="I1498" s="10" t="s">
        <v>23</v>
      </c>
      <c r="J1498" s="11">
        <v>0.83</v>
      </c>
      <c r="K1498" s="12"/>
      <c r="L1498" s="12"/>
      <c r="M1498" s="12"/>
      <c r="N1498" s="12"/>
      <c r="O1498" s="12"/>
      <c r="P1498" s="12"/>
      <c r="Q1498" s="12"/>
      <c r="R1498" s="12"/>
      <c r="S1498" s="12"/>
    </row>
    <row r="1499" spans="1:19" ht="14.25" customHeight="1" x14ac:dyDescent="0.2">
      <c r="A1499" s="1" t="s">
        <v>28</v>
      </c>
      <c r="B1499" s="7">
        <v>46094.986840277779</v>
      </c>
      <c r="C1499" s="7">
        <v>46094.998819444445</v>
      </c>
      <c r="D1499" s="8">
        <v>46094</v>
      </c>
      <c r="E1499" s="9">
        <v>0.99881944444496185</v>
      </c>
      <c r="F1499" s="10" t="s">
        <v>1734</v>
      </c>
      <c r="G1499" s="10" t="s">
        <v>26</v>
      </c>
      <c r="H1499" s="10" t="s">
        <v>128</v>
      </c>
      <c r="I1499" s="10" t="s">
        <v>23</v>
      </c>
      <c r="J1499" s="11">
        <v>0.97</v>
      </c>
      <c r="K1499" s="12"/>
      <c r="L1499" s="12"/>
      <c r="M1499" s="12"/>
      <c r="N1499" s="12"/>
      <c r="O1499" s="12"/>
      <c r="P1499" s="12"/>
      <c r="Q1499" s="12"/>
      <c r="R1499" s="12"/>
      <c r="S1499" s="12"/>
    </row>
    <row r="1500" spans="1:19" ht="14.25" customHeight="1" x14ac:dyDescent="0.2">
      <c r="A1500" s="22" t="s">
        <v>95</v>
      </c>
      <c r="B1500" s="23">
        <v>46094.978831018518</v>
      </c>
      <c r="C1500" s="23">
        <v>46095.0078587963</v>
      </c>
      <c r="D1500" s="24">
        <v>46095</v>
      </c>
      <c r="E1500" s="25">
        <v>7.8587962998426519E-3</v>
      </c>
      <c r="F1500" s="22" t="s">
        <v>1735</v>
      </c>
      <c r="G1500" s="22" t="s">
        <v>21</v>
      </c>
      <c r="H1500" s="22" t="s">
        <v>105</v>
      </c>
      <c r="I1500" s="22" t="s">
        <v>583</v>
      </c>
      <c r="J1500" s="26">
        <v>2.5</v>
      </c>
      <c r="K1500" s="26"/>
      <c r="L1500" s="26">
        <f>SUM(J1500:J1516)</f>
        <v>19.819999999999997</v>
      </c>
      <c r="M1500" s="13">
        <f>L1500*65</f>
        <v>1288.2999999999997</v>
      </c>
      <c r="N1500" s="14">
        <f>MAX(500,M1500)</f>
        <v>1288.2999999999997</v>
      </c>
      <c r="O1500" s="26"/>
      <c r="P1500" s="26"/>
      <c r="Q1500" s="26"/>
      <c r="R1500" s="26"/>
      <c r="S1500" s="26"/>
    </row>
    <row r="1501" spans="1:19" ht="14.25" customHeight="1" x14ac:dyDescent="0.2">
      <c r="A1501" s="1" t="s">
        <v>95</v>
      </c>
      <c r="B1501" s="7">
        <v>46095.007708333331</v>
      </c>
      <c r="C1501" s="7">
        <v>46095.008472222224</v>
      </c>
      <c r="D1501" s="8">
        <v>46095</v>
      </c>
      <c r="E1501" s="9">
        <v>8.4722222236450762E-3</v>
      </c>
      <c r="F1501" s="10" t="s">
        <v>1736</v>
      </c>
      <c r="G1501" s="10" t="s">
        <v>21</v>
      </c>
      <c r="H1501" s="10" t="s">
        <v>110</v>
      </c>
      <c r="I1501" s="10" t="s">
        <v>23</v>
      </c>
      <c r="J1501" s="11">
        <v>0.83</v>
      </c>
      <c r="K1501" s="12"/>
      <c r="L1501" s="12"/>
      <c r="M1501" s="12"/>
      <c r="N1501" s="12"/>
      <c r="O1501" s="12"/>
      <c r="P1501" s="12"/>
      <c r="Q1501" s="12"/>
      <c r="R1501" s="12"/>
      <c r="S1501" s="12"/>
    </row>
    <row r="1502" spans="1:19" ht="14.25" customHeight="1" x14ac:dyDescent="0.2">
      <c r="A1502" s="22" t="s">
        <v>57</v>
      </c>
      <c r="B1502" s="23">
        <v>46094.990254629629</v>
      </c>
      <c r="C1502" s="23">
        <v>46095.010439814818</v>
      </c>
      <c r="D1502" s="24">
        <v>46095</v>
      </c>
      <c r="E1502" s="25">
        <v>1.0439814817800652E-2</v>
      </c>
      <c r="F1502" s="22" t="s">
        <v>1737</v>
      </c>
      <c r="G1502" s="22" t="s">
        <v>44</v>
      </c>
      <c r="H1502" s="22" t="s">
        <v>1721</v>
      </c>
      <c r="I1502" s="22" t="s">
        <v>583</v>
      </c>
      <c r="J1502" s="26">
        <v>0.21</v>
      </c>
      <c r="K1502" s="26"/>
      <c r="L1502" s="26"/>
      <c r="M1502" s="26"/>
      <c r="N1502" s="26"/>
      <c r="O1502" s="26"/>
      <c r="P1502" s="26"/>
      <c r="Q1502" s="26"/>
      <c r="R1502" s="26"/>
      <c r="S1502" s="26"/>
    </row>
    <row r="1503" spans="1:19" ht="14.25" customHeight="1" x14ac:dyDescent="0.2">
      <c r="A1503" s="22" t="s">
        <v>33</v>
      </c>
      <c r="B1503" s="23">
        <v>46094.984456018516</v>
      </c>
      <c r="C1503" s="23">
        <v>46095.012627314813</v>
      </c>
      <c r="D1503" s="24">
        <v>46095</v>
      </c>
      <c r="E1503" s="25">
        <v>1.2627314812561963E-2</v>
      </c>
      <c r="F1503" s="22" t="s">
        <v>1738</v>
      </c>
      <c r="G1503" s="22" t="s">
        <v>44</v>
      </c>
      <c r="H1503" s="22" t="s">
        <v>185</v>
      </c>
      <c r="I1503" s="22" t="s">
        <v>583</v>
      </c>
      <c r="J1503" s="26">
        <v>0.18</v>
      </c>
      <c r="K1503" s="26"/>
      <c r="L1503" s="26"/>
      <c r="M1503" s="26"/>
      <c r="N1503" s="26"/>
      <c r="O1503" s="26"/>
      <c r="P1503" s="26"/>
      <c r="Q1503" s="26"/>
      <c r="R1503" s="26"/>
      <c r="S1503" s="26"/>
    </row>
    <row r="1504" spans="1:19" ht="14.25" customHeight="1" x14ac:dyDescent="0.2">
      <c r="A1504" s="22" t="s">
        <v>33</v>
      </c>
      <c r="B1504" s="23">
        <v>46095.006979166668</v>
      </c>
      <c r="C1504" s="23">
        <v>46095.014699074076</v>
      </c>
      <c r="D1504" s="24">
        <v>46095</v>
      </c>
      <c r="E1504" s="25">
        <v>1.4699074075906537E-2</v>
      </c>
      <c r="F1504" s="22" t="s">
        <v>1739</v>
      </c>
      <c r="G1504" s="22" t="s">
        <v>44</v>
      </c>
      <c r="H1504" s="22" t="s">
        <v>185</v>
      </c>
      <c r="I1504" s="22" t="s">
        <v>583</v>
      </c>
      <c r="J1504" s="26">
        <v>0.18</v>
      </c>
      <c r="K1504" s="26"/>
      <c r="L1504" s="26"/>
      <c r="M1504" s="26"/>
      <c r="N1504" s="26"/>
      <c r="O1504" s="26"/>
      <c r="P1504" s="26"/>
      <c r="Q1504" s="26"/>
      <c r="R1504" s="26"/>
      <c r="S1504" s="26"/>
    </row>
    <row r="1505" spans="1:19" ht="14.25" customHeight="1" x14ac:dyDescent="0.2">
      <c r="A1505" s="1" t="s">
        <v>33</v>
      </c>
      <c r="B1505" s="7">
        <v>46095.002534722225</v>
      </c>
      <c r="C1505" s="7">
        <v>46095.015381944446</v>
      </c>
      <c r="D1505" s="8">
        <v>46095</v>
      </c>
      <c r="E1505" s="9">
        <v>1.5381944445834961E-2</v>
      </c>
      <c r="F1505" s="10" t="s">
        <v>1740</v>
      </c>
      <c r="G1505" s="10" t="s">
        <v>21</v>
      </c>
      <c r="H1505" s="10" t="s">
        <v>22</v>
      </c>
      <c r="I1505" s="10" t="s">
        <v>23</v>
      </c>
      <c r="J1505" s="11">
        <v>0.83</v>
      </c>
      <c r="K1505" s="12"/>
      <c r="L1505" s="12"/>
      <c r="M1505" s="12"/>
      <c r="N1505" s="12"/>
      <c r="O1505" s="12"/>
      <c r="P1505" s="12"/>
      <c r="Q1505" s="12"/>
      <c r="R1505" s="12"/>
      <c r="S1505" s="12"/>
    </row>
    <row r="1506" spans="1:19" ht="14.25" customHeight="1" x14ac:dyDescent="0.2">
      <c r="A1506" s="1" t="s">
        <v>24</v>
      </c>
      <c r="B1506" s="7">
        <v>46095.006296296298</v>
      </c>
      <c r="C1506" s="7">
        <v>46095.0155787037</v>
      </c>
      <c r="D1506" s="8">
        <v>46095</v>
      </c>
      <c r="E1506" s="9">
        <v>1.5578703700157348E-2</v>
      </c>
      <c r="F1506" s="10" t="s">
        <v>1741</v>
      </c>
      <c r="G1506" s="10" t="s">
        <v>21</v>
      </c>
      <c r="H1506" s="10" t="s">
        <v>22</v>
      </c>
      <c r="I1506" s="10" t="s">
        <v>23</v>
      </c>
      <c r="J1506" s="11">
        <v>0.83</v>
      </c>
      <c r="K1506" s="12"/>
      <c r="L1506" s="12"/>
      <c r="M1506" s="12"/>
      <c r="N1506" s="12"/>
      <c r="O1506" s="12"/>
      <c r="P1506" s="12"/>
      <c r="Q1506" s="12"/>
      <c r="R1506" s="12"/>
      <c r="S1506" s="12"/>
    </row>
    <row r="1507" spans="1:19" ht="14.25" customHeight="1" x14ac:dyDescent="0.2">
      <c r="A1507" s="1" t="s">
        <v>95</v>
      </c>
      <c r="B1507" s="7">
        <v>46094.995127314818</v>
      </c>
      <c r="C1507" s="7">
        <v>46095.017777777779</v>
      </c>
      <c r="D1507" s="8">
        <v>46095</v>
      </c>
      <c r="E1507" s="9">
        <v>1.7777777778974269E-2</v>
      </c>
      <c r="F1507" s="10" t="s">
        <v>1742</v>
      </c>
      <c r="G1507" s="10" t="s">
        <v>21</v>
      </c>
      <c r="H1507" s="10" t="s">
        <v>97</v>
      </c>
      <c r="I1507" s="10" t="s">
        <v>23</v>
      </c>
      <c r="J1507" s="11">
        <v>1.77</v>
      </c>
      <c r="K1507" s="12"/>
      <c r="L1507" s="12"/>
      <c r="M1507" s="12"/>
      <c r="N1507" s="12"/>
      <c r="O1507" s="12"/>
      <c r="P1507" s="12"/>
      <c r="Q1507" s="12"/>
      <c r="R1507" s="12"/>
      <c r="S1507" s="12"/>
    </row>
    <row r="1508" spans="1:19" ht="14.25" customHeight="1" x14ac:dyDescent="0.2">
      <c r="A1508" s="1" t="s">
        <v>19</v>
      </c>
      <c r="B1508" s="7">
        <v>46094.961111111108</v>
      </c>
      <c r="C1508" s="7">
        <v>46095.018599537034</v>
      </c>
      <c r="D1508" s="8">
        <v>46095</v>
      </c>
      <c r="E1508" s="9">
        <v>1.8599537033878732E-2</v>
      </c>
      <c r="F1508" s="10" t="s">
        <v>1743</v>
      </c>
      <c r="G1508" s="10" t="s">
        <v>21</v>
      </c>
      <c r="H1508" s="10" t="s">
        <v>22</v>
      </c>
      <c r="I1508" s="10" t="s">
        <v>23</v>
      </c>
      <c r="J1508" s="11">
        <v>0.83</v>
      </c>
      <c r="K1508" s="12"/>
      <c r="L1508" s="12"/>
      <c r="M1508" s="12"/>
      <c r="N1508" s="12"/>
      <c r="O1508" s="12"/>
      <c r="P1508" s="12"/>
      <c r="Q1508" s="12"/>
      <c r="R1508" s="12"/>
      <c r="S1508" s="12"/>
    </row>
    <row r="1509" spans="1:19" ht="14.25" customHeight="1" x14ac:dyDescent="0.2">
      <c r="A1509" s="1" t="s">
        <v>95</v>
      </c>
      <c r="B1509" s="7">
        <v>46094.992407407408</v>
      </c>
      <c r="C1509" s="7">
        <v>46095.018935185188</v>
      </c>
      <c r="D1509" s="8">
        <v>46095</v>
      </c>
      <c r="E1509" s="9">
        <v>1.8935185187729076E-2</v>
      </c>
      <c r="F1509" s="10" t="s">
        <v>1744</v>
      </c>
      <c r="G1509" s="10" t="s">
        <v>21</v>
      </c>
      <c r="H1509" s="10" t="s">
        <v>97</v>
      </c>
      <c r="I1509" s="10" t="s">
        <v>23</v>
      </c>
      <c r="J1509" s="11">
        <v>1.77</v>
      </c>
      <c r="K1509" s="12"/>
      <c r="L1509" s="12"/>
      <c r="M1509" s="12"/>
      <c r="N1509" s="12"/>
      <c r="O1509" s="12"/>
      <c r="P1509" s="12"/>
      <c r="Q1509" s="12"/>
      <c r="R1509" s="12"/>
      <c r="S1509" s="12"/>
    </row>
    <row r="1510" spans="1:19" ht="14.25" customHeight="1" x14ac:dyDescent="0.2">
      <c r="A1510" s="22" t="s">
        <v>24</v>
      </c>
      <c r="B1510" s="23">
        <v>46094.989618055559</v>
      </c>
      <c r="C1510" s="23">
        <v>46095.025555555556</v>
      </c>
      <c r="D1510" s="24">
        <v>46095</v>
      </c>
      <c r="E1510" s="25">
        <v>2.5555555555911269E-2</v>
      </c>
      <c r="F1510" s="22" t="s">
        <v>1745</v>
      </c>
      <c r="G1510" s="22" t="s">
        <v>21</v>
      </c>
      <c r="H1510" s="22" t="s">
        <v>101</v>
      </c>
      <c r="I1510" s="22" t="s">
        <v>583</v>
      </c>
      <c r="J1510" s="26">
        <v>1.7</v>
      </c>
      <c r="K1510" s="26"/>
      <c r="L1510" s="26"/>
      <c r="M1510" s="26"/>
      <c r="N1510" s="26"/>
      <c r="O1510" s="26"/>
      <c r="P1510" s="26"/>
      <c r="Q1510" s="26"/>
      <c r="R1510" s="26"/>
      <c r="S1510" s="26"/>
    </row>
    <row r="1511" spans="1:19" ht="14.25" customHeight="1" x14ac:dyDescent="0.2">
      <c r="A1511" s="22" t="s">
        <v>24</v>
      </c>
      <c r="B1511" s="23">
        <v>46094.99658564815</v>
      </c>
      <c r="C1511" s="23">
        <v>46095.033171296294</v>
      </c>
      <c r="D1511" s="24">
        <v>46095</v>
      </c>
      <c r="E1511" s="25">
        <v>3.3171296294312924E-2</v>
      </c>
      <c r="F1511" s="22" t="s">
        <v>1746</v>
      </c>
      <c r="G1511" s="22" t="s">
        <v>21</v>
      </c>
      <c r="H1511" s="22" t="s">
        <v>41</v>
      </c>
      <c r="I1511" s="22" t="s">
        <v>583</v>
      </c>
      <c r="J1511" s="26">
        <v>1.77</v>
      </c>
      <c r="K1511" s="26"/>
      <c r="L1511" s="26"/>
      <c r="M1511" s="26"/>
      <c r="N1511" s="26"/>
      <c r="O1511" s="26"/>
      <c r="P1511" s="26"/>
      <c r="Q1511" s="26"/>
      <c r="R1511" s="26"/>
      <c r="S1511" s="26"/>
    </row>
    <row r="1512" spans="1:19" ht="14.25" customHeight="1" x14ac:dyDescent="0.2">
      <c r="A1512" s="1" t="s">
        <v>95</v>
      </c>
      <c r="B1512" s="7">
        <v>46095.013796296298</v>
      </c>
      <c r="C1512" s="7">
        <v>46095.033310185187</v>
      </c>
      <c r="D1512" s="8">
        <v>46095</v>
      </c>
      <c r="E1512" s="9">
        <v>3.3310185186564922E-2</v>
      </c>
      <c r="F1512" s="10" t="s">
        <v>1747</v>
      </c>
      <c r="G1512" s="10" t="s">
        <v>21</v>
      </c>
      <c r="H1512" s="10" t="s">
        <v>110</v>
      </c>
      <c r="I1512" s="10" t="s">
        <v>23</v>
      </c>
      <c r="J1512" s="11">
        <v>0.83</v>
      </c>
      <c r="K1512" s="12"/>
      <c r="L1512" s="12"/>
      <c r="M1512" s="12"/>
      <c r="N1512" s="12"/>
      <c r="O1512" s="12"/>
      <c r="P1512" s="12"/>
      <c r="Q1512" s="12"/>
      <c r="R1512" s="12"/>
      <c r="S1512" s="12"/>
    </row>
    <row r="1513" spans="1:19" ht="14.25" customHeight="1" x14ac:dyDescent="0.2">
      <c r="A1513" s="1" t="s">
        <v>42</v>
      </c>
      <c r="B1513" s="7">
        <v>46095.01017361111</v>
      </c>
      <c r="C1513" s="7">
        <v>46095.033668981479</v>
      </c>
      <c r="D1513" s="8">
        <v>46095</v>
      </c>
      <c r="E1513" s="9">
        <v>3.3668981479422655E-2</v>
      </c>
      <c r="F1513" s="10" t="s">
        <v>1748</v>
      </c>
      <c r="G1513" s="10" t="s">
        <v>26</v>
      </c>
      <c r="H1513" s="10" t="s">
        <v>76</v>
      </c>
      <c r="I1513" s="10" t="s">
        <v>23</v>
      </c>
      <c r="J1513" s="11">
        <v>0.75</v>
      </c>
      <c r="K1513" s="12"/>
      <c r="L1513" s="12"/>
      <c r="M1513" s="12"/>
      <c r="N1513" s="12"/>
      <c r="O1513" s="12"/>
      <c r="P1513" s="12"/>
      <c r="Q1513" s="12"/>
      <c r="R1513" s="12"/>
      <c r="S1513" s="12"/>
    </row>
    <row r="1514" spans="1:19" ht="14.25" customHeight="1" x14ac:dyDescent="0.2">
      <c r="A1514" s="1" t="s">
        <v>19</v>
      </c>
      <c r="B1514" s="7">
        <v>46094.980787037035</v>
      </c>
      <c r="C1514" s="7">
        <v>46095.034108796295</v>
      </c>
      <c r="D1514" s="8">
        <v>46095</v>
      </c>
      <c r="E1514" s="9">
        <v>3.4108796295186039E-2</v>
      </c>
      <c r="F1514" s="10" t="s">
        <v>1749</v>
      </c>
      <c r="G1514" s="10" t="s">
        <v>44</v>
      </c>
      <c r="H1514" s="10" t="s">
        <v>1750</v>
      </c>
      <c r="I1514" s="10" t="s">
        <v>23</v>
      </c>
      <c r="J1514" s="11">
        <v>0.17</v>
      </c>
      <c r="K1514" s="12"/>
      <c r="L1514" s="12"/>
      <c r="M1514" s="12"/>
      <c r="N1514" s="12"/>
      <c r="O1514" s="12"/>
      <c r="P1514" s="12"/>
      <c r="Q1514" s="12"/>
      <c r="R1514" s="12"/>
      <c r="S1514" s="12"/>
    </row>
    <row r="1515" spans="1:19" ht="14.25" customHeight="1" x14ac:dyDescent="0.2">
      <c r="A1515" s="1" t="s">
        <v>95</v>
      </c>
      <c r="B1515" s="7">
        <v>46095.029722222222</v>
      </c>
      <c r="C1515" s="7">
        <v>46095.037256944444</v>
      </c>
      <c r="D1515" s="8">
        <v>46095</v>
      </c>
      <c r="E1515" s="9">
        <v>3.7256944444379769E-2</v>
      </c>
      <c r="F1515" s="10" t="s">
        <v>1751</v>
      </c>
      <c r="G1515" s="10" t="s">
        <v>21</v>
      </c>
      <c r="H1515" s="10" t="s">
        <v>97</v>
      </c>
      <c r="I1515" s="10" t="s">
        <v>23</v>
      </c>
      <c r="J1515" s="11">
        <v>1.77</v>
      </c>
      <c r="K1515" s="12"/>
      <c r="L1515" s="12"/>
      <c r="M1515" s="12"/>
      <c r="N1515" s="12"/>
      <c r="O1515" s="12"/>
      <c r="P1515" s="12"/>
      <c r="Q1515" s="12"/>
      <c r="R1515" s="12"/>
      <c r="S1515" s="12"/>
    </row>
    <row r="1516" spans="1:19" ht="14.25" customHeight="1" x14ac:dyDescent="0.2">
      <c r="A1516" s="1" t="s">
        <v>33</v>
      </c>
      <c r="B1516" s="7">
        <v>46095.019791666666</v>
      </c>
      <c r="C1516" s="7">
        <v>46095.040601851855</v>
      </c>
      <c r="D1516" s="8">
        <v>46095</v>
      </c>
      <c r="E1516" s="9">
        <v>4.0601851855171844E-2</v>
      </c>
      <c r="F1516" s="10" t="s">
        <v>1752</v>
      </c>
      <c r="G1516" s="10" t="s">
        <v>21</v>
      </c>
      <c r="H1516" s="10" t="s">
        <v>409</v>
      </c>
      <c r="I1516" s="10" t="s">
        <v>23</v>
      </c>
      <c r="J1516" s="11">
        <v>2.9</v>
      </c>
      <c r="K1516" s="12"/>
      <c r="L1516" s="12"/>
      <c r="M1516" s="12"/>
      <c r="N1516" s="12"/>
      <c r="O1516" s="12"/>
      <c r="P1516" s="12"/>
      <c r="Q1516" s="12"/>
      <c r="R1516" s="12"/>
      <c r="S1516" s="12"/>
    </row>
    <row r="1517" spans="1:19" ht="14.25" customHeight="1" x14ac:dyDescent="0.2">
      <c r="A1517" s="1" t="s">
        <v>24</v>
      </c>
      <c r="B1517" s="7">
        <v>46095.02851851852</v>
      </c>
      <c r="C1517" s="7">
        <v>46095.05096064815</v>
      </c>
      <c r="D1517" s="8">
        <v>46095</v>
      </c>
      <c r="E1517" s="9">
        <v>5.0960648150066845E-2</v>
      </c>
      <c r="F1517" s="10" t="s">
        <v>1753</v>
      </c>
      <c r="G1517" s="10" t="s">
        <v>21</v>
      </c>
      <c r="H1517" s="10" t="s">
        <v>101</v>
      </c>
      <c r="I1517" s="10" t="s">
        <v>23</v>
      </c>
      <c r="J1517" s="11">
        <v>1.7</v>
      </c>
      <c r="K1517" s="12"/>
      <c r="L1517" s="12">
        <f>SUM(J1517:J1532)</f>
        <v>21.299999999999997</v>
      </c>
      <c r="M1517" s="13">
        <f>L1517*65</f>
        <v>1384.4999999999998</v>
      </c>
      <c r="N1517" s="14">
        <f>MAX(500,M1517)</f>
        <v>1384.4999999999998</v>
      </c>
      <c r="O1517" s="12"/>
      <c r="P1517" s="12"/>
      <c r="Q1517" s="12"/>
      <c r="R1517" s="12"/>
      <c r="S1517" s="12"/>
    </row>
    <row r="1518" spans="1:19" ht="14.25" customHeight="1" x14ac:dyDescent="0.2">
      <c r="A1518" s="22" t="s">
        <v>95</v>
      </c>
      <c r="B1518" s="23">
        <v>46095.020509259259</v>
      </c>
      <c r="C1518" s="23">
        <v>46095.051122685189</v>
      </c>
      <c r="D1518" s="24">
        <v>46095</v>
      </c>
      <c r="E1518" s="25">
        <v>5.112268518860219E-2</v>
      </c>
      <c r="F1518" s="22" t="s">
        <v>1754</v>
      </c>
      <c r="G1518" s="22" t="s">
        <v>21</v>
      </c>
      <c r="H1518" s="22" t="s">
        <v>110</v>
      </c>
      <c r="I1518" s="22" t="s">
        <v>583</v>
      </c>
      <c r="J1518" s="26">
        <v>0.83</v>
      </c>
      <c r="K1518" s="26"/>
      <c r="L1518" s="26"/>
      <c r="M1518" s="26"/>
      <c r="N1518" s="26"/>
      <c r="O1518" s="26"/>
      <c r="P1518" s="26"/>
      <c r="Q1518" s="26"/>
      <c r="R1518" s="26"/>
      <c r="S1518" s="26"/>
    </row>
    <row r="1519" spans="1:19" ht="14.25" customHeight="1" x14ac:dyDescent="0.2">
      <c r="A1519" s="1" t="s">
        <v>33</v>
      </c>
      <c r="B1519" s="7">
        <v>46095.037881944445</v>
      </c>
      <c r="C1519" s="7">
        <v>46095.051469907405</v>
      </c>
      <c r="D1519" s="8">
        <v>46095</v>
      </c>
      <c r="E1519" s="9">
        <v>5.1469907404680271E-2</v>
      </c>
      <c r="F1519" s="10" t="s">
        <v>1755</v>
      </c>
      <c r="G1519" s="10" t="s">
        <v>21</v>
      </c>
      <c r="H1519" s="10" t="s">
        <v>101</v>
      </c>
      <c r="I1519" s="10" t="s">
        <v>23</v>
      </c>
      <c r="J1519" s="11">
        <v>1.7</v>
      </c>
      <c r="K1519" s="12"/>
      <c r="L1519" s="12"/>
      <c r="M1519" s="12"/>
      <c r="N1519" s="12"/>
      <c r="O1519" s="12"/>
      <c r="P1519" s="12"/>
      <c r="Q1519" s="12"/>
      <c r="R1519" s="12"/>
      <c r="S1519" s="12"/>
    </row>
    <row r="1520" spans="1:19" ht="14.25" customHeight="1" x14ac:dyDescent="0.2">
      <c r="A1520" s="1" t="s">
        <v>57</v>
      </c>
      <c r="B1520" s="7">
        <v>46095.025069444448</v>
      </c>
      <c r="C1520" s="7">
        <v>46095.052395833336</v>
      </c>
      <c r="D1520" s="8">
        <v>46095</v>
      </c>
      <c r="E1520" s="9">
        <v>5.2395833336049691E-2</v>
      </c>
      <c r="F1520" s="10" t="s">
        <v>1756</v>
      </c>
      <c r="G1520" s="10" t="s">
        <v>21</v>
      </c>
      <c r="H1520" s="10" t="s">
        <v>303</v>
      </c>
      <c r="I1520" s="10" t="s">
        <v>23</v>
      </c>
      <c r="J1520" s="11">
        <v>1.77</v>
      </c>
      <c r="K1520" s="12"/>
      <c r="L1520" s="12"/>
      <c r="M1520" s="12"/>
      <c r="N1520" s="12"/>
      <c r="O1520" s="12"/>
      <c r="P1520" s="12"/>
      <c r="Q1520" s="12"/>
      <c r="R1520" s="12"/>
      <c r="S1520" s="12"/>
    </row>
    <row r="1521" spans="1:19" ht="14.25" customHeight="1" x14ac:dyDescent="0.2">
      <c r="A1521" s="1" t="s">
        <v>42</v>
      </c>
      <c r="B1521" s="7">
        <v>46095.031087962961</v>
      </c>
      <c r="C1521" s="7">
        <v>46095.059490740743</v>
      </c>
      <c r="D1521" s="8">
        <v>46095</v>
      </c>
      <c r="E1521" s="9">
        <v>5.9490740743058268E-2</v>
      </c>
      <c r="F1521" s="10" t="s">
        <v>1757</v>
      </c>
      <c r="G1521" s="10" t="s">
        <v>26</v>
      </c>
      <c r="H1521" s="10" t="s">
        <v>56</v>
      </c>
      <c r="I1521" s="10" t="s">
        <v>23</v>
      </c>
      <c r="J1521" s="11">
        <v>0.73</v>
      </c>
      <c r="K1521" s="12"/>
      <c r="L1521" s="12"/>
      <c r="M1521" s="12"/>
      <c r="N1521" s="12"/>
      <c r="O1521" s="12"/>
      <c r="P1521" s="12"/>
      <c r="Q1521" s="12"/>
      <c r="R1521" s="12"/>
      <c r="S1521" s="12"/>
    </row>
    <row r="1522" spans="1:19" ht="14.25" customHeight="1" x14ac:dyDescent="0.2">
      <c r="A1522" s="1" t="s">
        <v>95</v>
      </c>
      <c r="B1522" s="7">
        <v>46095.062916666669</v>
      </c>
      <c r="C1522" s="7">
        <v>46095.062743055554</v>
      </c>
      <c r="D1522" s="8">
        <v>46095</v>
      </c>
      <c r="E1522" s="9">
        <v>6.2743055554165039E-2</v>
      </c>
      <c r="F1522" s="10" t="s">
        <v>1758</v>
      </c>
      <c r="G1522" s="10" t="s">
        <v>21</v>
      </c>
      <c r="H1522" s="10" t="s">
        <v>97</v>
      </c>
      <c r="I1522" s="10" t="s">
        <v>23</v>
      </c>
      <c r="J1522" s="11">
        <v>1.77</v>
      </c>
      <c r="K1522" s="12"/>
      <c r="L1522" s="12"/>
      <c r="M1522" s="12"/>
      <c r="N1522" s="12"/>
      <c r="O1522" s="12"/>
      <c r="P1522" s="12"/>
      <c r="Q1522" s="12"/>
      <c r="R1522" s="12"/>
      <c r="S1522" s="12"/>
    </row>
    <row r="1523" spans="1:19" ht="14.25" customHeight="1" x14ac:dyDescent="0.2">
      <c r="A1523" s="1" t="s">
        <v>95</v>
      </c>
      <c r="B1523" s="7">
        <v>46095.044918981483</v>
      </c>
      <c r="C1523" s="7">
        <v>46095.068472222221</v>
      </c>
      <c r="D1523" s="8">
        <v>46095</v>
      </c>
      <c r="E1523" s="9">
        <v>6.847222222131677E-2</v>
      </c>
      <c r="F1523" s="10" t="s">
        <v>1759</v>
      </c>
      <c r="G1523" s="10" t="s">
        <v>26</v>
      </c>
      <c r="H1523" s="10" t="s">
        <v>1339</v>
      </c>
      <c r="I1523" s="10" t="s">
        <v>23</v>
      </c>
      <c r="J1523" s="11">
        <v>0.57999999999999996</v>
      </c>
      <c r="K1523" s="12"/>
      <c r="L1523" s="12"/>
      <c r="M1523" s="12"/>
      <c r="N1523" s="12"/>
      <c r="O1523" s="12"/>
      <c r="P1523" s="12"/>
      <c r="Q1523" s="12"/>
      <c r="R1523" s="12"/>
      <c r="S1523" s="12"/>
    </row>
    <row r="1524" spans="1:19" ht="14.25" customHeight="1" x14ac:dyDescent="0.2">
      <c r="A1524" s="1" t="s">
        <v>19</v>
      </c>
      <c r="B1524" s="7">
        <v>46095.052141203705</v>
      </c>
      <c r="C1524" s="7">
        <v>46095.069085648145</v>
      </c>
      <c r="D1524" s="8">
        <v>46095</v>
      </c>
      <c r="E1524" s="9">
        <v>6.9085648145119194E-2</v>
      </c>
      <c r="F1524" s="10" t="s">
        <v>1760</v>
      </c>
      <c r="G1524" s="10" t="s">
        <v>21</v>
      </c>
      <c r="H1524" s="10" t="s">
        <v>22</v>
      </c>
      <c r="I1524" s="10" t="s">
        <v>23</v>
      </c>
      <c r="J1524" s="11">
        <v>0.83</v>
      </c>
      <c r="K1524" s="12"/>
      <c r="L1524" s="12"/>
      <c r="M1524" s="12"/>
      <c r="N1524" s="12"/>
      <c r="O1524" s="12"/>
      <c r="P1524" s="12"/>
      <c r="Q1524" s="12"/>
      <c r="R1524" s="12"/>
      <c r="S1524" s="12"/>
    </row>
    <row r="1525" spans="1:19" ht="14.25" customHeight="1" x14ac:dyDescent="0.2">
      <c r="A1525" s="1" t="s">
        <v>19</v>
      </c>
      <c r="B1525" s="7">
        <v>46095.054155092592</v>
      </c>
      <c r="C1525" s="7">
        <v>46095.069236111114</v>
      </c>
      <c r="D1525" s="8">
        <v>46095</v>
      </c>
      <c r="E1525" s="9">
        <v>6.9236111114150845E-2</v>
      </c>
      <c r="F1525" s="10" t="s">
        <v>1761</v>
      </c>
      <c r="G1525" s="10" t="s">
        <v>21</v>
      </c>
      <c r="H1525" s="10" t="s">
        <v>1116</v>
      </c>
      <c r="I1525" s="10" t="s">
        <v>23</v>
      </c>
      <c r="J1525" s="11">
        <v>0.83</v>
      </c>
      <c r="K1525" s="12"/>
      <c r="L1525" s="12"/>
      <c r="M1525" s="12"/>
      <c r="N1525" s="12"/>
      <c r="O1525" s="12"/>
      <c r="P1525" s="12"/>
      <c r="Q1525" s="12"/>
      <c r="R1525" s="12"/>
      <c r="S1525" s="12"/>
    </row>
    <row r="1526" spans="1:19" ht="14.25" customHeight="1" x14ac:dyDescent="0.2">
      <c r="A1526" s="1" t="s">
        <v>19</v>
      </c>
      <c r="B1526" s="7">
        <v>46095.042037037034</v>
      </c>
      <c r="C1526" s="7">
        <v>46095.070370370369</v>
      </c>
      <c r="D1526" s="8">
        <v>46095</v>
      </c>
      <c r="E1526" s="9">
        <v>7.0370370369346347E-2</v>
      </c>
      <c r="F1526" s="10" t="s">
        <v>1762</v>
      </c>
      <c r="G1526" s="10" t="s">
        <v>21</v>
      </c>
      <c r="H1526" s="10" t="s">
        <v>1763</v>
      </c>
      <c r="I1526" s="10" t="s">
        <v>23</v>
      </c>
      <c r="J1526" s="11">
        <v>2.75</v>
      </c>
      <c r="K1526" s="12"/>
      <c r="L1526" s="12"/>
      <c r="M1526" s="12"/>
      <c r="N1526" s="12"/>
      <c r="O1526" s="12"/>
      <c r="P1526" s="12"/>
      <c r="Q1526" s="12"/>
      <c r="R1526" s="12"/>
      <c r="S1526" s="12"/>
    </row>
    <row r="1527" spans="1:19" ht="14.25" customHeight="1" x14ac:dyDescent="0.2">
      <c r="A1527" s="1" t="s">
        <v>19</v>
      </c>
      <c r="B1527" s="7">
        <v>46094.992129629631</v>
      </c>
      <c r="C1527" s="7">
        <v>46095.070694444446</v>
      </c>
      <c r="D1527" s="8">
        <v>46095</v>
      </c>
      <c r="E1527" s="9">
        <v>7.0694444446417037E-2</v>
      </c>
      <c r="F1527" s="10" t="s">
        <v>1764</v>
      </c>
      <c r="G1527" s="10" t="s">
        <v>21</v>
      </c>
      <c r="H1527" s="10" t="s">
        <v>41</v>
      </c>
      <c r="I1527" s="10" t="s">
        <v>23</v>
      </c>
      <c r="J1527" s="11">
        <v>1.77</v>
      </c>
      <c r="K1527" s="12"/>
      <c r="L1527" s="12"/>
      <c r="M1527" s="12"/>
      <c r="N1527" s="12"/>
      <c r="O1527" s="12"/>
      <c r="P1527" s="12"/>
      <c r="Q1527" s="12"/>
      <c r="R1527" s="12"/>
      <c r="S1527" s="12"/>
    </row>
    <row r="1528" spans="1:19" ht="14.25" customHeight="1" x14ac:dyDescent="0.2">
      <c r="A1528" s="1" t="s">
        <v>19</v>
      </c>
      <c r="B1528" s="7">
        <v>46094.97451388889</v>
      </c>
      <c r="C1528" s="7">
        <v>46095.07104166667</v>
      </c>
      <c r="D1528" s="8">
        <v>46095</v>
      </c>
      <c r="E1528" s="9">
        <v>7.1041666669771075E-2</v>
      </c>
      <c r="F1528" s="10" t="s">
        <v>1765</v>
      </c>
      <c r="G1528" s="10" t="s">
        <v>21</v>
      </c>
      <c r="H1528" s="10" t="s">
        <v>101</v>
      </c>
      <c r="I1528" s="10" t="s">
        <v>23</v>
      </c>
      <c r="J1528" s="11">
        <v>1.7</v>
      </c>
      <c r="K1528" s="12"/>
      <c r="L1528" s="12"/>
      <c r="M1528" s="12"/>
      <c r="N1528" s="12"/>
      <c r="O1528" s="12"/>
      <c r="P1528" s="12"/>
      <c r="Q1528" s="12"/>
      <c r="R1528" s="12"/>
      <c r="S1528" s="12"/>
    </row>
    <row r="1529" spans="1:19" ht="14.25" customHeight="1" x14ac:dyDescent="0.2">
      <c r="A1529" s="1" t="s">
        <v>19</v>
      </c>
      <c r="B1529" s="7">
        <v>46094.998900462961</v>
      </c>
      <c r="C1529" s="7">
        <v>46095.072048611109</v>
      </c>
      <c r="D1529" s="8">
        <v>46095</v>
      </c>
      <c r="E1529" s="9">
        <v>7.2048611109494232E-2</v>
      </c>
      <c r="F1529" s="10" t="s">
        <v>1766</v>
      </c>
      <c r="G1529" s="10" t="s">
        <v>21</v>
      </c>
      <c r="H1529" s="10" t="s">
        <v>1767</v>
      </c>
      <c r="I1529" s="10" t="s">
        <v>23</v>
      </c>
      <c r="J1529" s="11">
        <v>0.98</v>
      </c>
      <c r="K1529" s="12"/>
      <c r="L1529" s="12"/>
      <c r="M1529" s="12"/>
      <c r="N1529" s="12"/>
      <c r="O1529" s="12"/>
      <c r="P1529" s="12"/>
      <c r="Q1529" s="12"/>
      <c r="R1529" s="12"/>
      <c r="S1529" s="12"/>
    </row>
    <row r="1530" spans="1:19" ht="14.25" customHeight="1" x14ac:dyDescent="0.2">
      <c r="A1530" s="1" t="s">
        <v>95</v>
      </c>
      <c r="B1530" s="7">
        <v>46095.074733796297</v>
      </c>
      <c r="C1530" s="7">
        <v>46095.075891203705</v>
      </c>
      <c r="D1530" s="8">
        <v>46095</v>
      </c>
      <c r="E1530" s="9">
        <v>7.5891203705396038E-2</v>
      </c>
      <c r="F1530" s="10" t="s">
        <v>1768</v>
      </c>
      <c r="G1530" s="10" t="s">
        <v>21</v>
      </c>
      <c r="H1530" s="10" t="s">
        <v>108</v>
      </c>
      <c r="I1530" s="10" t="s">
        <v>23</v>
      </c>
      <c r="J1530" s="11">
        <v>1.7</v>
      </c>
      <c r="K1530" s="12"/>
      <c r="L1530" s="12"/>
      <c r="M1530" s="12"/>
      <c r="N1530" s="12"/>
      <c r="O1530" s="12"/>
      <c r="P1530" s="12"/>
      <c r="Q1530" s="12"/>
      <c r="R1530" s="12"/>
      <c r="S1530" s="12"/>
    </row>
    <row r="1531" spans="1:19" ht="14.25" customHeight="1" x14ac:dyDescent="0.2">
      <c r="A1531" s="1" t="s">
        <v>95</v>
      </c>
      <c r="B1531" s="7">
        <v>46095.057372685187</v>
      </c>
      <c r="C1531" s="7">
        <v>46095.07613425926</v>
      </c>
      <c r="D1531" s="8">
        <v>46095</v>
      </c>
      <c r="E1531" s="9">
        <v>7.6134259259561077E-2</v>
      </c>
      <c r="F1531" s="10" t="s">
        <v>1769</v>
      </c>
      <c r="G1531" s="10" t="s">
        <v>21</v>
      </c>
      <c r="H1531" s="10" t="s">
        <v>110</v>
      </c>
      <c r="I1531" s="10" t="s">
        <v>23</v>
      </c>
      <c r="J1531" s="11">
        <v>0.83</v>
      </c>
      <c r="K1531" s="12"/>
      <c r="L1531" s="12"/>
      <c r="M1531" s="12"/>
      <c r="N1531" s="12"/>
      <c r="O1531" s="12"/>
      <c r="P1531" s="12"/>
      <c r="Q1531" s="12"/>
      <c r="R1531" s="12"/>
      <c r="S1531" s="12"/>
    </row>
    <row r="1532" spans="1:19" ht="14.25" customHeight="1" x14ac:dyDescent="0.2">
      <c r="A1532" s="1" t="s">
        <v>33</v>
      </c>
      <c r="B1532" s="7">
        <v>46095.054583333331</v>
      </c>
      <c r="C1532" s="7">
        <v>46095.076643518521</v>
      </c>
      <c r="D1532" s="8">
        <v>46095</v>
      </c>
      <c r="E1532" s="9">
        <v>7.664351852145046E-2</v>
      </c>
      <c r="F1532" s="10" t="s">
        <v>1770</v>
      </c>
      <c r="G1532" s="10" t="s">
        <v>21</v>
      </c>
      <c r="H1532" s="10" t="s">
        <v>22</v>
      </c>
      <c r="I1532" s="10" t="s">
        <v>23</v>
      </c>
      <c r="J1532" s="11">
        <v>0.83</v>
      </c>
      <c r="K1532" s="12"/>
      <c r="L1532" s="12"/>
      <c r="M1532" s="12"/>
      <c r="N1532" s="12"/>
      <c r="O1532" s="12"/>
      <c r="P1532" s="12"/>
      <c r="Q1532" s="12"/>
      <c r="R1532" s="12"/>
      <c r="S1532" s="12"/>
    </row>
    <row r="1533" spans="1:19" ht="14.25" customHeight="1" x14ac:dyDescent="0.2">
      <c r="A1533" s="1" t="s">
        <v>19</v>
      </c>
      <c r="B1533" s="7">
        <v>46095.031192129631</v>
      </c>
      <c r="C1533" s="7">
        <v>46095.083611111113</v>
      </c>
      <c r="D1533" s="8">
        <v>46095</v>
      </c>
      <c r="E1533" s="9">
        <v>8.3611111112986691E-2</v>
      </c>
      <c r="F1533" s="10" t="s">
        <v>1771</v>
      </c>
      <c r="G1533" s="10" t="s">
        <v>21</v>
      </c>
      <c r="H1533" s="10" t="s">
        <v>281</v>
      </c>
      <c r="I1533" s="10" t="s">
        <v>23</v>
      </c>
      <c r="J1533" s="11">
        <v>2.5</v>
      </c>
      <c r="K1533" s="12"/>
      <c r="L1533" s="12">
        <f>SUM(J1533:J1539)</f>
        <v>10.57</v>
      </c>
      <c r="M1533" s="13">
        <f>L1533*65</f>
        <v>687.05000000000007</v>
      </c>
      <c r="N1533" s="14">
        <f>MAX(500,M1533)</f>
        <v>687.05000000000007</v>
      </c>
      <c r="O1533" s="12"/>
      <c r="P1533" s="12"/>
      <c r="Q1533" s="12"/>
      <c r="R1533" s="12"/>
      <c r="S1533" s="12"/>
    </row>
    <row r="1534" spans="1:19" ht="14.25" customHeight="1" x14ac:dyDescent="0.2">
      <c r="A1534" s="1" t="s">
        <v>19</v>
      </c>
      <c r="B1534" s="7">
        <v>46095.057106481479</v>
      </c>
      <c r="C1534" s="7">
        <v>46095.083958333336</v>
      </c>
      <c r="D1534" s="8">
        <v>46095</v>
      </c>
      <c r="E1534" s="9">
        <v>8.3958333336340729E-2</v>
      </c>
      <c r="F1534" s="10" t="s">
        <v>1772</v>
      </c>
      <c r="G1534" s="10" t="s">
        <v>21</v>
      </c>
      <c r="H1534" s="10" t="s">
        <v>41</v>
      </c>
      <c r="I1534" s="10" t="s">
        <v>23</v>
      </c>
      <c r="J1534" s="11">
        <v>1.77</v>
      </c>
      <c r="K1534" s="12"/>
      <c r="L1534" s="12"/>
      <c r="M1534" s="12"/>
      <c r="N1534" s="12"/>
      <c r="O1534" s="12"/>
      <c r="P1534" s="12"/>
      <c r="Q1534" s="12"/>
      <c r="R1534" s="12"/>
      <c r="S1534" s="12"/>
    </row>
    <row r="1535" spans="1:19" ht="14.25" customHeight="1" x14ac:dyDescent="0.2">
      <c r="A1535" s="1" t="s">
        <v>19</v>
      </c>
      <c r="B1535" s="7">
        <v>46095.072476851848</v>
      </c>
      <c r="C1535" s="7">
        <v>46095.084351851852</v>
      </c>
      <c r="D1535" s="8">
        <v>46095</v>
      </c>
      <c r="E1535" s="9">
        <v>8.4351851852261461E-2</v>
      </c>
      <c r="F1535" s="10" t="s">
        <v>1773</v>
      </c>
      <c r="G1535" s="10" t="s">
        <v>21</v>
      </c>
      <c r="H1535" s="10" t="s">
        <v>101</v>
      </c>
      <c r="I1535" s="10" t="s">
        <v>23</v>
      </c>
      <c r="J1535" s="11">
        <v>1.7</v>
      </c>
      <c r="K1535" s="12"/>
      <c r="L1535" s="12"/>
      <c r="M1535" s="12"/>
      <c r="N1535" s="12"/>
      <c r="O1535" s="12"/>
      <c r="P1535" s="12"/>
      <c r="Q1535" s="12"/>
      <c r="R1535" s="12"/>
      <c r="S1535" s="12"/>
    </row>
    <row r="1536" spans="1:19" ht="14.25" customHeight="1" x14ac:dyDescent="0.2">
      <c r="A1536" s="1" t="s">
        <v>95</v>
      </c>
      <c r="B1536" s="7">
        <v>46095.085787037038</v>
      </c>
      <c r="C1536" s="7">
        <v>46095.10229166667</v>
      </c>
      <c r="D1536" s="8">
        <v>46095</v>
      </c>
      <c r="E1536" s="9">
        <v>0.10229166666977108</v>
      </c>
      <c r="F1536" s="10" t="s">
        <v>1774</v>
      </c>
      <c r="G1536" s="10" t="s">
        <v>21</v>
      </c>
      <c r="H1536" s="10" t="s">
        <v>97</v>
      </c>
      <c r="I1536" s="10" t="s">
        <v>23</v>
      </c>
      <c r="J1536" s="11">
        <v>1.77</v>
      </c>
      <c r="K1536" s="12"/>
      <c r="L1536" s="12"/>
      <c r="M1536" s="12"/>
      <c r="N1536" s="12"/>
      <c r="O1536" s="12"/>
      <c r="P1536" s="12"/>
      <c r="Q1536" s="12"/>
      <c r="R1536" s="12"/>
      <c r="S1536" s="12"/>
    </row>
    <row r="1537" spans="1:19" ht="14.25" customHeight="1" x14ac:dyDescent="0.2">
      <c r="A1537" s="1" t="s">
        <v>33</v>
      </c>
      <c r="B1537" s="7">
        <v>46095.063067129631</v>
      </c>
      <c r="C1537" s="7">
        <v>46095.105474537035</v>
      </c>
      <c r="D1537" s="8">
        <v>46095</v>
      </c>
      <c r="E1537" s="9">
        <v>0.10547453703475185</v>
      </c>
      <c r="F1537" s="10" t="s">
        <v>1775</v>
      </c>
      <c r="G1537" s="10" t="s">
        <v>26</v>
      </c>
      <c r="H1537" s="10" t="s">
        <v>315</v>
      </c>
      <c r="I1537" s="10" t="s">
        <v>23</v>
      </c>
      <c r="J1537" s="11">
        <v>0.88</v>
      </c>
      <c r="K1537" s="12"/>
      <c r="L1537" s="12"/>
      <c r="M1537" s="12"/>
      <c r="N1537" s="12"/>
      <c r="O1537" s="12"/>
      <c r="P1537" s="12"/>
      <c r="Q1537" s="12"/>
      <c r="R1537" s="12"/>
      <c r="S1537" s="12"/>
    </row>
    <row r="1538" spans="1:19" ht="14.25" customHeight="1" x14ac:dyDescent="0.2">
      <c r="A1538" s="1" t="s">
        <v>95</v>
      </c>
      <c r="B1538" s="7">
        <v>46095.096064814818</v>
      </c>
      <c r="C1538" s="7">
        <v>46095.122337962966</v>
      </c>
      <c r="D1538" s="8">
        <v>46095</v>
      </c>
      <c r="E1538" s="9">
        <v>0.12233796296641231</v>
      </c>
      <c r="F1538" s="10" t="s">
        <v>1776</v>
      </c>
      <c r="G1538" s="10" t="s">
        <v>21</v>
      </c>
      <c r="H1538" s="10" t="s">
        <v>97</v>
      </c>
      <c r="I1538" s="10" t="s">
        <v>23</v>
      </c>
      <c r="J1538" s="11">
        <v>1.77</v>
      </c>
      <c r="K1538" s="12"/>
      <c r="L1538" s="12"/>
      <c r="M1538" s="12"/>
      <c r="N1538" s="12"/>
      <c r="O1538" s="12"/>
      <c r="P1538" s="12"/>
      <c r="Q1538" s="12"/>
      <c r="R1538" s="12"/>
      <c r="S1538" s="12"/>
    </row>
    <row r="1539" spans="1:19" ht="14.25" customHeight="1" x14ac:dyDescent="0.2">
      <c r="A1539" s="1" t="s">
        <v>95</v>
      </c>
      <c r="B1539" s="7">
        <v>46095.104479166665</v>
      </c>
      <c r="C1539" s="7">
        <v>46095.122627314813</v>
      </c>
      <c r="D1539" s="8">
        <v>46095</v>
      </c>
      <c r="E1539" s="9">
        <v>0.12262731481314404</v>
      </c>
      <c r="F1539" s="10" t="s">
        <v>1777</v>
      </c>
      <c r="G1539" s="10" t="s">
        <v>44</v>
      </c>
      <c r="H1539" s="10" t="s">
        <v>45</v>
      </c>
      <c r="I1539" s="10" t="s">
        <v>23</v>
      </c>
      <c r="J1539" s="11">
        <v>0.18</v>
      </c>
      <c r="K1539" s="12"/>
      <c r="L1539" s="12"/>
      <c r="M1539" s="12"/>
      <c r="N1539" s="12"/>
      <c r="O1539" s="12"/>
      <c r="P1539" s="12"/>
      <c r="Q1539" s="12"/>
      <c r="R1539" s="12"/>
      <c r="S1539" s="12"/>
    </row>
    <row r="1540" spans="1:19" ht="14.25" customHeight="1" x14ac:dyDescent="0.2">
      <c r="A1540" s="1" t="s">
        <v>33</v>
      </c>
      <c r="B1540" s="7">
        <v>46095.115868055553</v>
      </c>
      <c r="C1540" s="7">
        <v>46095.126909722225</v>
      </c>
      <c r="D1540" s="8">
        <v>46095</v>
      </c>
      <c r="E1540" s="9">
        <v>0.12690972222480923</v>
      </c>
      <c r="F1540" s="10" t="s">
        <v>1778</v>
      </c>
      <c r="G1540" s="10" t="s">
        <v>21</v>
      </c>
      <c r="H1540" s="10" t="s">
        <v>54</v>
      </c>
      <c r="I1540" s="10" t="s">
        <v>23</v>
      </c>
      <c r="J1540" s="11">
        <v>0.83</v>
      </c>
      <c r="K1540" s="12">
        <f>SUM(J1540:J1564)</f>
        <v>28.819999999999993</v>
      </c>
      <c r="L1540" s="12">
        <f>SUM(J1540:J1545)</f>
        <v>7.74</v>
      </c>
      <c r="M1540" s="13">
        <f>L1540*65</f>
        <v>503.1</v>
      </c>
      <c r="N1540" s="14">
        <f>MAX(500,M1540)</f>
        <v>503.1</v>
      </c>
      <c r="O1540" s="12"/>
      <c r="P1540" s="12"/>
      <c r="Q1540" s="12"/>
      <c r="R1540" s="12"/>
      <c r="S1540" s="12"/>
    </row>
    <row r="1541" spans="1:19" ht="14.25" customHeight="1" x14ac:dyDescent="0.2">
      <c r="A1541" s="1" t="s">
        <v>19</v>
      </c>
      <c r="B1541" s="7">
        <v>46095.119456018518</v>
      </c>
      <c r="C1541" s="7">
        <v>46095.127453703702</v>
      </c>
      <c r="D1541" s="8">
        <v>46095</v>
      </c>
      <c r="E1541" s="9">
        <v>0.12745370370248565</v>
      </c>
      <c r="F1541" s="10" t="s">
        <v>1779</v>
      </c>
      <c r="G1541" s="10" t="s">
        <v>21</v>
      </c>
      <c r="H1541" s="10" t="s">
        <v>1709</v>
      </c>
      <c r="I1541" s="10" t="s">
        <v>23</v>
      </c>
      <c r="J1541" s="11">
        <v>1.77</v>
      </c>
      <c r="K1541" s="12"/>
      <c r="L1541" s="12"/>
      <c r="M1541" s="12"/>
      <c r="N1541" s="12"/>
      <c r="O1541" s="12"/>
      <c r="P1541" s="12"/>
      <c r="Q1541" s="12"/>
      <c r="R1541" s="12"/>
      <c r="S1541" s="12"/>
    </row>
    <row r="1542" spans="1:19" ht="14.25" customHeight="1" x14ac:dyDescent="0.2">
      <c r="A1542" s="1" t="s">
        <v>95</v>
      </c>
      <c r="B1542" s="7">
        <v>46095.127071759256</v>
      </c>
      <c r="C1542" s="7">
        <v>46095.145578703705</v>
      </c>
      <c r="D1542" s="8">
        <v>46095</v>
      </c>
      <c r="E1542" s="9">
        <v>0.14557870370481396</v>
      </c>
      <c r="F1542" s="10" t="s">
        <v>1780</v>
      </c>
      <c r="G1542" s="10" t="s">
        <v>21</v>
      </c>
      <c r="H1542" s="10" t="s">
        <v>110</v>
      </c>
      <c r="I1542" s="10" t="s">
        <v>23</v>
      </c>
      <c r="J1542" s="11">
        <v>0.83</v>
      </c>
      <c r="K1542" s="12"/>
      <c r="L1542" s="12"/>
      <c r="M1542" s="12"/>
      <c r="N1542" s="12"/>
      <c r="O1542" s="12"/>
      <c r="P1542" s="12"/>
      <c r="Q1542" s="12"/>
      <c r="R1542" s="12"/>
      <c r="S1542" s="12"/>
    </row>
    <row r="1543" spans="1:19" ht="14.25" customHeight="1" x14ac:dyDescent="0.2">
      <c r="A1543" s="1" t="s">
        <v>19</v>
      </c>
      <c r="B1543" s="7">
        <v>46095.13690972222</v>
      </c>
      <c r="C1543" s="7">
        <v>46095.145752314813</v>
      </c>
      <c r="D1543" s="8">
        <v>46095</v>
      </c>
      <c r="E1543" s="9">
        <v>0.145752314812853</v>
      </c>
      <c r="F1543" s="10" t="s">
        <v>1781</v>
      </c>
      <c r="G1543" s="10" t="s">
        <v>21</v>
      </c>
      <c r="H1543" s="10" t="s">
        <v>22</v>
      </c>
      <c r="I1543" s="10" t="s">
        <v>23</v>
      </c>
      <c r="J1543" s="11">
        <v>0.83</v>
      </c>
      <c r="K1543" s="12"/>
      <c r="L1543" s="12"/>
      <c r="M1543" s="12"/>
      <c r="N1543" s="12"/>
      <c r="O1543" s="12"/>
      <c r="P1543" s="12"/>
      <c r="Q1543" s="12"/>
      <c r="R1543" s="12"/>
      <c r="S1543" s="12"/>
    </row>
    <row r="1544" spans="1:19" ht="14.25" customHeight="1" x14ac:dyDescent="0.2">
      <c r="A1544" s="1" t="s">
        <v>95</v>
      </c>
      <c r="B1544" s="7">
        <v>46095.127071759256</v>
      </c>
      <c r="C1544" s="7">
        <v>46095.145902777775</v>
      </c>
      <c r="D1544" s="8">
        <v>46095</v>
      </c>
      <c r="E1544" s="9">
        <v>0.14590277777460869</v>
      </c>
      <c r="F1544" s="10" t="s">
        <v>1782</v>
      </c>
      <c r="G1544" s="10" t="s">
        <v>21</v>
      </c>
      <c r="H1544" s="10" t="s">
        <v>52</v>
      </c>
      <c r="I1544" s="10" t="s">
        <v>23</v>
      </c>
      <c r="J1544" s="11">
        <v>0.98</v>
      </c>
      <c r="K1544" s="12"/>
      <c r="L1544" s="12"/>
      <c r="M1544" s="12"/>
      <c r="N1544" s="12"/>
      <c r="O1544" s="12"/>
      <c r="P1544" s="12"/>
      <c r="Q1544" s="12"/>
      <c r="R1544" s="12"/>
      <c r="S1544" s="12"/>
    </row>
    <row r="1545" spans="1:19" ht="14.25" customHeight="1" x14ac:dyDescent="0.2">
      <c r="A1545" s="1" t="s">
        <v>33</v>
      </c>
      <c r="B1545" s="7">
        <v>46095.118935185186</v>
      </c>
      <c r="C1545" s="7">
        <v>46095.147314814814</v>
      </c>
      <c r="D1545" s="8">
        <v>46095</v>
      </c>
      <c r="E1545" s="9">
        <v>0.14731481481430819</v>
      </c>
      <c r="F1545" s="10" t="s">
        <v>1783</v>
      </c>
      <c r="G1545" s="10" t="s">
        <v>21</v>
      </c>
      <c r="H1545" s="10" t="s">
        <v>35</v>
      </c>
      <c r="I1545" s="10" t="s">
        <v>23</v>
      </c>
      <c r="J1545" s="11">
        <v>2.5</v>
      </c>
      <c r="K1545" s="12"/>
      <c r="L1545" s="12"/>
      <c r="M1545" s="12"/>
      <c r="N1545" s="12"/>
      <c r="O1545" s="12"/>
      <c r="P1545" s="12"/>
      <c r="Q1545" s="12"/>
      <c r="R1545" s="12"/>
      <c r="S1545" s="12"/>
    </row>
    <row r="1546" spans="1:19" ht="14.25" customHeight="1" x14ac:dyDescent="0.2">
      <c r="A1546" s="1" t="s">
        <v>24</v>
      </c>
      <c r="B1546" s="7">
        <v>46095.125300925924</v>
      </c>
      <c r="C1546" s="7">
        <v>46095.167314814818</v>
      </c>
      <c r="D1546" s="8">
        <v>46095</v>
      </c>
      <c r="E1546" s="9">
        <v>0.16731481481838273</v>
      </c>
      <c r="F1546" s="10" t="s">
        <v>1784</v>
      </c>
      <c r="G1546" s="10" t="s">
        <v>21</v>
      </c>
      <c r="H1546" s="10" t="s">
        <v>22</v>
      </c>
      <c r="I1546" s="10" t="s">
        <v>23</v>
      </c>
      <c r="J1546" s="11">
        <v>0.83</v>
      </c>
      <c r="K1546" s="12"/>
      <c r="L1546" s="12">
        <f>SUM(J1546:J1552)</f>
        <v>6.74</v>
      </c>
      <c r="M1546" s="13">
        <f>L1546*65</f>
        <v>438.1</v>
      </c>
      <c r="N1546" s="14">
        <f>MAX(500,M1546)</f>
        <v>500</v>
      </c>
      <c r="O1546" s="12"/>
      <c r="P1546" s="12"/>
      <c r="Q1546" s="12"/>
      <c r="R1546" s="12"/>
      <c r="S1546" s="12"/>
    </row>
    <row r="1547" spans="1:19" ht="14.25" customHeight="1" x14ac:dyDescent="0.2">
      <c r="A1547" s="1" t="s">
        <v>95</v>
      </c>
      <c r="B1547" s="7">
        <v>46095.15185185185</v>
      </c>
      <c r="C1547" s="7">
        <v>46095.16783564815</v>
      </c>
      <c r="D1547" s="8">
        <v>46095</v>
      </c>
      <c r="E1547" s="9">
        <v>0.16783564814977581</v>
      </c>
      <c r="F1547" s="10" t="s">
        <v>1785</v>
      </c>
      <c r="G1547" s="10" t="s">
        <v>21</v>
      </c>
      <c r="H1547" s="10" t="s">
        <v>97</v>
      </c>
      <c r="I1547" s="10" t="s">
        <v>23</v>
      </c>
      <c r="J1547" s="11">
        <v>1.77</v>
      </c>
      <c r="K1547" s="12"/>
      <c r="L1547" s="12"/>
      <c r="M1547" s="12"/>
      <c r="N1547" s="12"/>
      <c r="O1547" s="12"/>
      <c r="P1547" s="12"/>
      <c r="Q1547" s="12"/>
      <c r="R1547" s="12"/>
      <c r="S1547" s="12"/>
    </row>
    <row r="1548" spans="1:19" ht="14.25" customHeight="1" x14ac:dyDescent="0.2">
      <c r="A1548" s="1" t="s">
        <v>95</v>
      </c>
      <c r="B1548" s="7">
        <v>46095.17491898148</v>
      </c>
      <c r="C1548" s="7">
        <v>46095.188043981485</v>
      </c>
      <c r="D1548" s="8">
        <v>46095</v>
      </c>
      <c r="E1548" s="9">
        <v>0.18804398148495238</v>
      </c>
      <c r="F1548" s="10" t="s">
        <v>1786</v>
      </c>
      <c r="G1548" s="10" t="s">
        <v>21</v>
      </c>
      <c r="H1548" s="10" t="s">
        <v>97</v>
      </c>
      <c r="I1548" s="10" t="s">
        <v>23</v>
      </c>
      <c r="J1548" s="11">
        <v>1.77</v>
      </c>
      <c r="K1548" s="12"/>
      <c r="L1548" s="12"/>
      <c r="M1548" s="12"/>
      <c r="N1548" s="12"/>
      <c r="O1548" s="12"/>
      <c r="P1548" s="12"/>
      <c r="Q1548" s="12"/>
      <c r="R1548" s="12"/>
      <c r="S1548" s="12"/>
    </row>
    <row r="1549" spans="1:19" ht="14.25" customHeight="1" x14ac:dyDescent="0.2">
      <c r="A1549" s="1" t="s">
        <v>28</v>
      </c>
      <c r="B1549" s="7">
        <v>46095.163206018522</v>
      </c>
      <c r="C1549" s="7">
        <v>46095.19358796296</v>
      </c>
      <c r="D1549" s="8">
        <v>46095</v>
      </c>
      <c r="E1549" s="9">
        <v>0.19358796296000946</v>
      </c>
      <c r="F1549" s="10" t="s">
        <v>1787</v>
      </c>
      <c r="G1549" s="10" t="s">
        <v>26</v>
      </c>
      <c r="H1549" s="10" t="s">
        <v>92</v>
      </c>
      <c r="I1549" s="10" t="s">
        <v>23</v>
      </c>
      <c r="J1549" s="11">
        <v>0.63</v>
      </c>
      <c r="K1549" s="12"/>
      <c r="L1549" s="12"/>
      <c r="M1549" s="12"/>
      <c r="N1549" s="12"/>
      <c r="O1549" s="12"/>
      <c r="P1549" s="12"/>
      <c r="Q1549" s="12"/>
      <c r="R1549" s="12"/>
      <c r="S1549" s="12"/>
    </row>
    <row r="1550" spans="1:19" ht="14.25" customHeight="1" x14ac:dyDescent="0.2">
      <c r="A1550" s="1" t="s">
        <v>33</v>
      </c>
      <c r="B1550" s="7">
        <v>46095.183437500003</v>
      </c>
      <c r="C1550" s="7">
        <v>46095.200196759259</v>
      </c>
      <c r="D1550" s="8">
        <v>46095</v>
      </c>
      <c r="E1550" s="9">
        <v>0.20019675925868796</v>
      </c>
      <c r="F1550" s="10" t="s">
        <v>1788</v>
      </c>
      <c r="G1550" s="10" t="s">
        <v>21</v>
      </c>
      <c r="H1550" s="10" t="s">
        <v>22</v>
      </c>
      <c r="I1550" s="10" t="s">
        <v>23</v>
      </c>
      <c r="J1550" s="11">
        <v>0.83</v>
      </c>
      <c r="K1550" s="12"/>
      <c r="L1550" s="12"/>
      <c r="M1550" s="12"/>
      <c r="N1550" s="12"/>
      <c r="O1550" s="12"/>
      <c r="P1550" s="12"/>
      <c r="Q1550" s="12"/>
      <c r="R1550" s="12"/>
      <c r="S1550" s="12"/>
    </row>
    <row r="1551" spans="1:19" ht="14.25" customHeight="1" x14ac:dyDescent="0.2">
      <c r="A1551" s="1" t="s">
        <v>57</v>
      </c>
      <c r="B1551" s="7">
        <v>46095.137592592589</v>
      </c>
      <c r="C1551" s="7">
        <v>46095.201203703706</v>
      </c>
      <c r="D1551" s="8">
        <v>46095</v>
      </c>
      <c r="E1551" s="9">
        <v>0.20120370370568708</v>
      </c>
      <c r="F1551" s="10" t="s">
        <v>1789</v>
      </c>
      <c r="G1551" s="10" t="s">
        <v>26</v>
      </c>
      <c r="H1551" s="10" t="s">
        <v>56</v>
      </c>
      <c r="I1551" s="10" t="s">
        <v>23</v>
      </c>
      <c r="J1551" s="11">
        <v>0.73</v>
      </c>
      <c r="K1551" s="12"/>
      <c r="L1551" s="12"/>
      <c r="M1551" s="12"/>
      <c r="N1551" s="12"/>
      <c r="O1551" s="12"/>
      <c r="P1551" s="12"/>
      <c r="Q1551" s="12"/>
      <c r="R1551" s="12"/>
      <c r="S1551" s="12"/>
    </row>
    <row r="1552" spans="1:19" ht="14.25" customHeight="1" x14ac:dyDescent="0.2">
      <c r="A1552" s="1" t="s">
        <v>95</v>
      </c>
      <c r="B1552" s="7">
        <v>46095.183113425926</v>
      </c>
      <c r="C1552" s="7">
        <v>46095.20689814815</v>
      </c>
      <c r="D1552" s="8">
        <v>46095</v>
      </c>
      <c r="E1552" s="9">
        <v>0.20689814814977581</v>
      </c>
      <c r="F1552" s="10" t="s">
        <v>1790</v>
      </c>
      <c r="G1552" s="10" t="s">
        <v>44</v>
      </c>
      <c r="H1552" s="10" t="s">
        <v>45</v>
      </c>
      <c r="I1552" s="10" t="s">
        <v>23</v>
      </c>
      <c r="J1552" s="11">
        <v>0.18</v>
      </c>
      <c r="K1552" s="12"/>
      <c r="L1552" s="12"/>
      <c r="M1552" s="12"/>
      <c r="N1552" s="12"/>
      <c r="O1552" s="12"/>
      <c r="P1552" s="12"/>
      <c r="Q1552" s="12"/>
      <c r="R1552" s="12"/>
      <c r="S1552" s="12"/>
    </row>
    <row r="1553" spans="1:19" ht="14.25" customHeight="1" x14ac:dyDescent="0.2">
      <c r="A1553" s="1" t="s">
        <v>19</v>
      </c>
      <c r="B1553" s="7">
        <v>46095.184259259258</v>
      </c>
      <c r="C1553" s="7">
        <v>46095.21466435185</v>
      </c>
      <c r="D1553" s="8">
        <v>46095</v>
      </c>
      <c r="E1553" s="9">
        <v>0.21466435184993315</v>
      </c>
      <c r="F1553" s="10" t="s">
        <v>1791</v>
      </c>
      <c r="G1553" s="10" t="s">
        <v>21</v>
      </c>
      <c r="H1553" s="10" t="s">
        <v>41</v>
      </c>
      <c r="I1553" s="10" t="s">
        <v>23</v>
      </c>
      <c r="J1553" s="11">
        <v>1.77</v>
      </c>
      <c r="K1553" s="12"/>
      <c r="L1553" s="12">
        <f>SUM(J1553:J1564)</f>
        <v>14.34</v>
      </c>
      <c r="M1553" s="13">
        <f>L1553*65</f>
        <v>932.1</v>
      </c>
      <c r="N1553" s="14">
        <f>MAX(500,M1553)</f>
        <v>932.1</v>
      </c>
      <c r="O1553" s="12"/>
      <c r="P1553" s="12"/>
      <c r="Q1553" s="12"/>
      <c r="R1553" s="12"/>
      <c r="S1553" s="12"/>
    </row>
    <row r="1554" spans="1:19" ht="14.25" customHeight="1" x14ac:dyDescent="0.2">
      <c r="A1554" s="1" t="s">
        <v>95</v>
      </c>
      <c r="B1554" s="7">
        <v>46095.203530092593</v>
      </c>
      <c r="C1554" s="7">
        <v>46095.21733796296</v>
      </c>
      <c r="D1554" s="8">
        <v>46095</v>
      </c>
      <c r="E1554" s="9">
        <v>0.2173379629603005</v>
      </c>
      <c r="F1554" s="10" t="s">
        <v>1792</v>
      </c>
      <c r="G1554" s="10" t="s">
        <v>21</v>
      </c>
      <c r="H1554" s="10" t="s">
        <v>108</v>
      </c>
      <c r="I1554" s="10" t="s">
        <v>23</v>
      </c>
      <c r="J1554" s="11">
        <v>1.7</v>
      </c>
      <c r="K1554" s="12"/>
      <c r="L1554" s="12"/>
      <c r="M1554" s="12"/>
      <c r="N1554" s="12"/>
      <c r="O1554" s="12"/>
      <c r="P1554" s="12"/>
      <c r="Q1554" s="12"/>
      <c r="R1554" s="12"/>
      <c r="S1554" s="12"/>
    </row>
    <row r="1555" spans="1:19" ht="14.25" customHeight="1" x14ac:dyDescent="0.2">
      <c r="A1555" s="1" t="s">
        <v>95</v>
      </c>
      <c r="B1555" s="7">
        <v>46095.203530092593</v>
      </c>
      <c r="C1555" s="7">
        <v>46095.21769675926</v>
      </c>
      <c r="D1555" s="8">
        <v>46095</v>
      </c>
      <c r="E1555" s="9">
        <v>0.21769675926043419</v>
      </c>
      <c r="F1555" s="10" t="s">
        <v>1793</v>
      </c>
      <c r="G1555" s="10" t="s">
        <v>21</v>
      </c>
      <c r="H1555" s="10" t="s">
        <v>154</v>
      </c>
      <c r="I1555" s="10" t="s">
        <v>23</v>
      </c>
      <c r="J1555" s="11">
        <v>1.77</v>
      </c>
      <c r="K1555" s="12"/>
      <c r="L1555" s="12"/>
      <c r="M1555" s="12"/>
      <c r="N1555" s="12"/>
      <c r="O1555" s="12"/>
      <c r="P1555" s="12"/>
      <c r="Q1555" s="12"/>
      <c r="R1555" s="12"/>
      <c r="S1555" s="12"/>
    </row>
    <row r="1556" spans="1:19" ht="14.25" customHeight="1" x14ac:dyDescent="0.2">
      <c r="A1556" s="1" t="s">
        <v>28</v>
      </c>
      <c r="B1556" s="7">
        <v>46095.19630787037</v>
      </c>
      <c r="C1556" s="7">
        <v>46095.21912037037</v>
      </c>
      <c r="D1556" s="8">
        <v>46095</v>
      </c>
      <c r="E1556" s="9">
        <v>0.21912037036963739</v>
      </c>
      <c r="F1556" s="10" t="s">
        <v>1794</v>
      </c>
      <c r="G1556" s="10" t="s">
        <v>26</v>
      </c>
      <c r="H1556" s="10" t="s">
        <v>92</v>
      </c>
      <c r="I1556" s="10" t="s">
        <v>23</v>
      </c>
      <c r="J1556" s="11">
        <v>0.63</v>
      </c>
      <c r="K1556" s="12"/>
      <c r="L1556" s="12"/>
      <c r="M1556" s="12"/>
      <c r="N1556" s="12"/>
      <c r="O1556" s="12"/>
      <c r="P1556" s="12"/>
      <c r="Q1556" s="12"/>
      <c r="R1556" s="12"/>
      <c r="S1556" s="12"/>
    </row>
    <row r="1557" spans="1:19" ht="14.25" customHeight="1" x14ac:dyDescent="0.2">
      <c r="A1557" s="1" t="s">
        <v>19</v>
      </c>
      <c r="B1557" s="7">
        <v>46095.218333333331</v>
      </c>
      <c r="C1557" s="7">
        <v>46095.227881944447</v>
      </c>
      <c r="D1557" s="8">
        <v>46095</v>
      </c>
      <c r="E1557" s="9">
        <v>0.22788194444729015</v>
      </c>
      <c r="F1557" s="10" t="s">
        <v>1795</v>
      </c>
      <c r="G1557" s="10" t="s">
        <v>21</v>
      </c>
      <c r="H1557" s="10" t="s">
        <v>41</v>
      </c>
      <c r="I1557" s="10" t="s">
        <v>23</v>
      </c>
      <c r="J1557" s="11">
        <v>1.77</v>
      </c>
      <c r="K1557" s="12"/>
      <c r="L1557" s="12"/>
      <c r="M1557" s="12"/>
      <c r="N1557" s="12"/>
      <c r="O1557" s="12"/>
      <c r="P1557" s="12"/>
      <c r="Q1557" s="12"/>
      <c r="R1557" s="12"/>
      <c r="S1557" s="12"/>
    </row>
    <row r="1558" spans="1:19" ht="14.25" customHeight="1" x14ac:dyDescent="0.2">
      <c r="A1558" s="1" t="s">
        <v>24</v>
      </c>
      <c r="B1558" s="7">
        <v>46095.213206018518</v>
      </c>
      <c r="C1558" s="7">
        <v>46095.232037037036</v>
      </c>
      <c r="D1558" s="8">
        <v>46095</v>
      </c>
      <c r="E1558" s="9">
        <v>0.23203703703620704</v>
      </c>
      <c r="F1558" s="10" t="s">
        <v>1796</v>
      </c>
      <c r="G1558" s="10" t="s">
        <v>21</v>
      </c>
      <c r="H1558" s="10" t="s">
        <v>22</v>
      </c>
      <c r="I1558" s="10" t="s">
        <v>23</v>
      </c>
      <c r="J1558" s="11">
        <v>0.83</v>
      </c>
      <c r="K1558" s="12"/>
      <c r="L1558" s="12"/>
      <c r="M1558" s="12"/>
      <c r="N1558" s="12"/>
      <c r="O1558" s="12"/>
      <c r="P1558" s="12"/>
      <c r="Q1558" s="12"/>
      <c r="R1558" s="12"/>
      <c r="S1558" s="12"/>
    </row>
    <row r="1559" spans="1:19" ht="14.25" customHeight="1" x14ac:dyDescent="0.2">
      <c r="A1559" s="1" t="s">
        <v>24</v>
      </c>
      <c r="B1559" s="7">
        <v>46095.214537037034</v>
      </c>
      <c r="C1559" s="7">
        <v>46095.232372685183</v>
      </c>
      <c r="D1559" s="8">
        <v>46095</v>
      </c>
      <c r="E1559" s="9">
        <v>0.23237268518278142</v>
      </c>
      <c r="F1559" s="10" t="s">
        <v>1797</v>
      </c>
      <c r="G1559" s="10" t="s">
        <v>21</v>
      </c>
      <c r="H1559" s="10" t="s">
        <v>101</v>
      </c>
      <c r="I1559" s="10" t="s">
        <v>23</v>
      </c>
      <c r="J1559" s="11">
        <v>1.7</v>
      </c>
      <c r="K1559" s="12"/>
      <c r="L1559" s="12"/>
      <c r="M1559" s="12"/>
      <c r="N1559" s="12"/>
      <c r="O1559" s="12"/>
      <c r="P1559" s="12"/>
      <c r="Q1559" s="12"/>
      <c r="R1559" s="12"/>
      <c r="S1559" s="12"/>
    </row>
    <row r="1560" spans="1:19" ht="14.25" customHeight="1" x14ac:dyDescent="0.2">
      <c r="A1560" s="1" t="s">
        <v>42</v>
      </c>
      <c r="B1560" s="7">
        <v>46095.216423611113</v>
      </c>
      <c r="C1560" s="7">
        <v>46095.236493055556</v>
      </c>
      <c r="D1560" s="8">
        <v>46095</v>
      </c>
      <c r="E1560" s="9">
        <v>0.23649305555591127</v>
      </c>
      <c r="F1560" s="10" t="s">
        <v>1798</v>
      </c>
      <c r="G1560" s="10" t="s">
        <v>44</v>
      </c>
      <c r="H1560" s="10" t="s">
        <v>50</v>
      </c>
      <c r="I1560" s="10" t="s">
        <v>23</v>
      </c>
      <c r="J1560" s="11">
        <v>0.18</v>
      </c>
      <c r="K1560" s="12"/>
      <c r="L1560" s="12"/>
      <c r="M1560" s="12"/>
      <c r="N1560" s="12"/>
      <c r="O1560" s="12"/>
      <c r="P1560" s="12"/>
      <c r="Q1560" s="12"/>
      <c r="R1560" s="12"/>
      <c r="S1560" s="12"/>
    </row>
    <row r="1561" spans="1:19" ht="14.25" customHeight="1" x14ac:dyDescent="0.2">
      <c r="A1561" s="1" t="s">
        <v>95</v>
      </c>
      <c r="B1561" s="7">
        <v>46095.235208333332</v>
      </c>
      <c r="C1561" s="7">
        <v>46095.237395833334</v>
      </c>
      <c r="D1561" s="8">
        <v>46095</v>
      </c>
      <c r="E1561" s="9">
        <v>0.23739583333372138</v>
      </c>
      <c r="F1561" s="10" t="s">
        <v>1799</v>
      </c>
      <c r="G1561" s="10" t="s">
        <v>21</v>
      </c>
      <c r="H1561" s="10" t="s">
        <v>154</v>
      </c>
      <c r="I1561" s="10" t="s">
        <v>23</v>
      </c>
      <c r="J1561" s="11">
        <v>1.77</v>
      </c>
      <c r="K1561" s="12"/>
      <c r="L1561" s="12"/>
      <c r="M1561" s="12"/>
      <c r="N1561" s="12"/>
      <c r="O1561" s="12"/>
      <c r="P1561" s="12"/>
      <c r="Q1561" s="12"/>
      <c r="R1561" s="12"/>
      <c r="S1561" s="12"/>
    </row>
    <row r="1562" spans="1:19" ht="14.25" customHeight="1" x14ac:dyDescent="0.2">
      <c r="A1562" s="1" t="s">
        <v>42</v>
      </c>
      <c r="B1562" s="7">
        <v>46095.209328703706</v>
      </c>
      <c r="C1562" s="7">
        <v>46095.239074074074</v>
      </c>
      <c r="D1562" s="8">
        <v>46095</v>
      </c>
      <c r="E1562" s="9">
        <v>0.23907407407386927</v>
      </c>
      <c r="F1562" s="10" t="s">
        <v>1800</v>
      </c>
      <c r="G1562" s="10" t="s">
        <v>44</v>
      </c>
      <c r="H1562" s="10" t="s">
        <v>50</v>
      </c>
      <c r="I1562" s="10" t="s">
        <v>23</v>
      </c>
      <c r="J1562" s="11">
        <v>0.18</v>
      </c>
      <c r="K1562" s="12"/>
      <c r="L1562" s="12"/>
      <c r="M1562" s="12"/>
      <c r="N1562" s="12"/>
      <c r="O1562" s="12"/>
      <c r="P1562" s="12"/>
      <c r="Q1562" s="12"/>
      <c r="R1562" s="12"/>
      <c r="S1562" s="12"/>
    </row>
    <row r="1563" spans="1:19" ht="14.25" customHeight="1" x14ac:dyDescent="0.2">
      <c r="A1563" s="1" t="s">
        <v>95</v>
      </c>
      <c r="B1563" s="7">
        <v>46095.232951388891</v>
      </c>
      <c r="C1563" s="7">
        <v>46095.247233796297</v>
      </c>
      <c r="D1563" s="8">
        <v>46095</v>
      </c>
      <c r="E1563" s="9">
        <v>0.24723379629722331</v>
      </c>
      <c r="F1563" s="10" t="s">
        <v>1801</v>
      </c>
      <c r="G1563" s="10" t="s">
        <v>21</v>
      </c>
      <c r="H1563" s="10" t="s">
        <v>551</v>
      </c>
      <c r="I1563" s="10" t="s">
        <v>23</v>
      </c>
      <c r="J1563" s="11">
        <v>1.06</v>
      </c>
      <c r="K1563" s="12"/>
      <c r="L1563" s="12"/>
      <c r="M1563" s="12"/>
      <c r="N1563" s="12"/>
      <c r="O1563" s="12"/>
      <c r="P1563" s="12"/>
      <c r="Q1563" s="12"/>
      <c r="R1563" s="12"/>
      <c r="S1563" s="12"/>
    </row>
    <row r="1564" spans="1:19" ht="14.25" customHeight="1" x14ac:dyDescent="0.2">
      <c r="A1564" s="1" t="s">
        <v>95</v>
      </c>
      <c r="B1564" s="7">
        <v>46095.230509259258</v>
      </c>
      <c r="C1564" s="7">
        <v>46095.251250000001</v>
      </c>
      <c r="D1564" s="8">
        <v>46095</v>
      </c>
      <c r="E1564" s="9">
        <v>0.25125000000116415</v>
      </c>
      <c r="F1564" s="10" t="s">
        <v>1802</v>
      </c>
      <c r="G1564" s="10" t="s">
        <v>21</v>
      </c>
      <c r="H1564" s="10" t="s">
        <v>52</v>
      </c>
      <c r="I1564" s="10" t="s">
        <v>23</v>
      </c>
      <c r="J1564" s="11">
        <v>0.98</v>
      </c>
      <c r="K1564" s="12"/>
      <c r="L1564" s="12"/>
      <c r="M1564" s="12"/>
      <c r="N1564" s="12"/>
      <c r="O1564" s="12"/>
      <c r="P1564" s="12"/>
      <c r="Q1564" s="12"/>
      <c r="R1564" s="12"/>
      <c r="S1564" s="12"/>
    </row>
    <row r="1565" spans="1:19" ht="14.25" customHeight="1" x14ac:dyDescent="0.2">
      <c r="A1565" s="1" t="s">
        <v>24</v>
      </c>
      <c r="B1565" s="7">
        <v>46095.837893518517</v>
      </c>
      <c r="C1565" s="7">
        <v>46095.882303240738</v>
      </c>
      <c r="D1565" s="8">
        <v>46095</v>
      </c>
      <c r="E1565" s="9">
        <v>0.88230324073811062</v>
      </c>
      <c r="F1565" s="10" t="s">
        <v>1803</v>
      </c>
      <c r="G1565" s="10" t="s">
        <v>21</v>
      </c>
      <c r="H1565" s="10" t="s">
        <v>22</v>
      </c>
      <c r="I1565" s="10" t="s">
        <v>23</v>
      </c>
      <c r="J1565" s="11">
        <v>0.83</v>
      </c>
      <c r="K1565" s="12">
        <f>SUM(J1565:J1660)</f>
        <v>111.30999999999995</v>
      </c>
      <c r="L1565" s="12">
        <f>SUM(J1565:J1577)</f>
        <v>11.18</v>
      </c>
      <c r="M1565" s="13">
        <f>L1565*65</f>
        <v>726.69999999999993</v>
      </c>
      <c r="N1565" s="14">
        <f>MAX(500,M1565)</f>
        <v>726.69999999999993</v>
      </c>
      <c r="O1565" s="12"/>
      <c r="P1565" s="12"/>
      <c r="Q1565" s="12"/>
      <c r="R1565" s="12"/>
      <c r="S1565" s="12"/>
    </row>
    <row r="1566" spans="1:19" ht="14.25" customHeight="1" x14ac:dyDescent="0.2">
      <c r="A1566" s="1" t="s">
        <v>33</v>
      </c>
      <c r="B1566" s="7">
        <v>46095.871793981481</v>
      </c>
      <c r="C1566" s="7">
        <v>46095.882893518516</v>
      </c>
      <c r="D1566" s="8">
        <v>46095</v>
      </c>
      <c r="E1566" s="9">
        <v>0.88289351851562969</v>
      </c>
      <c r="F1566" s="10" t="s">
        <v>1804</v>
      </c>
      <c r="G1566" s="10" t="s">
        <v>21</v>
      </c>
      <c r="H1566" s="10" t="s">
        <v>22</v>
      </c>
      <c r="I1566" s="10" t="s">
        <v>23</v>
      </c>
      <c r="J1566" s="11">
        <v>0.83</v>
      </c>
      <c r="K1566" s="12"/>
      <c r="L1566" s="12"/>
      <c r="M1566" s="12"/>
      <c r="N1566" s="12"/>
      <c r="O1566" s="12"/>
      <c r="P1566" s="12"/>
      <c r="Q1566" s="12"/>
      <c r="R1566" s="12"/>
      <c r="S1566" s="12"/>
    </row>
    <row r="1567" spans="1:19" ht="14.25" customHeight="1" x14ac:dyDescent="0.2">
      <c r="A1567" s="1" t="s">
        <v>24</v>
      </c>
      <c r="B1567" s="7">
        <v>46095.837893518517</v>
      </c>
      <c r="C1567" s="7">
        <v>46095.883773148147</v>
      </c>
      <c r="D1567" s="8">
        <v>46095</v>
      </c>
      <c r="E1567" s="9">
        <v>0.88377314814715646</v>
      </c>
      <c r="F1567" s="10" t="s">
        <v>1805</v>
      </c>
      <c r="G1567" s="10" t="s">
        <v>21</v>
      </c>
      <c r="H1567" s="10" t="s">
        <v>52</v>
      </c>
      <c r="I1567" s="10" t="s">
        <v>23</v>
      </c>
      <c r="J1567" s="11">
        <v>0.98</v>
      </c>
      <c r="K1567" s="12"/>
      <c r="L1567" s="12"/>
      <c r="M1567" s="12"/>
      <c r="N1567" s="12"/>
      <c r="O1567" s="12"/>
      <c r="P1567" s="12"/>
      <c r="Q1567" s="12"/>
      <c r="R1567" s="12"/>
      <c r="S1567" s="12"/>
    </row>
    <row r="1568" spans="1:19" ht="14.25" customHeight="1" x14ac:dyDescent="0.2">
      <c r="A1568" s="1" t="s">
        <v>24</v>
      </c>
      <c r="B1568" s="7">
        <v>46095.701597222222</v>
      </c>
      <c r="C1568" s="7">
        <v>46095.889513888891</v>
      </c>
      <c r="D1568" s="8">
        <v>46095</v>
      </c>
      <c r="E1568" s="9">
        <v>0.88951388889108784</v>
      </c>
      <c r="F1568" s="10" t="s">
        <v>1806</v>
      </c>
      <c r="G1568" s="10" t="s">
        <v>364</v>
      </c>
      <c r="H1568" s="10" t="s">
        <v>365</v>
      </c>
      <c r="I1568" s="10" t="s">
        <v>23</v>
      </c>
      <c r="J1568" s="11">
        <v>0.72</v>
      </c>
      <c r="K1568" s="12"/>
      <c r="L1568" s="12"/>
      <c r="M1568" s="12"/>
      <c r="N1568" s="12"/>
      <c r="O1568" s="12"/>
      <c r="P1568" s="12"/>
      <c r="Q1568" s="12"/>
      <c r="R1568" s="12"/>
      <c r="S1568" s="12"/>
    </row>
    <row r="1569" spans="1:19" ht="14.25" customHeight="1" x14ac:dyDescent="0.2">
      <c r="A1569" s="1" t="s">
        <v>33</v>
      </c>
      <c r="B1569" s="7">
        <v>46095.879212962966</v>
      </c>
      <c r="C1569" s="7">
        <v>46095.889722222222</v>
      </c>
      <c r="D1569" s="8">
        <v>46095</v>
      </c>
      <c r="E1569" s="9">
        <v>0.88972222222218988</v>
      </c>
      <c r="F1569" s="10" t="s">
        <v>1807</v>
      </c>
      <c r="G1569" s="10" t="s">
        <v>21</v>
      </c>
      <c r="H1569" s="10" t="s">
        <v>22</v>
      </c>
      <c r="I1569" s="10" t="s">
        <v>23</v>
      </c>
      <c r="J1569" s="11">
        <v>0.83</v>
      </c>
      <c r="K1569" s="12"/>
      <c r="L1569" s="12"/>
      <c r="M1569" s="12"/>
      <c r="N1569" s="12"/>
      <c r="O1569" s="12"/>
      <c r="P1569" s="12"/>
      <c r="Q1569" s="12"/>
      <c r="R1569" s="12"/>
      <c r="S1569" s="12"/>
    </row>
    <row r="1570" spans="1:19" ht="14.25" customHeight="1" x14ac:dyDescent="0.2">
      <c r="A1570" s="1" t="s">
        <v>28</v>
      </c>
      <c r="B1570" s="7">
        <v>46095.879432870373</v>
      </c>
      <c r="C1570" s="7">
        <v>46095.889907407407</v>
      </c>
      <c r="D1570" s="8">
        <v>46095</v>
      </c>
      <c r="E1570" s="9">
        <v>0.88990740740700858</v>
      </c>
      <c r="F1570" s="10" t="s">
        <v>1808</v>
      </c>
      <c r="G1570" s="10" t="s">
        <v>21</v>
      </c>
      <c r="H1570" s="10" t="s">
        <v>22</v>
      </c>
      <c r="I1570" s="10" t="s">
        <v>23</v>
      </c>
      <c r="J1570" s="11">
        <v>0.83</v>
      </c>
      <c r="K1570" s="12"/>
      <c r="L1570" s="12"/>
      <c r="M1570" s="12"/>
      <c r="N1570" s="12"/>
      <c r="O1570" s="12"/>
      <c r="P1570" s="12"/>
      <c r="Q1570" s="12"/>
      <c r="R1570" s="12"/>
      <c r="S1570" s="12"/>
    </row>
    <row r="1571" spans="1:19" ht="14.25" customHeight="1" x14ac:dyDescent="0.2">
      <c r="A1571" s="1" t="s">
        <v>42</v>
      </c>
      <c r="B1571" s="7">
        <v>46095.837557870371</v>
      </c>
      <c r="C1571" s="7">
        <v>46095.890625</v>
      </c>
      <c r="D1571" s="8">
        <v>46095</v>
      </c>
      <c r="E1571" s="9">
        <v>0.890625</v>
      </c>
      <c r="F1571" s="10" t="s">
        <v>1809</v>
      </c>
      <c r="G1571" s="10" t="s">
        <v>26</v>
      </c>
      <c r="H1571" s="10" t="s">
        <v>125</v>
      </c>
      <c r="I1571" s="10" t="s">
        <v>23</v>
      </c>
      <c r="J1571" s="11">
        <v>0.63</v>
      </c>
      <c r="K1571" s="12"/>
      <c r="L1571" s="12"/>
      <c r="M1571" s="12"/>
      <c r="N1571" s="12"/>
      <c r="O1571" s="12"/>
      <c r="P1571" s="12"/>
      <c r="Q1571" s="12"/>
      <c r="R1571" s="12"/>
      <c r="S1571" s="12"/>
    </row>
    <row r="1572" spans="1:19" ht="14.25" customHeight="1" x14ac:dyDescent="0.2">
      <c r="A1572" s="1" t="s">
        <v>63</v>
      </c>
      <c r="B1572" s="7">
        <v>46095.886377314811</v>
      </c>
      <c r="C1572" s="7">
        <v>46095.89943287037</v>
      </c>
      <c r="D1572" s="8">
        <v>46095</v>
      </c>
      <c r="E1572" s="9">
        <v>0.89943287037021946</v>
      </c>
      <c r="F1572" s="10" t="s">
        <v>1810</v>
      </c>
      <c r="G1572" s="10" t="s">
        <v>21</v>
      </c>
      <c r="H1572" s="10" t="s">
        <v>110</v>
      </c>
      <c r="I1572" s="10" t="s">
        <v>23</v>
      </c>
      <c r="J1572" s="11">
        <v>0.83</v>
      </c>
      <c r="K1572" s="12"/>
      <c r="L1572" s="12"/>
      <c r="M1572" s="12"/>
      <c r="N1572" s="12"/>
      <c r="O1572" s="12"/>
      <c r="P1572" s="12"/>
      <c r="Q1572" s="12"/>
      <c r="R1572" s="12"/>
      <c r="S1572" s="12"/>
    </row>
    <row r="1573" spans="1:19" ht="14.25" customHeight="1" x14ac:dyDescent="0.2">
      <c r="A1573" s="1" t="s">
        <v>33</v>
      </c>
      <c r="B1573" s="7">
        <v>46095.86378472222</v>
      </c>
      <c r="C1573" s="7">
        <v>46095.899976851855</v>
      </c>
      <c r="D1573" s="8">
        <v>46095</v>
      </c>
      <c r="E1573" s="9">
        <v>0.89997685185517184</v>
      </c>
      <c r="F1573" s="10" t="s">
        <v>1811</v>
      </c>
      <c r="G1573" s="10" t="s">
        <v>26</v>
      </c>
      <c r="H1573" s="10" t="s">
        <v>315</v>
      </c>
      <c r="I1573" s="10" t="s">
        <v>23</v>
      </c>
      <c r="J1573" s="11">
        <v>0.88</v>
      </c>
      <c r="K1573" s="12"/>
      <c r="L1573" s="12"/>
      <c r="M1573" s="12"/>
      <c r="N1573" s="12"/>
      <c r="O1573" s="12"/>
      <c r="P1573" s="12"/>
      <c r="Q1573" s="12"/>
      <c r="R1573" s="12"/>
      <c r="S1573" s="12"/>
    </row>
    <row r="1574" spans="1:19" ht="14.25" customHeight="1" x14ac:dyDescent="0.2">
      <c r="A1574" s="1" t="s">
        <v>24</v>
      </c>
      <c r="B1574" s="7">
        <v>46095.886111111111</v>
      </c>
      <c r="C1574" s="7">
        <v>46095.900671296295</v>
      </c>
      <c r="D1574" s="8">
        <v>46095</v>
      </c>
      <c r="E1574" s="9">
        <v>0.90067129629460396</v>
      </c>
      <c r="F1574" s="10" t="s">
        <v>1812</v>
      </c>
      <c r="G1574" s="10" t="s">
        <v>21</v>
      </c>
      <c r="H1574" s="10" t="s">
        <v>1813</v>
      </c>
      <c r="I1574" s="10" t="s">
        <v>23</v>
      </c>
      <c r="J1574" s="11">
        <v>1.1299999999999999</v>
      </c>
      <c r="K1574" s="12"/>
      <c r="L1574" s="12"/>
      <c r="M1574" s="12"/>
      <c r="N1574" s="12"/>
      <c r="O1574" s="12"/>
      <c r="P1574" s="12"/>
      <c r="Q1574" s="12"/>
      <c r="R1574" s="12"/>
      <c r="S1574" s="12"/>
    </row>
    <row r="1575" spans="1:19" ht="14.25" customHeight="1" x14ac:dyDescent="0.2">
      <c r="A1575" s="1" t="s">
        <v>33</v>
      </c>
      <c r="B1575" s="7">
        <v>46095.89135416667</v>
      </c>
      <c r="C1575" s="7">
        <v>46095.906944444447</v>
      </c>
      <c r="D1575" s="8">
        <v>46095</v>
      </c>
      <c r="E1575" s="9">
        <v>0.90694444444670808</v>
      </c>
      <c r="F1575" s="10" t="s">
        <v>1814</v>
      </c>
      <c r="G1575" s="10" t="s">
        <v>21</v>
      </c>
      <c r="H1575" s="10" t="s">
        <v>22</v>
      </c>
      <c r="I1575" s="10" t="s">
        <v>23</v>
      </c>
      <c r="J1575" s="11">
        <v>0.83</v>
      </c>
      <c r="K1575" s="12"/>
      <c r="L1575" s="12"/>
      <c r="M1575" s="12"/>
      <c r="N1575" s="12"/>
      <c r="O1575" s="12"/>
      <c r="P1575" s="12"/>
      <c r="Q1575" s="12"/>
      <c r="R1575" s="12"/>
      <c r="S1575" s="12"/>
    </row>
    <row r="1576" spans="1:19" ht="14.25" customHeight="1" x14ac:dyDescent="0.2">
      <c r="A1576" s="1" t="s">
        <v>230</v>
      </c>
      <c r="B1576" s="7">
        <v>46095.899155092593</v>
      </c>
      <c r="C1576" s="7">
        <v>46095.908599537041</v>
      </c>
      <c r="D1576" s="8">
        <v>46095</v>
      </c>
      <c r="E1576" s="9">
        <v>0.90859953704057261</v>
      </c>
      <c r="F1576" s="10" t="s">
        <v>1815</v>
      </c>
      <c r="G1576" s="10" t="s">
        <v>21</v>
      </c>
      <c r="H1576" s="10" t="s">
        <v>1816</v>
      </c>
      <c r="I1576" s="10" t="s">
        <v>23</v>
      </c>
      <c r="J1576" s="11">
        <v>0.98</v>
      </c>
      <c r="K1576" s="12"/>
      <c r="L1576" s="12"/>
      <c r="M1576" s="12"/>
      <c r="N1576" s="12"/>
      <c r="O1576" s="12"/>
      <c r="P1576" s="12"/>
      <c r="Q1576" s="12"/>
      <c r="R1576" s="12"/>
      <c r="S1576" s="12"/>
    </row>
    <row r="1577" spans="1:19" ht="14.25" customHeight="1" x14ac:dyDescent="0.2">
      <c r="A1577" s="1" t="s">
        <v>24</v>
      </c>
      <c r="B1577" s="7">
        <v>46095.87841435185</v>
      </c>
      <c r="C1577" s="7">
        <v>46095.913148148145</v>
      </c>
      <c r="D1577" s="8">
        <v>46095</v>
      </c>
      <c r="E1577" s="9">
        <v>0.91314814814541023</v>
      </c>
      <c r="F1577" s="10" t="s">
        <v>1817</v>
      </c>
      <c r="G1577" s="10" t="s">
        <v>26</v>
      </c>
      <c r="H1577" s="10" t="s">
        <v>37</v>
      </c>
      <c r="I1577" s="10" t="s">
        <v>23</v>
      </c>
      <c r="J1577" s="11">
        <v>0.88</v>
      </c>
      <c r="K1577" s="12"/>
      <c r="L1577" s="12"/>
      <c r="M1577" s="12"/>
      <c r="N1577" s="12"/>
      <c r="O1577" s="12"/>
      <c r="P1577" s="12"/>
      <c r="Q1577" s="12"/>
      <c r="R1577" s="12"/>
      <c r="S1577" s="12"/>
    </row>
    <row r="1578" spans="1:19" ht="14.25" customHeight="1" x14ac:dyDescent="0.2">
      <c r="A1578" s="1" t="s">
        <v>24</v>
      </c>
      <c r="B1578" s="7">
        <v>46095.893182870372</v>
      </c>
      <c r="C1578" s="7">
        <v>46095.919317129628</v>
      </c>
      <c r="D1578" s="8">
        <v>46095</v>
      </c>
      <c r="E1578" s="9">
        <v>0.91931712962832535</v>
      </c>
      <c r="F1578" s="10" t="s">
        <v>1818</v>
      </c>
      <c r="G1578" s="10" t="s">
        <v>21</v>
      </c>
      <c r="H1578" s="10" t="s">
        <v>281</v>
      </c>
      <c r="I1578" s="10" t="s">
        <v>23</v>
      </c>
      <c r="J1578" s="11">
        <v>2.5</v>
      </c>
      <c r="K1578" s="12"/>
      <c r="L1578" s="12">
        <f>SUM(J1578:J1599)</f>
        <v>28.359999999999992</v>
      </c>
      <c r="M1578" s="13">
        <f>L1578*65</f>
        <v>1843.3999999999994</v>
      </c>
      <c r="N1578" s="14">
        <f>MAX(500,M1578)</f>
        <v>1843.3999999999994</v>
      </c>
      <c r="O1578" s="12"/>
      <c r="P1578" s="12"/>
      <c r="Q1578" s="12"/>
      <c r="R1578" s="12"/>
      <c r="S1578" s="12"/>
    </row>
    <row r="1579" spans="1:19" ht="14.25" customHeight="1" x14ac:dyDescent="0.2">
      <c r="A1579" s="1" t="s">
        <v>24</v>
      </c>
      <c r="B1579" s="7">
        <v>46095.864606481482</v>
      </c>
      <c r="C1579" s="7">
        <v>46095.919618055559</v>
      </c>
      <c r="D1579" s="8">
        <v>46095</v>
      </c>
      <c r="E1579" s="9">
        <v>0.91961805555911269</v>
      </c>
      <c r="F1579" s="10" t="s">
        <v>1819</v>
      </c>
      <c r="G1579" s="10" t="s">
        <v>26</v>
      </c>
      <c r="H1579" s="10" t="s">
        <v>1347</v>
      </c>
      <c r="I1579" s="10" t="s">
        <v>23</v>
      </c>
      <c r="J1579" s="11">
        <v>0.44</v>
      </c>
      <c r="K1579" s="12"/>
      <c r="L1579" s="12"/>
      <c r="M1579" s="12"/>
      <c r="N1579" s="12"/>
      <c r="O1579" s="12"/>
      <c r="P1579" s="12"/>
      <c r="Q1579" s="12"/>
      <c r="R1579" s="12"/>
      <c r="S1579" s="12"/>
    </row>
    <row r="1580" spans="1:19" ht="14.25" customHeight="1" x14ac:dyDescent="0.2">
      <c r="A1580" s="1" t="s">
        <v>19</v>
      </c>
      <c r="B1580" s="7">
        <v>46095.91375</v>
      </c>
      <c r="C1580" s="7">
        <v>46095.922395833331</v>
      </c>
      <c r="D1580" s="8">
        <v>46095</v>
      </c>
      <c r="E1580" s="9">
        <v>0.92239583333139308</v>
      </c>
      <c r="F1580" s="10" t="s">
        <v>1820</v>
      </c>
      <c r="G1580" s="10" t="s">
        <v>21</v>
      </c>
      <c r="H1580" s="10" t="s">
        <v>54</v>
      </c>
      <c r="I1580" s="10" t="s">
        <v>23</v>
      </c>
      <c r="J1580" s="11">
        <v>0.83</v>
      </c>
      <c r="K1580" s="12"/>
      <c r="L1580" s="12"/>
      <c r="M1580" s="12"/>
      <c r="N1580" s="12"/>
      <c r="O1580" s="12"/>
      <c r="P1580" s="12"/>
      <c r="Q1580" s="12"/>
      <c r="R1580" s="12"/>
      <c r="S1580" s="12"/>
    </row>
    <row r="1581" spans="1:19" ht="14.25" customHeight="1" x14ac:dyDescent="0.2">
      <c r="A1581" s="1" t="s">
        <v>28</v>
      </c>
      <c r="B1581" s="7">
        <v>46095.911608796298</v>
      </c>
      <c r="C1581" s="7">
        <v>46095.922581018516</v>
      </c>
      <c r="D1581" s="8">
        <v>46095</v>
      </c>
      <c r="E1581" s="9">
        <v>0.92258101851621177</v>
      </c>
      <c r="F1581" s="10" t="s">
        <v>1821</v>
      </c>
      <c r="G1581" s="10" t="s">
        <v>21</v>
      </c>
      <c r="H1581" s="10" t="s">
        <v>22</v>
      </c>
      <c r="I1581" s="10" t="s">
        <v>23</v>
      </c>
      <c r="J1581" s="11">
        <v>0.83</v>
      </c>
      <c r="K1581" s="12"/>
      <c r="L1581" s="12"/>
      <c r="M1581" s="12"/>
      <c r="N1581" s="12"/>
      <c r="O1581" s="12"/>
      <c r="P1581" s="12"/>
      <c r="Q1581" s="12"/>
      <c r="R1581" s="12"/>
      <c r="S1581" s="12"/>
    </row>
    <row r="1582" spans="1:19" ht="14.25" customHeight="1" x14ac:dyDescent="0.2">
      <c r="A1582" s="1" t="s">
        <v>24</v>
      </c>
      <c r="B1582" s="7">
        <v>46095.905509259261</v>
      </c>
      <c r="C1582" s="7">
        <v>46095.92291666667</v>
      </c>
      <c r="D1582" s="8">
        <v>46095</v>
      </c>
      <c r="E1582" s="9">
        <v>0.92291666667006211</v>
      </c>
      <c r="F1582" s="10" t="s">
        <v>1822</v>
      </c>
      <c r="G1582" s="10" t="s">
        <v>21</v>
      </c>
      <c r="H1582" s="10" t="s">
        <v>41</v>
      </c>
      <c r="I1582" s="10" t="s">
        <v>23</v>
      </c>
      <c r="J1582" s="11">
        <v>1.77</v>
      </c>
      <c r="K1582" s="12"/>
      <c r="L1582" s="12"/>
      <c r="M1582" s="12"/>
      <c r="N1582" s="12"/>
      <c r="O1582" s="12"/>
      <c r="P1582" s="12"/>
      <c r="Q1582" s="12"/>
      <c r="R1582" s="12"/>
      <c r="S1582" s="12"/>
    </row>
    <row r="1583" spans="1:19" ht="14.25" customHeight="1" x14ac:dyDescent="0.2">
      <c r="A1583" s="1" t="s">
        <v>42</v>
      </c>
      <c r="B1583" s="7">
        <v>46095.898090277777</v>
      </c>
      <c r="C1583" s="7">
        <v>46095.928599537037</v>
      </c>
      <c r="D1583" s="8">
        <v>46095</v>
      </c>
      <c r="E1583" s="9">
        <v>0.92859953703737119</v>
      </c>
      <c r="F1583" s="10" t="s">
        <v>1823</v>
      </c>
      <c r="G1583" s="10" t="s">
        <v>26</v>
      </c>
      <c r="H1583" s="10" t="s">
        <v>56</v>
      </c>
      <c r="I1583" s="10" t="s">
        <v>23</v>
      </c>
      <c r="J1583" s="11">
        <v>0.73</v>
      </c>
      <c r="K1583" s="12"/>
      <c r="L1583" s="12"/>
      <c r="M1583" s="12"/>
      <c r="N1583" s="12"/>
      <c r="O1583" s="12"/>
      <c r="P1583" s="12"/>
      <c r="Q1583" s="12"/>
      <c r="R1583" s="12"/>
      <c r="S1583" s="12"/>
    </row>
    <row r="1584" spans="1:19" ht="14.25" customHeight="1" x14ac:dyDescent="0.2">
      <c r="A1584" s="1" t="s">
        <v>24</v>
      </c>
      <c r="B1584" s="7">
        <v>46095.914178240739</v>
      </c>
      <c r="C1584" s="7">
        <v>46095.933333333334</v>
      </c>
      <c r="D1584" s="8">
        <v>46095</v>
      </c>
      <c r="E1584" s="9">
        <v>0.93333333333430346</v>
      </c>
      <c r="F1584" s="10" t="s">
        <v>1824</v>
      </c>
      <c r="G1584" s="10" t="s">
        <v>21</v>
      </c>
      <c r="H1584" s="10" t="s">
        <v>620</v>
      </c>
      <c r="I1584" s="10" t="s">
        <v>23</v>
      </c>
      <c r="J1584" s="11">
        <v>1.06</v>
      </c>
      <c r="K1584" s="12"/>
      <c r="L1584" s="12"/>
      <c r="M1584" s="12"/>
      <c r="N1584" s="12"/>
      <c r="O1584" s="12"/>
      <c r="P1584" s="12"/>
      <c r="Q1584" s="12"/>
      <c r="R1584" s="12"/>
      <c r="S1584" s="12"/>
    </row>
    <row r="1585" spans="1:19" ht="14.25" customHeight="1" x14ac:dyDescent="0.2">
      <c r="A1585" s="1" t="s">
        <v>28</v>
      </c>
      <c r="B1585" s="7">
        <v>46095.896874999999</v>
      </c>
      <c r="C1585" s="7">
        <v>46095.933854166666</v>
      </c>
      <c r="D1585" s="8">
        <v>46095</v>
      </c>
      <c r="E1585" s="9">
        <v>0.93385416666569654</v>
      </c>
      <c r="F1585" s="10" t="s">
        <v>1825</v>
      </c>
      <c r="G1585" s="10" t="s">
        <v>21</v>
      </c>
      <c r="H1585" s="10" t="s">
        <v>281</v>
      </c>
      <c r="I1585" s="10" t="s">
        <v>23</v>
      </c>
      <c r="J1585" s="11">
        <v>2.5</v>
      </c>
      <c r="K1585" s="12"/>
      <c r="L1585" s="12"/>
      <c r="M1585" s="12"/>
      <c r="N1585" s="12"/>
      <c r="O1585" s="12"/>
      <c r="P1585" s="12"/>
      <c r="Q1585" s="12"/>
      <c r="R1585" s="12"/>
      <c r="S1585" s="12"/>
    </row>
    <row r="1586" spans="1:19" ht="14.25" customHeight="1" x14ac:dyDescent="0.2">
      <c r="A1586" s="1" t="s">
        <v>24</v>
      </c>
      <c r="B1586" s="7">
        <v>46095.919664351852</v>
      </c>
      <c r="C1586" s="7">
        <v>46095.93787037037</v>
      </c>
      <c r="D1586" s="8">
        <v>46095</v>
      </c>
      <c r="E1586" s="9">
        <v>0.93787037036963739</v>
      </c>
      <c r="F1586" s="10" t="s">
        <v>1826</v>
      </c>
      <c r="G1586" s="10" t="s">
        <v>21</v>
      </c>
      <c r="H1586" s="10" t="s">
        <v>52</v>
      </c>
      <c r="I1586" s="10" t="s">
        <v>23</v>
      </c>
      <c r="J1586" s="11">
        <v>0.98</v>
      </c>
      <c r="K1586" s="12"/>
      <c r="L1586" s="12"/>
      <c r="M1586" s="12"/>
      <c r="N1586" s="12"/>
      <c r="O1586" s="12"/>
      <c r="P1586" s="12"/>
      <c r="Q1586" s="12"/>
      <c r="R1586" s="12"/>
      <c r="S1586" s="12"/>
    </row>
    <row r="1587" spans="1:19" ht="14.25" customHeight="1" x14ac:dyDescent="0.2">
      <c r="A1587" s="1" t="s">
        <v>24</v>
      </c>
      <c r="B1587" s="7">
        <v>46095.925405092596</v>
      </c>
      <c r="C1587" s="7">
        <v>46095.938379629632</v>
      </c>
      <c r="D1587" s="8">
        <v>46095</v>
      </c>
      <c r="E1587" s="9">
        <v>0.93837962963152677</v>
      </c>
      <c r="F1587" s="10" t="s">
        <v>1827</v>
      </c>
      <c r="G1587" s="10" t="s">
        <v>21</v>
      </c>
      <c r="H1587" s="10" t="s">
        <v>22</v>
      </c>
      <c r="I1587" s="10" t="s">
        <v>23</v>
      </c>
      <c r="J1587" s="11">
        <v>0.83</v>
      </c>
      <c r="K1587" s="12"/>
      <c r="L1587" s="12"/>
      <c r="M1587" s="12"/>
      <c r="N1587" s="12"/>
      <c r="O1587" s="12"/>
      <c r="P1587" s="12"/>
      <c r="Q1587" s="12"/>
      <c r="R1587" s="12"/>
      <c r="S1587" s="12"/>
    </row>
    <row r="1588" spans="1:19" ht="14.25" customHeight="1" x14ac:dyDescent="0.2">
      <c r="A1588" s="1" t="s">
        <v>28</v>
      </c>
      <c r="B1588" s="7">
        <v>46095.925497685188</v>
      </c>
      <c r="C1588" s="7">
        <v>46095.938761574071</v>
      </c>
      <c r="D1588" s="8">
        <v>46095</v>
      </c>
      <c r="E1588" s="9">
        <v>0.93876157407066785</v>
      </c>
      <c r="F1588" s="10" t="s">
        <v>1828</v>
      </c>
      <c r="G1588" s="10" t="s">
        <v>21</v>
      </c>
      <c r="H1588" s="10" t="s">
        <v>101</v>
      </c>
      <c r="I1588" s="10" t="s">
        <v>23</v>
      </c>
      <c r="J1588" s="11">
        <v>1.7</v>
      </c>
      <c r="K1588" s="12"/>
      <c r="L1588" s="12"/>
      <c r="M1588" s="12"/>
      <c r="N1588" s="12"/>
      <c r="O1588" s="12"/>
      <c r="P1588" s="12"/>
      <c r="Q1588" s="12"/>
      <c r="R1588" s="12"/>
      <c r="S1588" s="12"/>
    </row>
    <row r="1589" spans="1:19" ht="14.25" customHeight="1" x14ac:dyDescent="0.2">
      <c r="A1589" s="1" t="s">
        <v>33</v>
      </c>
      <c r="B1589" s="7">
        <v>46095.929502314815</v>
      </c>
      <c r="C1589" s="7">
        <v>46095.945231481484</v>
      </c>
      <c r="D1589" s="8">
        <v>46095</v>
      </c>
      <c r="E1589" s="9">
        <v>0.94523148148437031</v>
      </c>
      <c r="F1589" s="10" t="s">
        <v>1829</v>
      </c>
      <c r="G1589" s="10" t="s">
        <v>21</v>
      </c>
      <c r="H1589" s="10" t="s">
        <v>101</v>
      </c>
      <c r="I1589" s="10" t="s">
        <v>23</v>
      </c>
      <c r="J1589" s="11">
        <v>1.7</v>
      </c>
      <c r="K1589" s="12"/>
      <c r="L1589" s="12"/>
      <c r="M1589" s="12"/>
      <c r="N1589" s="12"/>
      <c r="O1589" s="12"/>
      <c r="P1589" s="12"/>
      <c r="Q1589" s="12"/>
      <c r="R1589" s="12"/>
      <c r="S1589" s="12"/>
    </row>
    <row r="1590" spans="1:19" ht="14.25" customHeight="1" x14ac:dyDescent="0.2">
      <c r="A1590" s="1" t="s">
        <v>24</v>
      </c>
      <c r="B1590" s="7">
        <v>46095.918738425928</v>
      </c>
      <c r="C1590" s="7">
        <v>46095.945659722223</v>
      </c>
      <c r="D1590" s="8">
        <v>46095</v>
      </c>
      <c r="E1590" s="9">
        <v>0.94565972222335404</v>
      </c>
      <c r="F1590" s="10" t="s">
        <v>1830</v>
      </c>
      <c r="G1590" s="10" t="s">
        <v>26</v>
      </c>
      <c r="H1590" s="10" t="s">
        <v>162</v>
      </c>
      <c r="I1590" s="10" t="s">
        <v>23</v>
      </c>
      <c r="J1590" s="11">
        <v>0.49</v>
      </c>
      <c r="K1590" s="12"/>
      <c r="L1590" s="12"/>
      <c r="M1590" s="12"/>
      <c r="N1590" s="12"/>
      <c r="O1590" s="12"/>
      <c r="P1590" s="12"/>
      <c r="Q1590" s="12"/>
      <c r="R1590" s="12"/>
      <c r="S1590" s="12"/>
    </row>
    <row r="1591" spans="1:19" ht="14.25" customHeight="1" x14ac:dyDescent="0.2">
      <c r="A1591" s="1" t="s">
        <v>24</v>
      </c>
      <c r="B1591" s="7">
        <v>46095.932743055557</v>
      </c>
      <c r="C1591" s="7">
        <v>46095.946747685186</v>
      </c>
      <c r="D1591" s="8">
        <v>46095</v>
      </c>
      <c r="E1591" s="9">
        <v>0.94674768518598285</v>
      </c>
      <c r="F1591" s="10" t="s">
        <v>1831</v>
      </c>
      <c r="G1591" s="10" t="s">
        <v>21</v>
      </c>
      <c r="H1591" s="10" t="s">
        <v>41</v>
      </c>
      <c r="I1591" s="10" t="s">
        <v>23</v>
      </c>
      <c r="J1591" s="11">
        <v>1.77</v>
      </c>
      <c r="K1591" s="12"/>
      <c r="L1591" s="12"/>
      <c r="M1591" s="12"/>
      <c r="N1591" s="12"/>
      <c r="O1591" s="12"/>
      <c r="P1591" s="12"/>
      <c r="Q1591" s="12"/>
      <c r="R1591" s="12"/>
      <c r="S1591" s="12"/>
    </row>
    <row r="1592" spans="1:19" ht="14.25" customHeight="1" x14ac:dyDescent="0.2">
      <c r="A1592" s="1" t="s">
        <v>57</v>
      </c>
      <c r="B1592" s="7">
        <v>46095.924710648149</v>
      </c>
      <c r="C1592" s="7">
        <v>46095.94703703704</v>
      </c>
      <c r="D1592" s="8">
        <v>46095</v>
      </c>
      <c r="E1592" s="9">
        <v>0.94703703703999054</v>
      </c>
      <c r="F1592" s="10" t="s">
        <v>1832</v>
      </c>
      <c r="G1592" s="10" t="s">
        <v>21</v>
      </c>
      <c r="H1592" s="10" t="s">
        <v>303</v>
      </c>
      <c r="I1592" s="10" t="s">
        <v>23</v>
      </c>
      <c r="J1592" s="11">
        <v>1.77</v>
      </c>
      <c r="K1592" s="12"/>
      <c r="L1592" s="12"/>
      <c r="M1592" s="12"/>
      <c r="N1592" s="12"/>
      <c r="O1592" s="12"/>
      <c r="P1592" s="12"/>
      <c r="Q1592" s="12"/>
      <c r="R1592" s="12"/>
      <c r="S1592" s="12"/>
    </row>
    <row r="1593" spans="1:19" ht="14.25" customHeight="1" x14ac:dyDescent="0.2">
      <c r="A1593" s="1" t="s">
        <v>148</v>
      </c>
      <c r="B1593" s="7">
        <v>46095.933009259257</v>
      </c>
      <c r="C1593" s="7">
        <v>46095.947766203702</v>
      </c>
      <c r="D1593" s="8">
        <v>46095</v>
      </c>
      <c r="E1593" s="9">
        <v>0.94776620370248565</v>
      </c>
      <c r="F1593" s="10" t="s">
        <v>1833</v>
      </c>
      <c r="G1593" s="10" t="s">
        <v>21</v>
      </c>
      <c r="H1593" s="10" t="s">
        <v>1834</v>
      </c>
      <c r="I1593" s="10" t="s">
        <v>23</v>
      </c>
      <c r="J1593" s="11">
        <v>1.7</v>
      </c>
      <c r="K1593" s="12"/>
      <c r="L1593" s="12"/>
      <c r="M1593" s="12"/>
      <c r="N1593" s="12"/>
      <c r="O1593" s="12"/>
      <c r="P1593" s="12"/>
      <c r="Q1593" s="12"/>
      <c r="R1593" s="12"/>
      <c r="S1593" s="12"/>
    </row>
    <row r="1594" spans="1:19" ht="14.25" customHeight="1" x14ac:dyDescent="0.2">
      <c r="A1594" s="1" t="s">
        <v>28</v>
      </c>
      <c r="B1594" s="7">
        <v>46095.93787037037</v>
      </c>
      <c r="C1594" s="7">
        <v>46095.948692129627</v>
      </c>
      <c r="D1594" s="8">
        <v>46095</v>
      </c>
      <c r="E1594" s="9">
        <v>0.94869212962657912</v>
      </c>
      <c r="F1594" s="10" t="s">
        <v>1835</v>
      </c>
      <c r="G1594" s="10" t="s">
        <v>21</v>
      </c>
      <c r="H1594" s="10" t="s">
        <v>41</v>
      </c>
      <c r="I1594" s="10" t="s">
        <v>23</v>
      </c>
      <c r="J1594" s="11">
        <v>1.77</v>
      </c>
      <c r="K1594" s="12"/>
      <c r="L1594" s="12"/>
      <c r="M1594" s="12"/>
      <c r="N1594" s="12"/>
      <c r="O1594" s="12"/>
      <c r="P1594" s="12"/>
      <c r="Q1594" s="12"/>
      <c r="R1594" s="12"/>
      <c r="S1594" s="12"/>
    </row>
    <row r="1595" spans="1:19" ht="14.25" customHeight="1" x14ac:dyDescent="0.2">
      <c r="A1595" s="1" t="s">
        <v>19</v>
      </c>
      <c r="B1595" s="7">
        <v>46095.927627314813</v>
      </c>
      <c r="C1595" s="7">
        <v>46095.949108796296</v>
      </c>
      <c r="D1595" s="8">
        <v>46095</v>
      </c>
      <c r="E1595" s="9">
        <v>0.94910879629605915</v>
      </c>
      <c r="F1595" s="10" t="s">
        <v>1836</v>
      </c>
      <c r="G1595" s="10" t="s">
        <v>26</v>
      </c>
      <c r="H1595" s="10" t="s">
        <v>205</v>
      </c>
      <c r="I1595" s="10" t="s">
        <v>23</v>
      </c>
      <c r="J1595" s="11">
        <v>0.57999999999999996</v>
      </c>
      <c r="K1595" s="12"/>
      <c r="L1595" s="12"/>
      <c r="M1595" s="12"/>
      <c r="N1595" s="12"/>
      <c r="O1595" s="12"/>
      <c r="P1595" s="12"/>
      <c r="Q1595" s="12"/>
      <c r="R1595" s="12"/>
      <c r="S1595" s="12"/>
    </row>
    <row r="1596" spans="1:19" ht="14.25" customHeight="1" x14ac:dyDescent="0.2">
      <c r="A1596" s="1" t="s">
        <v>19</v>
      </c>
      <c r="B1596" s="7">
        <v>46095.940972222219</v>
      </c>
      <c r="C1596" s="7">
        <v>46095.954421296294</v>
      </c>
      <c r="D1596" s="8">
        <v>46095</v>
      </c>
      <c r="E1596" s="9">
        <v>0.95442129629373085</v>
      </c>
      <c r="F1596" s="10" t="s">
        <v>1837</v>
      </c>
      <c r="G1596" s="10" t="s">
        <v>21</v>
      </c>
      <c r="H1596" s="10" t="s">
        <v>22</v>
      </c>
      <c r="I1596" s="10" t="s">
        <v>23</v>
      </c>
      <c r="J1596" s="11">
        <v>0.83</v>
      </c>
      <c r="K1596" s="12"/>
      <c r="L1596" s="12"/>
      <c r="M1596" s="12"/>
      <c r="N1596" s="12"/>
      <c r="O1596" s="12"/>
      <c r="P1596" s="12"/>
      <c r="Q1596" s="12"/>
      <c r="R1596" s="12"/>
      <c r="S1596" s="12"/>
    </row>
    <row r="1597" spans="1:19" ht="14.25" customHeight="1" x14ac:dyDescent="0.2">
      <c r="A1597" s="1" t="s">
        <v>19</v>
      </c>
      <c r="B1597" s="7">
        <v>46095.940983796296</v>
      </c>
      <c r="C1597" s="7">
        <v>46095.954652777778</v>
      </c>
      <c r="D1597" s="8">
        <v>46095</v>
      </c>
      <c r="E1597" s="9">
        <v>0.95465277777839219</v>
      </c>
      <c r="F1597" s="10" t="s">
        <v>1838</v>
      </c>
      <c r="G1597" s="10" t="s">
        <v>21</v>
      </c>
      <c r="H1597" s="10" t="s">
        <v>52</v>
      </c>
      <c r="I1597" s="10" t="s">
        <v>23</v>
      </c>
      <c r="J1597" s="11">
        <v>0.98</v>
      </c>
      <c r="K1597" s="12"/>
      <c r="L1597" s="12"/>
      <c r="M1597" s="12"/>
      <c r="N1597" s="12"/>
      <c r="O1597" s="12"/>
      <c r="P1597" s="12"/>
      <c r="Q1597" s="12"/>
      <c r="R1597" s="12"/>
      <c r="S1597" s="12"/>
    </row>
    <row r="1598" spans="1:19" ht="14.25" customHeight="1" x14ac:dyDescent="0.2">
      <c r="A1598" s="1" t="s">
        <v>19</v>
      </c>
      <c r="B1598" s="7">
        <v>46095.940983796296</v>
      </c>
      <c r="C1598" s="7">
        <v>46095.954930555556</v>
      </c>
      <c r="D1598" s="8">
        <v>46095</v>
      </c>
      <c r="E1598" s="9">
        <v>0.95493055555562023</v>
      </c>
      <c r="F1598" s="10" t="s">
        <v>1839</v>
      </c>
      <c r="G1598" s="10" t="s">
        <v>21</v>
      </c>
      <c r="H1598" s="10" t="s">
        <v>142</v>
      </c>
      <c r="I1598" s="10" t="s">
        <v>23</v>
      </c>
      <c r="J1598" s="11">
        <v>0.83</v>
      </c>
      <c r="K1598" s="12"/>
      <c r="L1598" s="12"/>
      <c r="M1598" s="12"/>
      <c r="N1598" s="12"/>
      <c r="O1598" s="12"/>
      <c r="P1598" s="12"/>
      <c r="Q1598" s="12"/>
      <c r="R1598" s="12"/>
      <c r="S1598" s="12"/>
    </row>
    <row r="1599" spans="1:19" ht="14.25" customHeight="1" x14ac:dyDescent="0.2">
      <c r="A1599" s="1" t="s">
        <v>19</v>
      </c>
      <c r="B1599" s="7">
        <v>46095.932002314818</v>
      </c>
      <c r="C1599" s="7">
        <v>46095.955520833333</v>
      </c>
      <c r="D1599" s="8">
        <v>46095</v>
      </c>
      <c r="E1599" s="9">
        <v>0.95552083333313931</v>
      </c>
      <c r="F1599" s="10" t="s">
        <v>1840</v>
      </c>
      <c r="G1599" s="10" t="s">
        <v>21</v>
      </c>
      <c r="H1599" s="10" t="s">
        <v>41</v>
      </c>
      <c r="I1599" s="10" t="s">
        <v>23</v>
      </c>
      <c r="J1599" s="11">
        <v>1.77</v>
      </c>
      <c r="K1599" s="12"/>
      <c r="L1599" s="12"/>
      <c r="M1599" s="12"/>
      <c r="N1599" s="12"/>
      <c r="O1599" s="12"/>
      <c r="P1599" s="12"/>
      <c r="Q1599" s="12"/>
      <c r="R1599" s="12"/>
      <c r="S1599" s="12"/>
    </row>
    <row r="1600" spans="1:19" ht="14.25" customHeight="1" x14ac:dyDescent="0.2">
      <c r="A1600" s="1" t="s">
        <v>42</v>
      </c>
      <c r="B1600" s="7">
        <v>46095.913923611108</v>
      </c>
      <c r="C1600" s="7">
        <v>46095.959502314814</v>
      </c>
      <c r="D1600" s="8">
        <v>46095</v>
      </c>
      <c r="E1600" s="9">
        <v>0.95950231481401715</v>
      </c>
      <c r="F1600" s="10" t="s">
        <v>1841</v>
      </c>
      <c r="G1600" s="10" t="s">
        <v>26</v>
      </c>
      <c r="H1600" s="10" t="s">
        <v>76</v>
      </c>
      <c r="I1600" s="10" t="s">
        <v>23</v>
      </c>
      <c r="J1600" s="11">
        <v>0.75</v>
      </c>
      <c r="K1600" s="12"/>
      <c r="L1600" s="12">
        <f>SUM(J1600:J1623)</f>
        <v>27.39</v>
      </c>
      <c r="M1600" s="13">
        <f>L1600*65</f>
        <v>1780.3500000000001</v>
      </c>
      <c r="N1600" s="14">
        <f>MAX(500,M1600)</f>
        <v>1780.3500000000001</v>
      </c>
      <c r="O1600" s="12"/>
      <c r="P1600" s="12"/>
      <c r="Q1600" s="12"/>
      <c r="R1600" s="12"/>
      <c r="S1600" s="12"/>
    </row>
    <row r="1601" spans="1:19" ht="14.25" customHeight="1" x14ac:dyDescent="0.2">
      <c r="A1601" s="1" t="s">
        <v>33</v>
      </c>
      <c r="B1601" s="7">
        <v>46095.948194444441</v>
      </c>
      <c r="C1601" s="7">
        <v>46095.962962962964</v>
      </c>
      <c r="D1601" s="8">
        <v>46095</v>
      </c>
      <c r="E1601" s="9">
        <v>0.96296296296350192</v>
      </c>
      <c r="F1601" s="10" t="s">
        <v>1842</v>
      </c>
      <c r="G1601" s="10" t="s">
        <v>21</v>
      </c>
      <c r="H1601" s="10" t="s">
        <v>22</v>
      </c>
      <c r="I1601" s="10" t="s">
        <v>23</v>
      </c>
      <c r="J1601" s="11">
        <v>0.83</v>
      </c>
      <c r="K1601" s="12"/>
      <c r="L1601" s="12"/>
      <c r="M1601" s="12"/>
      <c r="N1601" s="12"/>
      <c r="O1601" s="12"/>
      <c r="P1601" s="12"/>
      <c r="Q1601" s="12"/>
      <c r="R1601" s="12"/>
      <c r="S1601" s="12"/>
    </row>
    <row r="1602" spans="1:19" ht="14.25" customHeight="1" x14ac:dyDescent="0.2">
      <c r="A1602" s="1" t="s">
        <v>24</v>
      </c>
      <c r="B1602" s="7">
        <v>46095.944803240738</v>
      </c>
      <c r="C1602" s="7">
        <v>46095.963900462964</v>
      </c>
      <c r="D1602" s="8">
        <v>46095</v>
      </c>
      <c r="E1602" s="9">
        <v>0.96390046296437504</v>
      </c>
      <c r="F1602" s="10" t="s">
        <v>1843</v>
      </c>
      <c r="G1602" s="10" t="s">
        <v>21</v>
      </c>
      <c r="H1602" s="10" t="s">
        <v>41</v>
      </c>
      <c r="I1602" s="10" t="s">
        <v>23</v>
      </c>
      <c r="J1602" s="11">
        <v>1.77</v>
      </c>
      <c r="K1602" s="12"/>
      <c r="L1602" s="12"/>
      <c r="M1602" s="12"/>
      <c r="N1602" s="12"/>
      <c r="O1602" s="12"/>
      <c r="P1602" s="12"/>
      <c r="Q1602" s="12"/>
      <c r="R1602" s="12"/>
      <c r="S1602" s="12"/>
    </row>
    <row r="1603" spans="1:19" ht="14.25" customHeight="1" x14ac:dyDescent="0.2">
      <c r="A1603" s="1" t="s">
        <v>19</v>
      </c>
      <c r="B1603" s="7">
        <v>46095.954027777778</v>
      </c>
      <c r="C1603" s="7">
        <v>46095.964513888888</v>
      </c>
      <c r="D1603" s="8">
        <v>46095</v>
      </c>
      <c r="E1603" s="9">
        <v>0.96451388888817746</v>
      </c>
      <c r="F1603" s="10" t="s">
        <v>1844</v>
      </c>
      <c r="G1603" s="10" t="s">
        <v>21</v>
      </c>
      <c r="H1603" s="10" t="s">
        <v>101</v>
      </c>
      <c r="I1603" s="10" t="s">
        <v>23</v>
      </c>
      <c r="J1603" s="11">
        <v>1.7</v>
      </c>
      <c r="K1603" s="12"/>
      <c r="L1603" s="12"/>
      <c r="M1603" s="12"/>
      <c r="N1603" s="12"/>
      <c r="O1603" s="12"/>
      <c r="P1603" s="12"/>
      <c r="Q1603" s="12"/>
      <c r="R1603" s="12"/>
      <c r="S1603" s="12"/>
    </row>
    <row r="1604" spans="1:19" ht="14.25" customHeight="1" x14ac:dyDescent="0.2">
      <c r="A1604" s="1" t="s">
        <v>95</v>
      </c>
      <c r="B1604" s="7">
        <v>46095.977384259262</v>
      </c>
      <c r="C1604" s="7">
        <v>46095.978252314817</v>
      </c>
      <c r="D1604" s="8">
        <v>46095</v>
      </c>
      <c r="E1604" s="9">
        <v>0.97825231481692754</v>
      </c>
      <c r="F1604" s="10" t="s">
        <v>1845</v>
      </c>
      <c r="G1604" s="10" t="s">
        <v>21</v>
      </c>
      <c r="H1604" s="10" t="s">
        <v>108</v>
      </c>
      <c r="I1604" s="10" t="s">
        <v>23</v>
      </c>
      <c r="J1604" s="11">
        <v>1.7</v>
      </c>
      <c r="K1604" s="12"/>
      <c r="L1604" s="12"/>
      <c r="M1604" s="12"/>
      <c r="N1604" s="12"/>
      <c r="O1604" s="12"/>
      <c r="P1604" s="12"/>
      <c r="Q1604" s="12"/>
      <c r="R1604" s="12"/>
      <c r="S1604" s="12"/>
    </row>
    <row r="1605" spans="1:19" ht="14.25" customHeight="1" x14ac:dyDescent="0.2">
      <c r="A1605" s="1" t="s">
        <v>24</v>
      </c>
      <c r="B1605" s="7">
        <v>46095.962893518517</v>
      </c>
      <c r="C1605" s="7">
        <v>46095.978587962964</v>
      </c>
      <c r="D1605" s="8">
        <v>46095</v>
      </c>
      <c r="E1605" s="9">
        <v>0.97858796296350192</v>
      </c>
      <c r="F1605" s="10" t="s">
        <v>1846</v>
      </c>
      <c r="G1605" s="10" t="s">
        <v>21</v>
      </c>
      <c r="H1605" s="10" t="s">
        <v>142</v>
      </c>
      <c r="I1605" s="10" t="s">
        <v>23</v>
      </c>
      <c r="J1605" s="11">
        <v>0.83</v>
      </c>
      <c r="K1605" s="12"/>
      <c r="L1605" s="12"/>
      <c r="M1605" s="12"/>
      <c r="N1605" s="12"/>
      <c r="O1605" s="12"/>
      <c r="P1605" s="12"/>
      <c r="Q1605" s="12"/>
      <c r="R1605" s="12"/>
      <c r="S1605" s="12"/>
    </row>
    <row r="1606" spans="1:19" ht="14.25" customHeight="1" x14ac:dyDescent="0.2">
      <c r="A1606" s="1" t="s">
        <v>24</v>
      </c>
      <c r="B1606" s="7">
        <v>46095.962893518517</v>
      </c>
      <c r="C1606" s="7">
        <v>46095.978831018518</v>
      </c>
      <c r="D1606" s="8">
        <v>46095</v>
      </c>
      <c r="E1606" s="9">
        <v>0.97883101851766696</v>
      </c>
      <c r="F1606" s="10" t="s">
        <v>1847</v>
      </c>
      <c r="G1606" s="10" t="s">
        <v>21</v>
      </c>
      <c r="H1606" s="10" t="s">
        <v>22</v>
      </c>
      <c r="I1606" s="10" t="s">
        <v>23</v>
      </c>
      <c r="J1606" s="11">
        <v>0.83</v>
      </c>
      <c r="K1606" s="12"/>
      <c r="L1606" s="12"/>
      <c r="M1606" s="12"/>
      <c r="N1606" s="12"/>
      <c r="O1606" s="12"/>
      <c r="P1606" s="12"/>
      <c r="Q1606" s="12"/>
      <c r="R1606" s="12"/>
      <c r="S1606" s="12"/>
    </row>
    <row r="1607" spans="1:19" ht="14.25" customHeight="1" x14ac:dyDescent="0.2">
      <c r="A1607" s="1" t="s">
        <v>95</v>
      </c>
      <c r="B1607" s="7">
        <v>46095.940081018518</v>
      </c>
      <c r="C1607" s="7">
        <v>46095.979050925926</v>
      </c>
      <c r="D1607" s="8">
        <v>46095</v>
      </c>
      <c r="E1607" s="9">
        <v>0.97905092592554865</v>
      </c>
      <c r="F1607" s="10" t="s">
        <v>1848</v>
      </c>
      <c r="G1607" s="10" t="s">
        <v>21</v>
      </c>
      <c r="H1607" s="10" t="s">
        <v>52</v>
      </c>
      <c r="I1607" s="10" t="s">
        <v>23</v>
      </c>
      <c r="J1607" s="11">
        <v>0.98</v>
      </c>
      <c r="K1607" s="12"/>
      <c r="L1607" s="12"/>
      <c r="M1607" s="12"/>
      <c r="N1607" s="12"/>
      <c r="O1607" s="12"/>
      <c r="P1607" s="12"/>
      <c r="Q1607" s="12"/>
      <c r="R1607" s="12"/>
      <c r="S1607" s="12"/>
    </row>
    <row r="1608" spans="1:19" ht="14.25" customHeight="1" x14ac:dyDescent="0.2">
      <c r="A1608" s="1" t="s">
        <v>95</v>
      </c>
      <c r="B1608" s="7">
        <v>46095.94222222222</v>
      </c>
      <c r="C1608" s="7">
        <v>46095.981435185182</v>
      </c>
      <c r="D1608" s="8">
        <v>46095</v>
      </c>
      <c r="E1608" s="9">
        <v>0.98143518518190831</v>
      </c>
      <c r="F1608" s="10" t="s">
        <v>1849</v>
      </c>
      <c r="G1608" s="10" t="s">
        <v>21</v>
      </c>
      <c r="H1608" s="10" t="s">
        <v>598</v>
      </c>
      <c r="I1608" s="10" t="s">
        <v>23</v>
      </c>
      <c r="J1608" s="11">
        <v>0.98</v>
      </c>
      <c r="K1608" s="12"/>
      <c r="L1608" s="12"/>
      <c r="M1608" s="12"/>
      <c r="N1608" s="12"/>
      <c r="O1608" s="12"/>
      <c r="P1608" s="12"/>
      <c r="Q1608" s="12"/>
      <c r="R1608" s="12"/>
      <c r="S1608" s="12"/>
    </row>
    <row r="1609" spans="1:19" ht="14.25" customHeight="1" x14ac:dyDescent="0.2">
      <c r="A1609" s="1" t="s">
        <v>19</v>
      </c>
      <c r="B1609" s="7">
        <v>46095.969247685185</v>
      </c>
      <c r="C1609" s="7">
        <v>46095.982592592591</v>
      </c>
      <c r="D1609" s="8">
        <v>46095</v>
      </c>
      <c r="E1609" s="9">
        <v>0.98259259259066312</v>
      </c>
      <c r="F1609" s="10" t="s">
        <v>1850</v>
      </c>
      <c r="G1609" s="10" t="s">
        <v>26</v>
      </c>
      <c r="H1609" s="10" t="s">
        <v>37</v>
      </c>
      <c r="I1609" s="10" t="s">
        <v>23</v>
      </c>
      <c r="J1609" s="11">
        <v>0.88</v>
      </c>
      <c r="K1609" s="12"/>
      <c r="L1609" s="12"/>
      <c r="M1609" s="12"/>
      <c r="N1609" s="12"/>
      <c r="O1609" s="12"/>
      <c r="P1609" s="12"/>
      <c r="Q1609" s="12"/>
      <c r="R1609" s="12"/>
      <c r="S1609" s="12"/>
    </row>
    <row r="1610" spans="1:19" ht="14.25" customHeight="1" x14ac:dyDescent="0.2">
      <c r="A1610" s="1" t="s">
        <v>24</v>
      </c>
      <c r="B1610" s="7">
        <v>46095.975659722222</v>
      </c>
      <c r="C1610" s="7">
        <v>46095.987233796295</v>
      </c>
      <c r="D1610" s="8">
        <v>46095</v>
      </c>
      <c r="E1610" s="9">
        <v>0.98723379629518604</v>
      </c>
      <c r="F1610" s="10" t="s">
        <v>1851</v>
      </c>
      <c r="G1610" s="10" t="s">
        <v>21</v>
      </c>
      <c r="H1610" s="10" t="s">
        <v>101</v>
      </c>
      <c r="I1610" s="10" t="s">
        <v>23</v>
      </c>
      <c r="J1610" s="11">
        <v>1.7</v>
      </c>
      <c r="K1610" s="12"/>
      <c r="L1610" s="12"/>
      <c r="M1610" s="12"/>
      <c r="N1610" s="12"/>
      <c r="O1610" s="12"/>
      <c r="P1610" s="12"/>
      <c r="Q1610" s="12"/>
      <c r="R1610" s="12"/>
      <c r="S1610" s="12"/>
    </row>
    <row r="1611" spans="1:19" ht="14.25" customHeight="1" x14ac:dyDescent="0.2">
      <c r="A1611" s="1" t="s">
        <v>95</v>
      </c>
      <c r="B1611" s="7">
        <v>46095.973807870374</v>
      </c>
      <c r="C1611" s="7">
        <v>46095.987488425926</v>
      </c>
      <c r="D1611" s="8">
        <v>46095</v>
      </c>
      <c r="E1611" s="9">
        <v>0.98748842592613073</v>
      </c>
      <c r="F1611" s="10" t="s">
        <v>1852</v>
      </c>
      <c r="G1611" s="10" t="s">
        <v>21</v>
      </c>
      <c r="H1611" s="10" t="s">
        <v>110</v>
      </c>
      <c r="I1611" s="10" t="s">
        <v>23</v>
      </c>
      <c r="J1611" s="11">
        <v>0.83</v>
      </c>
      <c r="K1611" s="12"/>
      <c r="L1611" s="12"/>
      <c r="M1611" s="12"/>
      <c r="N1611" s="12"/>
      <c r="O1611" s="12"/>
      <c r="P1611" s="12"/>
      <c r="Q1611" s="12"/>
      <c r="R1611" s="12"/>
      <c r="S1611" s="12"/>
    </row>
    <row r="1612" spans="1:19" ht="14.25" customHeight="1" x14ac:dyDescent="0.2">
      <c r="A1612" s="1" t="s">
        <v>33</v>
      </c>
      <c r="B1612" s="7">
        <v>46095.958298611113</v>
      </c>
      <c r="C1612" s="7">
        <v>46095.987719907411</v>
      </c>
      <c r="D1612" s="8">
        <v>46095</v>
      </c>
      <c r="E1612" s="9">
        <v>0.98771990741079208</v>
      </c>
      <c r="F1612" s="10" t="s">
        <v>1853</v>
      </c>
      <c r="G1612" s="10" t="s">
        <v>21</v>
      </c>
      <c r="H1612" s="10" t="s">
        <v>22</v>
      </c>
      <c r="I1612" s="10" t="s">
        <v>23</v>
      </c>
      <c r="J1612" s="11">
        <v>0.83</v>
      </c>
      <c r="K1612" s="12"/>
      <c r="L1612" s="12"/>
      <c r="M1612" s="12"/>
      <c r="N1612" s="12"/>
      <c r="O1612" s="12"/>
      <c r="P1612" s="12"/>
      <c r="Q1612" s="12"/>
      <c r="R1612" s="12"/>
      <c r="S1612" s="12"/>
    </row>
    <row r="1613" spans="1:19" ht="14.25" customHeight="1" x14ac:dyDescent="0.2">
      <c r="A1613" s="1" t="s">
        <v>28</v>
      </c>
      <c r="B1613" s="7">
        <v>46095.969953703701</v>
      </c>
      <c r="C1613" s="7">
        <v>46095.988171296296</v>
      </c>
      <c r="D1613" s="8">
        <v>46095</v>
      </c>
      <c r="E1613" s="9">
        <v>0.98817129629605915</v>
      </c>
      <c r="F1613" s="10" t="s">
        <v>1854</v>
      </c>
      <c r="G1613" s="10" t="s">
        <v>21</v>
      </c>
      <c r="H1613" s="10" t="s">
        <v>39</v>
      </c>
      <c r="I1613" s="10" t="s">
        <v>23</v>
      </c>
      <c r="J1613" s="11">
        <v>1.77</v>
      </c>
      <c r="K1613" s="12"/>
      <c r="L1613" s="12"/>
      <c r="M1613" s="12"/>
      <c r="N1613" s="12"/>
      <c r="O1613" s="12"/>
      <c r="P1613" s="12"/>
      <c r="Q1613" s="12"/>
      <c r="R1613" s="12"/>
      <c r="S1613" s="12"/>
    </row>
    <row r="1614" spans="1:19" ht="14.25" customHeight="1" x14ac:dyDescent="0.2">
      <c r="A1614" s="1" t="s">
        <v>95</v>
      </c>
      <c r="B1614" s="7">
        <v>46095.973807870374</v>
      </c>
      <c r="C1614" s="7">
        <v>46095.988391203704</v>
      </c>
      <c r="D1614" s="8">
        <v>46095</v>
      </c>
      <c r="E1614" s="9">
        <v>0.98839120370394085</v>
      </c>
      <c r="F1614" s="10" t="s">
        <v>1855</v>
      </c>
      <c r="G1614" s="10" t="s">
        <v>21</v>
      </c>
      <c r="H1614" s="10" t="s">
        <v>52</v>
      </c>
      <c r="I1614" s="10" t="s">
        <v>23</v>
      </c>
      <c r="J1614" s="11">
        <v>0.98</v>
      </c>
      <c r="K1614" s="12"/>
      <c r="L1614" s="12"/>
      <c r="M1614" s="12"/>
      <c r="N1614" s="12"/>
      <c r="O1614" s="12"/>
      <c r="P1614" s="12"/>
      <c r="Q1614" s="12"/>
      <c r="R1614" s="12"/>
      <c r="S1614" s="12"/>
    </row>
    <row r="1615" spans="1:19" ht="14.25" customHeight="1" x14ac:dyDescent="0.2">
      <c r="A1615" s="1" t="s">
        <v>33</v>
      </c>
      <c r="B1615" s="7">
        <v>46095.971342592595</v>
      </c>
      <c r="C1615" s="7">
        <v>46095.989004629628</v>
      </c>
      <c r="D1615" s="8">
        <v>46095</v>
      </c>
      <c r="E1615" s="9">
        <v>0.98900462962774327</v>
      </c>
      <c r="F1615" s="10" t="s">
        <v>1856</v>
      </c>
      <c r="G1615" s="10" t="s">
        <v>21</v>
      </c>
      <c r="H1615" s="10" t="s">
        <v>41</v>
      </c>
      <c r="I1615" s="10" t="s">
        <v>23</v>
      </c>
      <c r="J1615" s="11">
        <v>1.77</v>
      </c>
      <c r="K1615" s="12"/>
      <c r="L1615" s="12"/>
      <c r="M1615" s="12"/>
      <c r="N1615" s="12"/>
      <c r="O1615" s="12"/>
      <c r="P1615" s="12"/>
      <c r="Q1615" s="12"/>
      <c r="R1615" s="12"/>
      <c r="S1615" s="12"/>
    </row>
    <row r="1616" spans="1:19" ht="14.25" customHeight="1" x14ac:dyDescent="0.2">
      <c r="A1616" s="1" t="s">
        <v>95</v>
      </c>
      <c r="B1616" s="7">
        <v>46095.957256944443</v>
      </c>
      <c r="C1616" s="7">
        <v>46095.989351851851</v>
      </c>
      <c r="D1616" s="8">
        <v>46095</v>
      </c>
      <c r="E1616" s="9">
        <v>0.98935185185109731</v>
      </c>
      <c r="F1616" s="10" t="s">
        <v>1857</v>
      </c>
      <c r="G1616" s="10" t="s">
        <v>21</v>
      </c>
      <c r="H1616" s="10" t="s">
        <v>71</v>
      </c>
      <c r="I1616" s="10" t="s">
        <v>23</v>
      </c>
      <c r="J1616" s="11">
        <v>1.05</v>
      </c>
      <c r="K1616" s="12"/>
      <c r="L1616" s="12"/>
      <c r="M1616" s="12"/>
      <c r="N1616" s="12"/>
      <c r="O1616" s="12"/>
      <c r="P1616" s="12"/>
      <c r="Q1616" s="12"/>
      <c r="R1616" s="12"/>
      <c r="S1616" s="12"/>
    </row>
    <row r="1617" spans="1:19" ht="14.25" customHeight="1" x14ac:dyDescent="0.2">
      <c r="A1617" s="1" t="s">
        <v>95</v>
      </c>
      <c r="B1617" s="7">
        <v>46095.95994212963</v>
      </c>
      <c r="C1617" s="7">
        <v>46095.990173611113</v>
      </c>
      <c r="D1617" s="8">
        <v>46095</v>
      </c>
      <c r="E1617" s="9">
        <v>0.99017361111327773</v>
      </c>
      <c r="F1617" s="10" t="s">
        <v>1858</v>
      </c>
      <c r="G1617" s="10" t="s">
        <v>21</v>
      </c>
      <c r="H1617" s="10" t="s">
        <v>108</v>
      </c>
      <c r="I1617" s="10" t="s">
        <v>23</v>
      </c>
      <c r="J1617" s="11">
        <v>1.7</v>
      </c>
      <c r="K1617" s="12"/>
      <c r="L1617" s="12"/>
      <c r="M1617" s="12"/>
      <c r="N1617" s="12"/>
      <c r="O1617" s="12"/>
      <c r="P1617" s="12"/>
      <c r="Q1617" s="12"/>
      <c r="R1617" s="12"/>
      <c r="S1617" s="12"/>
    </row>
    <row r="1618" spans="1:19" ht="14.25" customHeight="1" x14ac:dyDescent="0.2">
      <c r="A1618" s="1" t="s">
        <v>28</v>
      </c>
      <c r="B1618" s="7">
        <v>46095.95076388889</v>
      </c>
      <c r="C1618" s="7">
        <v>46095.990787037037</v>
      </c>
      <c r="D1618" s="8">
        <v>46095</v>
      </c>
      <c r="E1618" s="9">
        <v>0.99078703703708015</v>
      </c>
      <c r="F1618" s="10" t="s">
        <v>1859</v>
      </c>
      <c r="G1618" s="10" t="s">
        <v>26</v>
      </c>
      <c r="H1618" s="10" t="s">
        <v>128</v>
      </c>
      <c r="I1618" s="10" t="s">
        <v>23</v>
      </c>
      <c r="J1618" s="11">
        <v>0.97</v>
      </c>
      <c r="K1618" s="12"/>
      <c r="L1618" s="12"/>
      <c r="M1618" s="12"/>
      <c r="N1618" s="12"/>
      <c r="O1618" s="12"/>
      <c r="P1618" s="12"/>
      <c r="Q1618" s="12"/>
      <c r="R1618" s="12"/>
      <c r="S1618" s="12"/>
    </row>
    <row r="1619" spans="1:19" ht="14.25" customHeight="1" x14ac:dyDescent="0.2">
      <c r="A1619" s="1" t="s">
        <v>28</v>
      </c>
      <c r="B1619" s="7">
        <v>46095.96361111111</v>
      </c>
      <c r="C1619" s="7">
        <v>46095.992719907408</v>
      </c>
      <c r="D1619" s="8">
        <v>46095</v>
      </c>
      <c r="E1619" s="9">
        <v>0.99271990740817273</v>
      </c>
      <c r="F1619" s="10" t="s">
        <v>1860</v>
      </c>
      <c r="G1619" s="10" t="s">
        <v>26</v>
      </c>
      <c r="H1619" s="10" t="s">
        <v>128</v>
      </c>
      <c r="I1619" s="10" t="s">
        <v>23</v>
      </c>
      <c r="J1619" s="11">
        <v>0.97</v>
      </c>
      <c r="K1619" s="12"/>
      <c r="L1619" s="12"/>
      <c r="M1619" s="12"/>
      <c r="N1619" s="12"/>
      <c r="O1619" s="12"/>
      <c r="P1619" s="12"/>
      <c r="Q1619" s="12"/>
      <c r="R1619" s="12"/>
      <c r="S1619" s="12"/>
    </row>
    <row r="1620" spans="1:19" ht="14.25" customHeight="1" x14ac:dyDescent="0.2">
      <c r="A1620" s="1" t="s">
        <v>24</v>
      </c>
      <c r="B1620" s="7">
        <v>46095.949571759258</v>
      </c>
      <c r="C1620" s="7">
        <v>46095.99291666667</v>
      </c>
      <c r="D1620" s="8">
        <v>46095</v>
      </c>
      <c r="E1620" s="9">
        <v>0.99291666666977108</v>
      </c>
      <c r="F1620" s="10" t="s">
        <v>1861</v>
      </c>
      <c r="G1620" s="10" t="s">
        <v>26</v>
      </c>
      <c r="H1620" s="10" t="s">
        <v>92</v>
      </c>
      <c r="I1620" s="10" t="s">
        <v>23</v>
      </c>
      <c r="J1620" s="11">
        <v>0.63</v>
      </c>
      <c r="K1620" s="12"/>
      <c r="L1620" s="12"/>
      <c r="M1620" s="12"/>
      <c r="N1620" s="12"/>
      <c r="O1620" s="12"/>
      <c r="P1620" s="12"/>
      <c r="Q1620" s="12"/>
      <c r="R1620" s="12"/>
      <c r="S1620" s="12"/>
    </row>
    <row r="1621" spans="1:19" ht="14.25" customHeight="1" x14ac:dyDescent="0.2">
      <c r="A1621" s="1" t="s">
        <v>24</v>
      </c>
      <c r="B1621" s="7">
        <v>46095.949571759258</v>
      </c>
      <c r="C1621" s="7">
        <v>46095.99291666667</v>
      </c>
      <c r="D1621" s="8">
        <v>46095</v>
      </c>
      <c r="E1621" s="9">
        <v>0.99291666666977108</v>
      </c>
      <c r="F1621" s="10" t="s">
        <v>1862</v>
      </c>
      <c r="G1621" s="10" t="s">
        <v>26</v>
      </c>
      <c r="H1621" s="10" t="s">
        <v>56</v>
      </c>
      <c r="I1621" s="10" t="s">
        <v>23</v>
      </c>
      <c r="J1621" s="11">
        <v>0.73</v>
      </c>
      <c r="K1621" s="12"/>
      <c r="L1621" s="12"/>
      <c r="M1621" s="12"/>
      <c r="N1621" s="12"/>
      <c r="O1621" s="12"/>
      <c r="P1621" s="12"/>
      <c r="Q1621" s="12"/>
      <c r="R1621" s="12"/>
      <c r="S1621" s="12"/>
    </row>
    <row r="1622" spans="1:19" ht="14.25" customHeight="1" x14ac:dyDescent="0.2">
      <c r="A1622" s="1" t="s">
        <v>24</v>
      </c>
      <c r="B1622" s="7">
        <v>46095.978784722225</v>
      </c>
      <c r="C1622" s="7">
        <v>46095.993287037039</v>
      </c>
      <c r="D1622" s="8">
        <v>46095</v>
      </c>
      <c r="E1622" s="9">
        <v>0.99328703703940846</v>
      </c>
      <c r="F1622" s="10" t="s">
        <v>1863</v>
      </c>
      <c r="G1622" s="10" t="s">
        <v>26</v>
      </c>
      <c r="H1622" s="10" t="s">
        <v>650</v>
      </c>
      <c r="I1622" s="10" t="s">
        <v>23</v>
      </c>
      <c r="J1622" s="11">
        <v>0.44</v>
      </c>
      <c r="K1622" s="12"/>
      <c r="L1622" s="12"/>
      <c r="M1622" s="12"/>
      <c r="N1622" s="12"/>
      <c r="O1622" s="12"/>
      <c r="P1622" s="12"/>
      <c r="Q1622" s="12"/>
      <c r="R1622" s="12"/>
      <c r="S1622" s="12"/>
    </row>
    <row r="1623" spans="1:19" ht="14.25" customHeight="1" x14ac:dyDescent="0.2">
      <c r="A1623" s="1" t="s">
        <v>33</v>
      </c>
      <c r="B1623" s="7">
        <v>46095.981944444444</v>
      </c>
      <c r="C1623" s="7">
        <v>46095.998402777775</v>
      </c>
      <c r="D1623" s="8">
        <v>46095</v>
      </c>
      <c r="E1623" s="9">
        <v>0.99840277777548181</v>
      </c>
      <c r="F1623" s="10" t="s">
        <v>1864</v>
      </c>
      <c r="G1623" s="10" t="s">
        <v>21</v>
      </c>
      <c r="H1623" s="10" t="s">
        <v>41</v>
      </c>
      <c r="I1623" s="10" t="s">
        <v>23</v>
      </c>
      <c r="J1623" s="11">
        <v>1.77</v>
      </c>
      <c r="K1623" s="12"/>
      <c r="L1623" s="12"/>
      <c r="M1623" s="12"/>
      <c r="N1623" s="12"/>
      <c r="O1623" s="12"/>
      <c r="P1623" s="12"/>
      <c r="Q1623" s="12"/>
      <c r="R1623" s="12"/>
      <c r="S1623" s="12"/>
    </row>
    <row r="1624" spans="1:19" ht="14.25" customHeight="1" x14ac:dyDescent="0.2">
      <c r="A1624" s="1" t="s">
        <v>95</v>
      </c>
      <c r="B1624" s="7">
        <v>46095.988877314812</v>
      </c>
      <c r="C1624" s="7">
        <v>46096.004861111112</v>
      </c>
      <c r="D1624" s="8">
        <v>46096</v>
      </c>
      <c r="E1624" s="9">
        <v>4.8611111124046147E-3</v>
      </c>
      <c r="F1624" s="10" t="s">
        <v>1865</v>
      </c>
      <c r="G1624" s="10" t="s">
        <v>21</v>
      </c>
      <c r="H1624" s="10" t="s">
        <v>97</v>
      </c>
      <c r="I1624" s="10" t="s">
        <v>23</v>
      </c>
      <c r="J1624" s="11">
        <v>1.77</v>
      </c>
      <c r="K1624" s="12"/>
      <c r="L1624" s="12">
        <f>SUM(J1624:J1635)</f>
        <v>15.430000000000001</v>
      </c>
      <c r="M1624" s="13">
        <f>L1624*65</f>
        <v>1002.95</v>
      </c>
      <c r="N1624" s="14">
        <f>MAX(500,M1624)</f>
        <v>1002.95</v>
      </c>
      <c r="O1624" s="12"/>
      <c r="P1624" s="12"/>
      <c r="Q1624" s="12"/>
      <c r="R1624" s="12"/>
      <c r="S1624" s="12"/>
    </row>
    <row r="1625" spans="1:19" ht="14.25" customHeight="1" x14ac:dyDescent="0.2">
      <c r="A1625" s="1" t="s">
        <v>28</v>
      </c>
      <c r="B1625" s="7">
        <v>46095.993078703701</v>
      </c>
      <c r="C1625" s="7">
        <v>46096.00540509259</v>
      </c>
      <c r="D1625" s="8">
        <v>46096</v>
      </c>
      <c r="E1625" s="9">
        <v>5.4050925900810398E-3</v>
      </c>
      <c r="F1625" s="10" t="s">
        <v>1866</v>
      </c>
      <c r="G1625" s="10" t="s">
        <v>21</v>
      </c>
      <c r="H1625" s="10" t="s">
        <v>41</v>
      </c>
      <c r="I1625" s="10" t="s">
        <v>23</v>
      </c>
      <c r="J1625" s="11">
        <v>1.77</v>
      </c>
      <c r="K1625" s="12"/>
      <c r="L1625" s="12"/>
      <c r="M1625" s="12"/>
      <c r="N1625" s="12"/>
      <c r="O1625" s="12"/>
      <c r="P1625" s="12"/>
      <c r="Q1625" s="12"/>
      <c r="R1625" s="12"/>
      <c r="S1625" s="12"/>
    </row>
    <row r="1626" spans="1:19" ht="14.25" customHeight="1" x14ac:dyDescent="0.2">
      <c r="A1626" s="1" t="s">
        <v>24</v>
      </c>
      <c r="B1626" s="7">
        <v>46095.992997685185</v>
      </c>
      <c r="C1626" s="7">
        <v>46096.005925925929</v>
      </c>
      <c r="D1626" s="8">
        <v>46096</v>
      </c>
      <c r="E1626" s="9">
        <v>5.9259259287500754E-3</v>
      </c>
      <c r="F1626" s="10" t="s">
        <v>1867</v>
      </c>
      <c r="G1626" s="10" t="s">
        <v>26</v>
      </c>
      <c r="H1626" s="10" t="s">
        <v>1019</v>
      </c>
      <c r="I1626" s="10" t="s">
        <v>23</v>
      </c>
      <c r="J1626" s="11">
        <v>0.67</v>
      </c>
      <c r="K1626" s="12"/>
      <c r="L1626" s="12"/>
      <c r="M1626" s="12"/>
      <c r="N1626" s="12"/>
      <c r="O1626" s="12"/>
      <c r="P1626" s="12"/>
      <c r="Q1626" s="12"/>
      <c r="R1626" s="12"/>
      <c r="S1626" s="12"/>
    </row>
    <row r="1627" spans="1:19" ht="14.25" customHeight="1" x14ac:dyDescent="0.2">
      <c r="A1627" s="1" t="s">
        <v>95</v>
      </c>
      <c r="B1627" s="7">
        <v>46096.006701388891</v>
      </c>
      <c r="C1627" s="7">
        <v>46096.011840277781</v>
      </c>
      <c r="D1627" s="8">
        <v>46096</v>
      </c>
      <c r="E1627" s="9">
        <v>1.1840277780720498E-2</v>
      </c>
      <c r="F1627" s="10" t="s">
        <v>1868</v>
      </c>
      <c r="G1627" s="10" t="s">
        <v>21</v>
      </c>
      <c r="H1627" s="10" t="s">
        <v>97</v>
      </c>
      <c r="I1627" s="10" t="s">
        <v>23</v>
      </c>
      <c r="J1627" s="11">
        <v>1.77</v>
      </c>
      <c r="K1627" s="12"/>
      <c r="L1627" s="12"/>
      <c r="M1627" s="12"/>
      <c r="N1627" s="12"/>
      <c r="O1627" s="12"/>
      <c r="P1627" s="12"/>
      <c r="Q1627" s="12"/>
      <c r="R1627" s="12"/>
      <c r="S1627" s="12"/>
    </row>
    <row r="1628" spans="1:19" ht="14.25" customHeight="1" x14ac:dyDescent="0.2">
      <c r="A1628" s="1" t="s">
        <v>24</v>
      </c>
      <c r="B1628" s="7">
        <v>46095.919664351852</v>
      </c>
      <c r="C1628" s="7">
        <v>46096.014791666668</v>
      </c>
      <c r="D1628" s="8">
        <v>46096</v>
      </c>
      <c r="E1628" s="9">
        <v>1.4791666668315884E-2</v>
      </c>
      <c r="F1628" s="10" t="s">
        <v>1869</v>
      </c>
      <c r="G1628" s="10" t="s">
        <v>21</v>
      </c>
      <c r="H1628" s="10" t="s">
        <v>22</v>
      </c>
      <c r="I1628" s="10" t="s">
        <v>23</v>
      </c>
      <c r="J1628" s="11">
        <v>0.83</v>
      </c>
      <c r="K1628" s="12"/>
      <c r="L1628" s="12"/>
      <c r="M1628" s="12"/>
      <c r="N1628" s="12"/>
      <c r="O1628" s="12"/>
      <c r="P1628" s="12"/>
      <c r="Q1628" s="12"/>
      <c r="R1628" s="12"/>
      <c r="S1628" s="12"/>
    </row>
    <row r="1629" spans="1:19" ht="14.25" customHeight="1" x14ac:dyDescent="0.2">
      <c r="A1629" s="1" t="s">
        <v>19</v>
      </c>
      <c r="B1629" s="7">
        <v>46095.982465277775</v>
      </c>
      <c r="C1629" s="7">
        <v>46096.0153125</v>
      </c>
      <c r="D1629" s="8">
        <v>46096</v>
      </c>
      <c r="E1629" s="9">
        <v>1.5312499999708962E-2</v>
      </c>
      <c r="F1629" s="10" t="s">
        <v>1870</v>
      </c>
      <c r="G1629" s="10" t="s">
        <v>21</v>
      </c>
      <c r="H1629" s="10" t="s">
        <v>22</v>
      </c>
      <c r="I1629" s="10" t="s">
        <v>23</v>
      </c>
      <c r="J1629" s="11">
        <v>0.83</v>
      </c>
      <c r="K1629" s="12"/>
      <c r="L1629" s="12"/>
      <c r="M1629" s="12"/>
      <c r="N1629" s="12"/>
      <c r="O1629" s="12"/>
      <c r="P1629" s="12"/>
      <c r="Q1629" s="12"/>
      <c r="R1629" s="12"/>
      <c r="S1629" s="12"/>
    </row>
    <row r="1630" spans="1:19" ht="14.25" customHeight="1" x14ac:dyDescent="0.2">
      <c r="A1630" s="1" t="s">
        <v>33</v>
      </c>
      <c r="B1630" s="7">
        <v>46096.008796296293</v>
      </c>
      <c r="C1630" s="7">
        <v>46096.020601851851</v>
      </c>
      <c r="D1630" s="8">
        <v>46096</v>
      </c>
      <c r="E1630" s="9">
        <v>2.0601851851097308E-2</v>
      </c>
      <c r="F1630" s="10" t="s">
        <v>1871</v>
      </c>
      <c r="G1630" s="10" t="s">
        <v>21</v>
      </c>
      <c r="H1630" s="10" t="s">
        <v>22</v>
      </c>
      <c r="I1630" s="10" t="s">
        <v>23</v>
      </c>
      <c r="J1630" s="11">
        <v>0.83</v>
      </c>
      <c r="K1630" s="12"/>
      <c r="L1630" s="12"/>
      <c r="M1630" s="12"/>
      <c r="N1630" s="12"/>
      <c r="O1630" s="12"/>
      <c r="P1630" s="12"/>
      <c r="Q1630" s="12"/>
      <c r="R1630" s="12"/>
      <c r="S1630" s="12"/>
    </row>
    <row r="1631" spans="1:19" ht="14.25" customHeight="1" x14ac:dyDescent="0.2">
      <c r="A1631" s="1" t="s">
        <v>19</v>
      </c>
      <c r="B1631" s="7">
        <v>46096.006261574075</v>
      </c>
      <c r="C1631" s="7">
        <v>46096.022534722222</v>
      </c>
      <c r="D1631" s="8">
        <v>46096</v>
      </c>
      <c r="E1631" s="9">
        <v>2.2534722222189885E-2</v>
      </c>
      <c r="F1631" s="10" t="s">
        <v>1872</v>
      </c>
      <c r="G1631" s="10" t="s">
        <v>21</v>
      </c>
      <c r="H1631" s="10" t="s">
        <v>1478</v>
      </c>
      <c r="I1631" s="10" t="s">
        <v>23</v>
      </c>
      <c r="J1631" s="11">
        <v>0.98</v>
      </c>
      <c r="K1631" s="12"/>
      <c r="L1631" s="12"/>
      <c r="M1631" s="12"/>
      <c r="N1631" s="12"/>
      <c r="O1631" s="12"/>
      <c r="P1631" s="12"/>
      <c r="Q1631" s="12"/>
      <c r="R1631" s="12"/>
      <c r="S1631" s="12"/>
    </row>
    <row r="1632" spans="1:19" ht="14.25" customHeight="1" x14ac:dyDescent="0.2">
      <c r="A1632" s="1" t="s">
        <v>24</v>
      </c>
      <c r="B1632" s="7">
        <v>46096.014479166668</v>
      </c>
      <c r="C1632" s="7">
        <v>46096.029594907406</v>
      </c>
      <c r="D1632" s="8">
        <v>46096</v>
      </c>
      <c r="E1632" s="9">
        <v>2.9594907406135462E-2</v>
      </c>
      <c r="F1632" s="10" t="s">
        <v>1873</v>
      </c>
      <c r="G1632" s="10" t="s">
        <v>21</v>
      </c>
      <c r="H1632" s="10" t="s">
        <v>41</v>
      </c>
      <c r="I1632" s="10" t="s">
        <v>23</v>
      </c>
      <c r="J1632" s="11">
        <v>1.77</v>
      </c>
      <c r="K1632" s="12"/>
      <c r="L1632" s="12"/>
      <c r="M1632" s="12"/>
      <c r="N1632" s="12"/>
      <c r="O1632" s="12"/>
      <c r="P1632" s="12"/>
      <c r="Q1632" s="12"/>
      <c r="R1632" s="12"/>
      <c r="S1632" s="12"/>
    </row>
    <row r="1633" spans="1:19" ht="14.25" customHeight="1" x14ac:dyDescent="0.2">
      <c r="A1633" s="1" t="s">
        <v>95</v>
      </c>
      <c r="B1633" s="7">
        <v>46096.007337962961</v>
      </c>
      <c r="C1633" s="7">
        <v>46096.030497685184</v>
      </c>
      <c r="D1633" s="8">
        <v>46096</v>
      </c>
      <c r="E1633" s="9">
        <v>3.0497685183945578E-2</v>
      </c>
      <c r="F1633" s="10" t="s">
        <v>1874</v>
      </c>
      <c r="G1633" s="10" t="s">
        <v>21</v>
      </c>
      <c r="H1633" s="10" t="s">
        <v>734</v>
      </c>
      <c r="I1633" s="10" t="s">
        <v>23</v>
      </c>
      <c r="J1633" s="11">
        <v>0.98</v>
      </c>
      <c r="K1633" s="12"/>
      <c r="L1633" s="12"/>
      <c r="M1633" s="12"/>
      <c r="N1633" s="12"/>
      <c r="O1633" s="12"/>
      <c r="P1633" s="12"/>
      <c r="Q1633" s="12"/>
      <c r="R1633" s="12"/>
      <c r="S1633" s="12"/>
    </row>
    <row r="1634" spans="1:19" ht="14.25" customHeight="1" x14ac:dyDescent="0.2">
      <c r="A1634" s="1" t="s">
        <v>24</v>
      </c>
      <c r="B1634" s="7">
        <v>46096.013101851851</v>
      </c>
      <c r="C1634" s="7">
        <v>46096.031550925924</v>
      </c>
      <c r="D1634" s="8">
        <v>46096</v>
      </c>
      <c r="E1634" s="9">
        <v>3.1550925923511386E-2</v>
      </c>
      <c r="F1634" s="10" t="s">
        <v>1875</v>
      </c>
      <c r="G1634" s="10" t="s">
        <v>26</v>
      </c>
      <c r="H1634" s="10" t="s">
        <v>56</v>
      </c>
      <c r="I1634" s="10" t="s">
        <v>23</v>
      </c>
      <c r="J1634" s="11">
        <v>0.73</v>
      </c>
      <c r="K1634" s="12"/>
      <c r="L1634" s="12"/>
      <c r="M1634" s="12"/>
      <c r="N1634" s="12"/>
      <c r="O1634" s="12"/>
      <c r="P1634" s="12"/>
      <c r="Q1634" s="12"/>
      <c r="R1634" s="12"/>
      <c r="S1634" s="12"/>
    </row>
    <row r="1635" spans="1:19" ht="14.25" customHeight="1" x14ac:dyDescent="0.2">
      <c r="A1635" s="1" t="s">
        <v>19</v>
      </c>
      <c r="B1635" s="7">
        <v>46095.982465277775</v>
      </c>
      <c r="C1635" s="7">
        <v>46096.036770833336</v>
      </c>
      <c r="D1635" s="8">
        <v>46096</v>
      </c>
      <c r="E1635" s="9">
        <v>3.6770833336049691E-2</v>
      </c>
      <c r="F1635" s="10" t="s">
        <v>1876</v>
      </c>
      <c r="G1635" s="10" t="s">
        <v>21</v>
      </c>
      <c r="H1635" s="10" t="s">
        <v>281</v>
      </c>
      <c r="I1635" s="10" t="s">
        <v>23</v>
      </c>
      <c r="J1635" s="11">
        <v>2.5</v>
      </c>
      <c r="K1635" s="12"/>
      <c r="L1635" s="12"/>
      <c r="M1635" s="12"/>
      <c r="N1635" s="12"/>
      <c r="O1635" s="12"/>
      <c r="P1635" s="12"/>
      <c r="Q1635" s="12"/>
      <c r="R1635" s="12"/>
      <c r="S1635" s="12"/>
    </row>
    <row r="1636" spans="1:19" ht="14.25" customHeight="1" x14ac:dyDescent="0.2">
      <c r="A1636" s="1" t="s">
        <v>19</v>
      </c>
      <c r="B1636" s="7">
        <v>46096.029849537037</v>
      </c>
      <c r="C1636" s="7">
        <v>46096.045046296298</v>
      </c>
      <c r="D1636" s="8">
        <v>46096</v>
      </c>
      <c r="E1636" s="9">
        <v>4.5046296298096422E-2</v>
      </c>
      <c r="F1636" s="10" t="s">
        <v>1877</v>
      </c>
      <c r="G1636" s="10" t="s">
        <v>21</v>
      </c>
      <c r="H1636" s="10" t="s">
        <v>101</v>
      </c>
      <c r="I1636" s="10" t="s">
        <v>23</v>
      </c>
      <c r="J1636" s="11">
        <v>1.7</v>
      </c>
      <c r="K1636" s="12"/>
      <c r="L1636" s="12">
        <f>SUM(J1636:J1647)</f>
        <v>12.649999999999999</v>
      </c>
      <c r="M1636" s="13">
        <f>L1636*65</f>
        <v>822.24999999999989</v>
      </c>
      <c r="N1636" s="14">
        <f>MAX(500,M1636)</f>
        <v>822.24999999999989</v>
      </c>
      <c r="O1636" s="12"/>
      <c r="P1636" s="12"/>
      <c r="Q1636" s="12"/>
      <c r="R1636" s="12"/>
      <c r="S1636" s="12"/>
    </row>
    <row r="1637" spans="1:19" ht="14.25" customHeight="1" x14ac:dyDescent="0.2">
      <c r="A1637" s="1" t="s">
        <v>24</v>
      </c>
      <c r="B1637" s="7">
        <v>46096.031550925924</v>
      </c>
      <c r="C1637" s="7">
        <v>46096.045706018522</v>
      </c>
      <c r="D1637" s="8">
        <v>46096</v>
      </c>
      <c r="E1637" s="9">
        <v>4.5706018521741498E-2</v>
      </c>
      <c r="F1637" s="10" t="s">
        <v>1878</v>
      </c>
      <c r="G1637" s="10" t="s">
        <v>21</v>
      </c>
      <c r="H1637" s="10" t="s">
        <v>41</v>
      </c>
      <c r="I1637" s="10" t="s">
        <v>23</v>
      </c>
      <c r="J1637" s="11">
        <v>1.77</v>
      </c>
      <c r="K1637" s="12"/>
      <c r="L1637" s="12"/>
      <c r="M1637" s="12"/>
      <c r="N1637" s="12"/>
      <c r="O1637" s="12"/>
      <c r="P1637" s="12"/>
      <c r="Q1637" s="12"/>
      <c r="R1637" s="12"/>
      <c r="S1637" s="12"/>
    </row>
    <row r="1638" spans="1:19" ht="14.25" customHeight="1" x14ac:dyDescent="0.2">
      <c r="A1638" s="1" t="s">
        <v>24</v>
      </c>
      <c r="B1638" s="7">
        <v>46096.030439814815</v>
      </c>
      <c r="C1638" s="7">
        <v>46096.05128472222</v>
      </c>
      <c r="D1638" s="8">
        <v>46096</v>
      </c>
      <c r="E1638" s="9">
        <v>5.1284722219861578E-2</v>
      </c>
      <c r="F1638" s="10" t="s">
        <v>1879</v>
      </c>
      <c r="G1638" s="10" t="s">
        <v>26</v>
      </c>
      <c r="H1638" s="10" t="s">
        <v>37</v>
      </c>
      <c r="I1638" s="10" t="s">
        <v>23</v>
      </c>
      <c r="J1638" s="11">
        <v>0.88</v>
      </c>
      <c r="K1638" s="12"/>
      <c r="L1638" s="12"/>
      <c r="M1638" s="12"/>
      <c r="N1638" s="12"/>
      <c r="O1638" s="12"/>
      <c r="P1638" s="12"/>
      <c r="Q1638" s="12"/>
      <c r="R1638" s="12"/>
      <c r="S1638" s="12"/>
    </row>
    <row r="1639" spans="1:19" ht="14.25" customHeight="1" x14ac:dyDescent="0.2">
      <c r="A1639" s="1" t="s">
        <v>28</v>
      </c>
      <c r="B1639" s="7">
        <v>46096.043310185189</v>
      </c>
      <c r="C1639" s="7">
        <v>46096.05395833333</v>
      </c>
      <c r="D1639" s="8">
        <v>46096</v>
      </c>
      <c r="E1639" s="9">
        <v>5.3958333330228925E-2</v>
      </c>
      <c r="F1639" s="10" t="s">
        <v>1880</v>
      </c>
      <c r="G1639" s="10" t="s">
        <v>21</v>
      </c>
      <c r="H1639" s="10" t="s">
        <v>22</v>
      </c>
      <c r="I1639" s="10" t="s">
        <v>23</v>
      </c>
      <c r="J1639" s="11">
        <v>0.83</v>
      </c>
      <c r="K1639" s="12"/>
      <c r="L1639" s="12"/>
      <c r="M1639" s="12"/>
      <c r="N1639" s="12"/>
      <c r="O1639" s="12"/>
      <c r="P1639" s="12"/>
      <c r="Q1639" s="12"/>
      <c r="R1639" s="12"/>
      <c r="S1639" s="12"/>
    </row>
    <row r="1640" spans="1:19" ht="14.25" customHeight="1" x14ac:dyDescent="0.2">
      <c r="A1640" s="1" t="s">
        <v>95</v>
      </c>
      <c r="B1640" s="7">
        <v>46096.054409722223</v>
      </c>
      <c r="C1640" s="7">
        <v>46096.054212962961</v>
      </c>
      <c r="D1640" s="8">
        <v>46096</v>
      </c>
      <c r="E1640" s="9">
        <v>5.4212962961173616E-2</v>
      </c>
      <c r="F1640" s="10" t="s">
        <v>1881</v>
      </c>
      <c r="G1640" s="10" t="s">
        <v>21</v>
      </c>
      <c r="H1640" s="10" t="s">
        <v>110</v>
      </c>
      <c r="I1640" s="10" t="s">
        <v>23</v>
      </c>
      <c r="J1640" s="11">
        <v>0.83</v>
      </c>
      <c r="K1640" s="12"/>
      <c r="L1640" s="12"/>
      <c r="M1640" s="12"/>
      <c r="N1640" s="12"/>
      <c r="O1640" s="12"/>
      <c r="P1640" s="12"/>
      <c r="Q1640" s="12"/>
      <c r="R1640" s="12"/>
      <c r="S1640" s="12"/>
    </row>
    <row r="1641" spans="1:19" ht="14.25" customHeight="1" x14ac:dyDescent="0.2">
      <c r="A1641" s="1" t="s">
        <v>24</v>
      </c>
      <c r="B1641" s="7">
        <v>46096.044537037036</v>
      </c>
      <c r="C1641" s="7">
        <v>46096.056585648148</v>
      </c>
      <c r="D1641" s="8">
        <v>46096</v>
      </c>
      <c r="E1641" s="9">
        <v>5.6585648148029577E-2</v>
      </c>
      <c r="F1641" s="10" t="s">
        <v>1882</v>
      </c>
      <c r="G1641" s="10" t="s">
        <v>21</v>
      </c>
      <c r="H1641" s="10" t="s">
        <v>22</v>
      </c>
      <c r="I1641" s="10" t="s">
        <v>23</v>
      </c>
      <c r="J1641" s="11">
        <v>0.83</v>
      </c>
      <c r="K1641" s="12"/>
      <c r="L1641" s="12"/>
      <c r="M1641" s="12"/>
      <c r="N1641" s="12"/>
      <c r="O1641" s="12"/>
      <c r="P1641" s="12"/>
      <c r="Q1641" s="12"/>
      <c r="R1641" s="12"/>
      <c r="S1641" s="12"/>
    </row>
    <row r="1642" spans="1:19" ht="14.25" customHeight="1" x14ac:dyDescent="0.2">
      <c r="A1642" s="1" t="s">
        <v>24</v>
      </c>
      <c r="B1642" s="7">
        <v>46096.029988425929</v>
      </c>
      <c r="C1642" s="7">
        <v>46096.05709490741</v>
      </c>
      <c r="D1642" s="8">
        <v>46096</v>
      </c>
      <c r="E1642" s="9">
        <v>5.709490740991896E-2</v>
      </c>
      <c r="F1642" s="10" t="s">
        <v>1883</v>
      </c>
      <c r="G1642" s="10" t="s">
        <v>44</v>
      </c>
      <c r="H1642" s="10" t="s">
        <v>185</v>
      </c>
      <c r="I1642" s="10" t="s">
        <v>23</v>
      </c>
      <c r="J1642" s="11">
        <v>0.18</v>
      </c>
      <c r="K1642" s="12"/>
      <c r="L1642" s="12"/>
      <c r="M1642" s="12"/>
      <c r="N1642" s="12"/>
      <c r="O1642" s="12"/>
      <c r="P1642" s="12"/>
      <c r="Q1642" s="12"/>
      <c r="R1642" s="12"/>
      <c r="S1642" s="12"/>
    </row>
    <row r="1643" spans="1:19" ht="14.25" customHeight="1" x14ac:dyDescent="0.2">
      <c r="A1643" s="1" t="s">
        <v>33</v>
      </c>
      <c r="B1643" s="7">
        <v>46096.017951388887</v>
      </c>
      <c r="C1643" s="7">
        <v>46096.062511574077</v>
      </c>
      <c r="D1643" s="8">
        <v>46096</v>
      </c>
      <c r="E1643" s="9">
        <v>6.2511574076779652E-2</v>
      </c>
      <c r="F1643" s="10" t="s">
        <v>1884</v>
      </c>
      <c r="G1643" s="10" t="s">
        <v>26</v>
      </c>
      <c r="H1643" s="10" t="s">
        <v>315</v>
      </c>
      <c r="I1643" s="10" t="s">
        <v>23</v>
      </c>
      <c r="J1643" s="11">
        <v>0.88</v>
      </c>
      <c r="K1643" s="12"/>
      <c r="L1643" s="12"/>
      <c r="M1643" s="12"/>
      <c r="N1643" s="12"/>
      <c r="O1643" s="12"/>
      <c r="P1643" s="12"/>
      <c r="Q1643" s="12"/>
      <c r="R1643" s="12"/>
      <c r="S1643" s="12"/>
    </row>
    <row r="1644" spans="1:19" ht="14.25" customHeight="1" x14ac:dyDescent="0.2">
      <c r="A1644" s="1" t="s">
        <v>24</v>
      </c>
      <c r="B1644" s="7">
        <v>46096.051296296297</v>
      </c>
      <c r="C1644" s="7">
        <v>46096.063101851854</v>
      </c>
      <c r="D1644" s="8">
        <v>46096</v>
      </c>
      <c r="E1644" s="9">
        <v>6.3101851854298729E-2</v>
      </c>
      <c r="F1644" s="10" t="s">
        <v>1885</v>
      </c>
      <c r="G1644" s="10" t="s">
        <v>26</v>
      </c>
      <c r="H1644" s="10" t="s">
        <v>1260</v>
      </c>
      <c r="I1644" s="10" t="s">
        <v>23</v>
      </c>
      <c r="J1644" s="11">
        <v>0.57999999999999996</v>
      </c>
      <c r="K1644" s="12"/>
      <c r="L1644" s="12"/>
      <c r="M1644" s="12"/>
      <c r="N1644" s="12"/>
      <c r="O1644" s="12"/>
      <c r="P1644" s="12"/>
      <c r="Q1644" s="12"/>
      <c r="R1644" s="12"/>
      <c r="S1644" s="12"/>
    </row>
    <row r="1645" spans="1:19" ht="14.25" customHeight="1" x14ac:dyDescent="0.2">
      <c r="A1645" s="1" t="s">
        <v>42</v>
      </c>
      <c r="B1645" s="7">
        <v>46096.026469907411</v>
      </c>
      <c r="C1645" s="7">
        <v>46096.064791666664</v>
      </c>
      <c r="D1645" s="8">
        <v>46096</v>
      </c>
      <c r="E1645" s="9">
        <v>6.4791666663950309E-2</v>
      </c>
      <c r="F1645" s="10" t="s">
        <v>1886</v>
      </c>
      <c r="G1645" s="10" t="s">
        <v>26</v>
      </c>
      <c r="H1645" s="10" t="s">
        <v>125</v>
      </c>
      <c r="I1645" s="10" t="s">
        <v>23</v>
      </c>
      <c r="J1645" s="11">
        <v>0.63</v>
      </c>
      <c r="K1645" s="12"/>
      <c r="L1645" s="12"/>
      <c r="M1645" s="12"/>
      <c r="N1645" s="12"/>
      <c r="O1645" s="12"/>
      <c r="P1645" s="12"/>
      <c r="Q1645" s="12"/>
      <c r="R1645" s="12"/>
      <c r="S1645" s="12"/>
    </row>
    <row r="1646" spans="1:19" ht="14.25" customHeight="1" x14ac:dyDescent="0.2">
      <c r="A1646" s="1" t="s">
        <v>95</v>
      </c>
      <c r="B1646" s="7">
        <v>46096.065289351849</v>
      </c>
      <c r="C1646" s="7">
        <v>46096.068414351852</v>
      </c>
      <c r="D1646" s="8">
        <v>46096</v>
      </c>
      <c r="E1646" s="9">
        <v>6.8414351851970423E-2</v>
      </c>
      <c r="F1646" s="10" t="s">
        <v>1887</v>
      </c>
      <c r="G1646" s="10" t="s">
        <v>21</v>
      </c>
      <c r="H1646" s="10" t="s">
        <v>97</v>
      </c>
      <c r="I1646" s="10" t="s">
        <v>23</v>
      </c>
      <c r="J1646" s="11">
        <v>1.77</v>
      </c>
      <c r="K1646" s="12"/>
      <c r="L1646" s="12"/>
      <c r="M1646" s="12"/>
      <c r="N1646" s="12"/>
      <c r="O1646" s="12"/>
      <c r="P1646" s="12"/>
      <c r="Q1646" s="12"/>
      <c r="R1646" s="12"/>
      <c r="S1646" s="12"/>
    </row>
    <row r="1647" spans="1:19" ht="14.25" customHeight="1" x14ac:dyDescent="0.2">
      <c r="A1647" s="1" t="s">
        <v>95</v>
      </c>
      <c r="B1647" s="7">
        <v>46096.053969907407</v>
      </c>
      <c r="C1647" s="7">
        <v>46096.07135416667</v>
      </c>
      <c r="D1647" s="8">
        <v>46096</v>
      </c>
      <c r="E1647" s="9">
        <v>7.1354166670062114E-2</v>
      </c>
      <c r="F1647" s="10" t="s">
        <v>1888</v>
      </c>
      <c r="G1647" s="10" t="s">
        <v>21</v>
      </c>
      <c r="H1647" s="10" t="s">
        <v>1382</v>
      </c>
      <c r="I1647" s="10" t="s">
        <v>23</v>
      </c>
      <c r="J1647" s="11">
        <v>1.77</v>
      </c>
      <c r="K1647" s="12"/>
      <c r="L1647" s="12"/>
      <c r="M1647" s="12"/>
      <c r="N1647" s="12"/>
      <c r="O1647" s="12"/>
      <c r="P1647" s="12"/>
      <c r="Q1647" s="12"/>
      <c r="R1647" s="12"/>
      <c r="S1647" s="12"/>
    </row>
    <row r="1648" spans="1:19" ht="14.25" customHeight="1" x14ac:dyDescent="0.2">
      <c r="A1648" s="1" t="s">
        <v>24</v>
      </c>
      <c r="B1648" s="7">
        <v>46096.067546296297</v>
      </c>
      <c r="C1648" s="7">
        <v>46096.084004629629</v>
      </c>
      <c r="D1648" s="8">
        <v>46096</v>
      </c>
      <c r="E1648" s="9">
        <v>8.4004629628907423E-2</v>
      </c>
      <c r="F1648" s="10" t="s">
        <v>1889</v>
      </c>
      <c r="G1648" s="10" t="s">
        <v>26</v>
      </c>
      <c r="H1648" s="10" t="s">
        <v>80</v>
      </c>
      <c r="I1648" s="10" t="s">
        <v>23</v>
      </c>
      <c r="J1648" s="11">
        <v>0.56999999999999995</v>
      </c>
      <c r="K1648" s="12"/>
      <c r="L1648" s="12">
        <f>SUM(J1648:J1660)</f>
        <v>16.3</v>
      </c>
      <c r="M1648" s="13">
        <f>L1648*65</f>
        <v>1059.5</v>
      </c>
      <c r="N1648" s="14">
        <f>MAX(500,M1648)</f>
        <v>1059.5</v>
      </c>
      <c r="O1648" s="12"/>
      <c r="P1648" s="12"/>
      <c r="Q1648" s="12"/>
      <c r="R1648" s="12"/>
      <c r="S1648" s="12"/>
    </row>
    <row r="1649" spans="1:19" ht="14.25" customHeight="1" x14ac:dyDescent="0.2">
      <c r="A1649" s="1" t="s">
        <v>28</v>
      </c>
      <c r="B1649" s="7">
        <v>46096.074444444443</v>
      </c>
      <c r="C1649" s="7">
        <v>46096.088078703702</v>
      </c>
      <c r="D1649" s="8">
        <v>46096</v>
      </c>
      <c r="E1649" s="9">
        <v>8.8078703702194616E-2</v>
      </c>
      <c r="F1649" s="10" t="s">
        <v>1890</v>
      </c>
      <c r="G1649" s="10" t="s">
        <v>21</v>
      </c>
      <c r="H1649" s="10" t="s">
        <v>1891</v>
      </c>
      <c r="I1649" s="10" t="s">
        <v>23</v>
      </c>
      <c r="J1649" s="11">
        <v>0.98</v>
      </c>
      <c r="K1649" s="12"/>
      <c r="L1649" s="12"/>
      <c r="M1649" s="12"/>
      <c r="N1649" s="12"/>
      <c r="O1649" s="12"/>
      <c r="P1649" s="12"/>
      <c r="Q1649" s="12"/>
      <c r="R1649" s="12"/>
      <c r="S1649" s="12"/>
    </row>
    <row r="1650" spans="1:19" ht="14.25" customHeight="1" x14ac:dyDescent="0.2">
      <c r="A1650" s="1" t="s">
        <v>19</v>
      </c>
      <c r="B1650" s="7">
        <v>46096.075127314813</v>
      </c>
      <c r="C1650" s="7">
        <v>46096.090254629627</v>
      </c>
      <c r="D1650" s="8">
        <v>46096</v>
      </c>
      <c r="E1650" s="9">
        <v>9.0254629627452232E-2</v>
      </c>
      <c r="F1650" s="10" t="s">
        <v>1892</v>
      </c>
      <c r="G1650" s="10" t="s">
        <v>21</v>
      </c>
      <c r="H1650" s="10" t="s">
        <v>52</v>
      </c>
      <c r="I1650" s="10" t="s">
        <v>23</v>
      </c>
      <c r="J1650" s="11">
        <v>0.98</v>
      </c>
      <c r="K1650" s="12"/>
      <c r="L1650" s="12"/>
      <c r="M1650" s="12"/>
      <c r="N1650" s="12"/>
      <c r="O1650" s="12"/>
      <c r="P1650" s="12"/>
      <c r="Q1650" s="12"/>
      <c r="R1650" s="12"/>
      <c r="S1650" s="12"/>
    </row>
    <row r="1651" spans="1:19" ht="14.25" customHeight="1" x14ac:dyDescent="0.2">
      <c r="A1651" s="1" t="s">
        <v>19</v>
      </c>
      <c r="B1651" s="7">
        <v>46096.078877314816</v>
      </c>
      <c r="C1651" s="7">
        <v>46096.091215277775</v>
      </c>
      <c r="D1651" s="8">
        <v>46096</v>
      </c>
      <c r="E1651" s="9">
        <v>9.1215277774608694E-2</v>
      </c>
      <c r="F1651" s="10" t="s">
        <v>1893</v>
      </c>
      <c r="G1651" s="10" t="s">
        <v>21</v>
      </c>
      <c r="H1651" s="10" t="s">
        <v>41</v>
      </c>
      <c r="I1651" s="10" t="s">
        <v>23</v>
      </c>
      <c r="J1651" s="11">
        <v>1.77</v>
      </c>
      <c r="K1651" s="12"/>
      <c r="L1651" s="12"/>
      <c r="M1651" s="12"/>
      <c r="N1651" s="12"/>
      <c r="O1651" s="12"/>
      <c r="P1651" s="12"/>
      <c r="Q1651" s="12"/>
      <c r="R1651" s="12"/>
      <c r="S1651" s="12"/>
    </row>
    <row r="1652" spans="1:19" ht="14.25" customHeight="1" x14ac:dyDescent="0.2">
      <c r="A1652" s="1" t="s">
        <v>19</v>
      </c>
      <c r="B1652" s="7">
        <v>46096.069131944445</v>
      </c>
      <c r="C1652" s="7">
        <v>46096.092372685183</v>
      </c>
      <c r="D1652" s="8">
        <v>46096</v>
      </c>
      <c r="E1652" s="9">
        <v>9.2372685183363501E-2</v>
      </c>
      <c r="F1652" s="10" t="s">
        <v>1894</v>
      </c>
      <c r="G1652" s="10" t="s">
        <v>21</v>
      </c>
      <c r="H1652" s="10" t="s">
        <v>41</v>
      </c>
      <c r="I1652" s="10" t="s">
        <v>23</v>
      </c>
      <c r="J1652" s="11">
        <v>1.77</v>
      </c>
      <c r="K1652" s="12"/>
      <c r="L1652" s="12"/>
      <c r="M1652" s="12"/>
      <c r="N1652" s="12"/>
      <c r="O1652" s="12"/>
      <c r="P1652" s="12"/>
      <c r="Q1652" s="12"/>
      <c r="R1652" s="12"/>
      <c r="S1652" s="12"/>
    </row>
    <row r="1653" spans="1:19" ht="14.25" customHeight="1" x14ac:dyDescent="0.2">
      <c r="A1653" s="1" t="s">
        <v>19</v>
      </c>
      <c r="B1653" s="7">
        <v>46096.075138888889</v>
      </c>
      <c r="C1653" s="7">
        <v>46096.092916666668</v>
      </c>
      <c r="D1653" s="8">
        <v>46096</v>
      </c>
      <c r="E1653" s="9">
        <v>9.2916666668315884E-2</v>
      </c>
      <c r="F1653" s="10" t="s">
        <v>1895</v>
      </c>
      <c r="G1653" s="10" t="s">
        <v>21</v>
      </c>
      <c r="H1653" s="10" t="s">
        <v>175</v>
      </c>
      <c r="I1653" s="10" t="s">
        <v>23</v>
      </c>
      <c r="J1653" s="11">
        <v>0.98</v>
      </c>
      <c r="K1653" s="12"/>
      <c r="L1653" s="12"/>
      <c r="M1653" s="12"/>
      <c r="N1653" s="12"/>
      <c r="O1653" s="12"/>
      <c r="P1653" s="12"/>
      <c r="Q1653" s="12"/>
      <c r="R1653" s="12"/>
      <c r="S1653" s="12"/>
    </row>
    <row r="1654" spans="1:19" ht="14.25" customHeight="1" x14ac:dyDescent="0.2">
      <c r="A1654" s="1" t="s">
        <v>33</v>
      </c>
      <c r="B1654" s="7">
        <v>46096.063877314817</v>
      </c>
      <c r="C1654" s="7">
        <v>46096.093333333331</v>
      </c>
      <c r="D1654" s="8">
        <v>46096</v>
      </c>
      <c r="E1654" s="9">
        <v>9.3333333330519963E-2</v>
      </c>
      <c r="F1654" s="10" t="s">
        <v>1896</v>
      </c>
      <c r="G1654" s="10" t="s">
        <v>26</v>
      </c>
      <c r="H1654" s="10" t="s">
        <v>205</v>
      </c>
      <c r="I1654" s="10" t="s">
        <v>23</v>
      </c>
      <c r="J1654" s="11">
        <v>0.57999999999999996</v>
      </c>
      <c r="K1654" s="12"/>
      <c r="L1654" s="12"/>
      <c r="M1654" s="12"/>
      <c r="N1654" s="12"/>
      <c r="O1654" s="12"/>
      <c r="P1654" s="12"/>
      <c r="Q1654" s="12"/>
      <c r="R1654" s="12"/>
      <c r="S1654" s="12"/>
    </row>
    <row r="1655" spans="1:19" ht="14.25" customHeight="1" x14ac:dyDescent="0.2">
      <c r="A1655" s="1" t="s">
        <v>95</v>
      </c>
      <c r="B1655" s="7">
        <v>46096.091400462959</v>
      </c>
      <c r="C1655" s="7">
        <v>46096.103576388887</v>
      </c>
      <c r="D1655" s="8">
        <v>46096</v>
      </c>
      <c r="E1655" s="9">
        <v>0.10357638888672227</v>
      </c>
      <c r="F1655" s="10" t="s">
        <v>1897</v>
      </c>
      <c r="G1655" s="10" t="s">
        <v>21</v>
      </c>
      <c r="H1655" s="10" t="s">
        <v>97</v>
      </c>
      <c r="I1655" s="10" t="s">
        <v>23</v>
      </c>
      <c r="J1655" s="11">
        <v>1.77</v>
      </c>
      <c r="K1655" s="12"/>
      <c r="L1655" s="12"/>
      <c r="M1655" s="12"/>
      <c r="N1655" s="12"/>
      <c r="O1655" s="12"/>
      <c r="P1655" s="12"/>
      <c r="Q1655" s="12"/>
      <c r="R1655" s="12"/>
      <c r="S1655" s="12"/>
    </row>
    <row r="1656" spans="1:19" ht="14.25" customHeight="1" x14ac:dyDescent="0.2">
      <c r="A1656" s="1" t="s">
        <v>95</v>
      </c>
      <c r="B1656" s="7">
        <v>46096.10119212963</v>
      </c>
      <c r="C1656" s="7">
        <v>46096.106736111113</v>
      </c>
      <c r="D1656" s="8">
        <v>46096</v>
      </c>
      <c r="E1656" s="9">
        <v>0.10673611111269565</v>
      </c>
      <c r="F1656" s="10" t="s">
        <v>1898</v>
      </c>
      <c r="G1656" s="10" t="s">
        <v>21</v>
      </c>
      <c r="H1656" s="10" t="s">
        <v>110</v>
      </c>
      <c r="I1656" s="10" t="s">
        <v>23</v>
      </c>
      <c r="J1656" s="11">
        <v>0.83</v>
      </c>
      <c r="K1656" s="12"/>
      <c r="L1656" s="12"/>
      <c r="M1656" s="12"/>
      <c r="N1656" s="12"/>
      <c r="O1656" s="12"/>
      <c r="P1656" s="12"/>
      <c r="Q1656" s="12"/>
      <c r="R1656" s="12"/>
      <c r="S1656" s="12"/>
    </row>
    <row r="1657" spans="1:19" ht="14.25" customHeight="1" x14ac:dyDescent="0.2">
      <c r="A1657" s="1" t="s">
        <v>33</v>
      </c>
      <c r="B1657" s="7">
        <v>46096.086145833331</v>
      </c>
      <c r="C1657" s="7">
        <v>46096.107071759259</v>
      </c>
      <c r="D1657" s="8">
        <v>46096</v>
      </c>
      <c r="E1657" s="9">
        <v>0.10707175925927004</v>
      </c>
      <c r="F1657" s="10" t="s">
        <v>1899</v>
      </c>
      <c r="G1657" s="10" t="s">
        <v>21</v>
      </c>
      <c r="H1657" s="10" t="s">
        <v>22</v>
      </c>
      <c r="I1657" s="10" t="s">
        <v>23</v>
      </c>
      <c r="J1657" s="11">
        <v>0.83</v>
      </c>
      <c r="K1657" s="12"/>
      <c r="L1657" s="12"/>
      <c r="M1657" s="12"/>
      <c r="N1657" s="12"/>
      <c r="O1657" s="12"/>
      <c r="P1657" s="12"/>
      <c r="Q1657" s="12"/>
      <c r="R1657" s="12"/>
      <c r="S1657" s="12"/>
    </row>
    <row r="1658" spans="1:19" ht="14.25" customHeight="1" x14ac:dyDescent="0.2">
      <c r="A1658" s="1" t="s">
        <v>33</v>
      </c>
      <c r="B1658" s="7">
        <v>46096.086145833331</v>
      </c>
      <c r="C1658" s="7">
        <v>46096.115520833337</v>
      </c>
      <c r="D1658" s="8">
        <v>46096</v>
      </c>
      <c r="E1658" s="9">
        <v>0.11552083333663177</v>
      </c>
      <c r="F1658" s="10" t="s">
        <v>1900</v>
      </c>
      <c r="G1658" s="10" t="s">
        <v>21</v>
      </c>
      <c r="H1658" s="10" t="s">
        <v>41</v>
      </c>
      <c r="I1658" s="10" t="s">
        <v>23</v>
      </c>
      <c r="J1658" s="11">
        <v>1.77</v>
      </c>
      <c r="K1658" s="12"/>
      <c r="L1658" s="12"/>
      <c r="M1658" s="12"/>
      <c r="N1658" s="12"/>
      <c r="O1658" s="12"/>
      <c r="P1658" s="12"/>
      <c r="Q1658" s="12"/>
      <c r="R1658" s="12"/>
      <c r="S1658" s="12"/>
    </row>
    <row r="1659" spans="1:19" ht="14.25" customHeight="1" x14ac:dyDescent="0.2">
      <c r="A1659" s="1" t="s">
        <v>24</v>
      </c>
      <c r="B1659" s="7">
        <v>46096.101782407408</v>
      </c>
      <c r="C1659" s="7">
        <v>46096.117175925923</v>
      </c>
      <c r="D1659" s="8">
        <v>46096</v>
      </c>
      <c r="E1659" s="9">
        <v>0.11717592592322035</v>
      </c>
      <c r="F1659" s="10" t="s">
        <v>1901</v>
      </c>
      <c r="G1659" s="10" t="s">
        <v>21</v>
      </c>
      <c r="H1659" s="10" t="s">
        <v>101</v>
      </c>
      <c r="I1659" s="10" t="s">
        <v>23</v>
      </c>
      <c r="J1659" s="11">
        <v>1.7</v>
      </c>
      <c r="K1659" s="12"/>
      <c r="L1659" s="12"/>
      <c r="M1659" s="12"/>
      <c r="N1659" s="12"/>
      <c r="O1659" s="12"/>
      <c r="P1659" s="12"/>
      <c r="Q1659" s="12"/>
      <c r="R1659" s="12"/>
      <c r="S1659" s="12"/>
    </row>
    <row r="1660" spans="1:19" ht="14.25" customHeight="1" x14ac:dyDescent="0.2">
      <c r="A1660" s="1" t="s">
        <v>33</v>
      </c>
      <c r="B1660" s="7">
        <v>46096.107905092591</v>
      </c>
      <c r="C1660" s="7">
        <v>46096.121898148151</v>
      </c>
      <c r="D1660" s="8">
        <v>46096</v>
      </c>
      <c r="E1660" s="9">
        <v>0.12189814815064892</v>
      </c>
      <c r="F1660" s="10" t="s">
        <v>1902</v>
      </c>
      <c r="G1660" s="10" t="s">
        <v>21</v>
      </c>
      <c r="H1660" s="10" t="s">
        <v>41</v>
      </c>
      <c r="I1660" s="10" t="s">
        <v>23</v>
      </c>
      <c r="J1660" s="11">
        <v>1.77</v>
      </c>
      <c r="K1660" s="12"/>
      <c r="L1660" s="12"/>
      <c r="M1660" s="12"/>
      <c r="N1660" s="12"/>
      <c r="O1660" s="12"/>
      <c r="P1660" s="12"/>
      <c r="Q1660" s="12"/>
      <c r="R1660" s="12"/>
      <c r="S1660" s="12"/>
    </row>
    <row r="1661" spans="1:19" ht="14.25" customHeight="1" x14ac:dyDescent="0.2">
      <c r="A1661" s="1" t="s">
        <v>95</v>
      </c>
      <c r="B1661" s="7">
        <v>46096.110034722224</v>
      </c>
      <c r="C1661" s="7">
        <v>46096.126909722225</v>
      </c>
      <c r="D1661" s="8">
        <v>46096</v>
      </c>
      <c r="E1661" s="9">
        <v>0.12690972222480923</v>
      </c>
      <c r="F1661" s="10" t="s">
        <v>1903</v>
      </c>
      <c r="G1661" s="10" t="s">
        <v>21</v>
      </c>
      <c r="H1661" s="10" t="s">
        <v>110</v>
      </c>
      <c r="I1661" s="10" t="s">
        <v>23</v>
      </c>
      <c r="J1661" s="11">
        <v>0.83</v>
      </c>
      <c r="K1661" s="12">
        <f>SUM(J1661:J1688)</f>
        <v>31.06999999999999</v>
      </c>
      <c r="L1661" s="12">
        <f>SUM(J1661:J1669)</f>
        <v>11.8</v>
      </c>
      <c r="M1661" s="13">
        <f>L1661*65</f>
        <v>767</v>
      </c>
      <c r="N1661" s="14">
        <f>MAX(500,M1661)</f>
        <v>767</v>
      </c>
      <c r="O1661" s="12"/>
      <c r="P1661" s="12"/>
      <c r="Q1661" s="12"/>
      <c r="R1661" s="12"/>
      <c r="S1661" s="12"/>
    </row>
    <row r="1662" spans="1:19" ht="14.25" customHeight="1" x14ac:dyDescent="0.2">
      <c r="A1662" s="1" t="s">
        <v>24</v>
      </c>
      <c r="B1662" s="7">
        <v>46096.115381944444</v>
      </c>
      <c r="C1662" s="7">
        <v>46096.132604166669</v>
      </c>
      <c r="D1662" s="8">
        <v>46096</v>
      </c>
      <c r="E1662" s="9">
        <v>0.13260416666889796</v>
      </c>
      <c r="F1662" s="10" t="s">
        <v>1904</v>
      </c>
      <c r="G1662" s="10" t="s">
        <v>21</v>
      </c>
      <c r="H1662" s="10" t="s">
        <v>41</v>
      </c>
      <c r="I1662" s="10" t="s">
        <v>23</v>
      </c>
      <c r="J1662" s="11">
        <v>1.77</v>
      </c>
      <c r="K1662" s="12"/>
      <c r="L1662" s="12"/>
      <c r="M1662" s="12"/>
      <c r="N1662" s="12"/>
      <c r="O1662" s="12"/>
      <c r="P1662" s="12"/>
      <c r="Q1662" s="12"/>
      <c r="R1662" s="12"/>
      <c r="S1662" s="12"/>
    </row>
    <row r="1663" spans="1:19" ht="14.25" customHeight="1" x14ac:dyDescent="0.2">
      <c r="A1663" s="1" t="s">
        <v>95</v>
      </c>
      <c r="B1663" s="7">
        <v>46096.110034722224</v>
      </c>
      <c r="C1663" s="7">
        <v>46096.133726851855</v>
      </c>
      <c r="D1663" s="8">
        <v>46096</v>
      </c>
      <c r="E1663" s="9">
        <v>0.13372685185458977</v>
      </c>
      <c r="F1663" s="10" t="s">
        <v>1905</v>
      </c>
      <c r="G1663" s="10" t="s">
        <v>21</v>
      </c>
      <c r="H1663" s="10" t="s">
        <v>105</v>
      </c>
      <c r="I1663" s="10" t="s">
        <v>23</v>
      </c>
      <c r="J1663" s="11">
        <v>2.5</v>
      </c>
      <c r="K1663" s="12"/>
      <c r="L1663" s="12"/>
      <c r="M1663" s="12"/>
      <c r="N1663" s="12"/>
      <c r="O1663" s="12"/>
      <c r="P1663" s="12"/>
      <c r="Q1663" s="12"/>
      <c r="R1663" s="12"/>
      <c r="S1663" s="12"/>
    </row>
    <row r="1664" spans="1:19" ht="14.25" customHeight="1" x14ac:dyDescent="0.2">
      <c r="A1664" s="1" t="s">
        <v>42</v>
      </c>
      <c r="B1664" s="7">
        <v>46096.130740740744</v>
      </c>
      <c r="C1664" s="7">
        <v>46096.140833333331</v>
      </c>
      <c r="D1664" s="8">
        <v>46096</v>
      </c>
      <c r="E1664" s="9">
        <v>0.14083333333110204</v>
      </c>
      <c r="F1664" s="10" t="s">
        <v>1906</v>
      </c>
      <c r="G1664" s="10" t="s">
        <v>44</v>
      </c>
      <c r="H1664" s="10" t="s">
        <v>1907</v>
      </c>
      <c r="I1664" s="10" t="s">
        <v>23</v>
      </c>
      <c r="J1664" s="11">
        <v>0.37</v>
      </c>
      <c r="K1664" s="12"/>
      <c r="L1664" s="12"/>
      <c r="M1664" s="12"/>
      <c r="N1664" s="12"/>
      <c r="O1664" s="12"/>
      <c r="P1664" s="12"/>
      <c r="Q1664" s="12"/>
      <c r="R1664" s="12"/>
      <c r="S1664" s="12"/>
    </row>
    <row r="1665" spans="1:19" ht="14.25" customHeight="1" x14ac:dyDescent="0.2">
      <c r="A1665" s="1" t="s">
        <v>33</v>
      </c>
      <c r="B1665" s="7">
        <v>46096.133831018517</v>
      </c>
      <c r="C1665" s="7">
        <v>46096.148715277777</v>
      </c>
      <c r="D1665" s="8">
        <v>46096</v>
      </c>
      <c r="E1665" s="9">
        <v>0.14871527777722804</v>
      </c>
      <c r="F1665" s="10" t="s">
        <v>1908</v>
      </c>
      <c r="G1665" s="10" t="s">
        <v>21</v>
      </c>
      <c r="H1665" s="10" t="s">
        <v>41</v>
      </c>
      <c r="I1665" s="10" t="s">
        <v>23</v>
      </c>
      <c r="J1665" s="11">
        <v>1.77</v>
      </c>
      <c r="K1665" s="12"/>
      <c r="L1665" s="12"/>
      <c r="M1665" s="12"/>
      <c r="N1665" s="12"/>
      <c r="O1665" s="12"/>
      <c r="P1665" s="12"/>
      <c r="Q1665" s="12"/>
      <c r="R1665" s="12"/>
      <c r="S1665" s="12"/>
    </row>
    <row r="1666" spans="1:19" ht="14.25" customHeight="1" x14ac:dyDescent="0.2">
      <c r="A1666" s="1" t="s">
        <v>95</v>
      </c>
      <c r="B1666" s="7">
        <v>46096.136076388888</v>
      </c>
      <c r="C1666" s="7">
        <v>46096.152395833335</v>
      </c>
      <c r="D1666" s="8">
        <v>46096</v>
      </c>
      <c r="E1666" s="9">
        <v>0.1523958333345945</v>
      </c>
      <c r="F1666" s="10" t="s">
        <v>1909</v>
      </c>
      <c r="G1666" s="10" t="s">
        <v>21</v>
      </c>
      <c r="H1666" s="10" t="s">
        <v>110</v>
      </c>
      <c r="I1666" s="10" t="s">
        <v>23</v>
      </c>
      <c r="J1666" s="11">
        <v>0.83</v>
      </c>
      <c r="K1666" s="12"/>
      <c r="L1666" s="12"/>
      <c r="M1666" s="12"/>
      <c r="N1666" s="12"/>
      <c r="O1666" s="12"/>
      <c r="P1666" s="12"/>
      <c r="Q1666" s="12"/>
      <c r="R1666" s="12"/>
      <c r="S1666" s="12"/>
    </row>
    <row r="1667" spans="1:19" ht="14.25" customHeight="1" x14ac:dyDescent="0.2">
      <c r="A1667" s="1" t="s">
        <v>95</v>
      </c>
      <c r="B1667" s="7">
        <v>46096.136076388888</v>
      </c>
      <c r="C1667" s="7">
        <v>46096.152766203704</v>
      </c>
      <c r="D1667" s="8">
        <v>46096</v>
      </c>
      <c r="E1667" s="9">
        <v>0.15276620370423188</v>
      </c>
      <c r="F1667" s="10" t="s">
        <v>1910</v>
      </c>
      <c r="G1667" s="10" t="s">
        <v>21</v>
      </c>
      <c r="H1667" s="10" t="s">
        <v>52</v>
      </c>
      <c r="I1667" s="10" t="s">
        <v>23</v>
      </c>
      <c r="J1667" s="11">
        <v>0.98</v>
      </c>
      <c r="K1667" s="12"/>
      <c r="L1667" s="12"/>
      <c r="M1667" s="12"/>
      <c r="N1667" s="12"/>
      <c r="O1667" s="12"/>
      <c r="P1667" s="12"/>
      <c r="Q1667" s="12"/>
      <c r="R1667" s="12"/>
      <c r="S1667" s="12"/>
    </row>
    <row r="1668" spans="1:19" ht="14.25" customHeight="1" x14ac:dyDescent="0.2">
      <c r="A1668" s="1" t="s">
        <v>148</v>
      </c>
      <c r="B1668" s="7">
        <v>46096.141944444447</v>
      </c>
      <c r="C1668" s="7">
        <v>46096.160682870373</v>
      </c>
      <c r="D1668" s="8">
        <v>46096</v>
      </c>
      <c r="E1668" s="9">
        <v>0.16068287037342088</v>
      </c>
      <c r="F1668" s="10" t="s">
        <v>1911</v>
      </c>
      <c r="G1668" s="10" t="s">
        <v>21</v>
      </c>
      <c r="H1668" s="10" t="s">
        <v>515</v>
      </c>
      <c r="I1668" s="10" t="s">
        <v>23</v>
      </c>
      <c r="J1668" s="11">
        <v>0.98</v>
      </c>
      <c r="K1668" s="12"/>
      <c r="L1668" s="12"/>
      <c r="M1668" s="12"/>
      <c r="N1668" s="12"/>
      <c r="O1668" s="12"/>
      <c r="P1668" s="12"/>
      <c r="Q1668" s="12"/>
      <c r="R1668" s="12"/>
      <c r="S1668" s="12"/>
    </row>
    <row r="1669" spans="1:19" ht="14.25" customHeight="1" x14ac:dyDescent="0.2">
      <c r="A1669" s="1" t="s">
        <v>19</v>
      </c>
      <c r="B1669" s="7">
        <v>46096.145937499998</v>
      </c>
      <c r="C1669" s="7">
        <v>46096.164953703701</v>
      </c>
      <c r="D1669" s="8">
        <v>46096</v>
      </c>
      <c r="E1669" s="9">
        <v>0.16495370370103046</v>
      </c>
      <c r="F1669" s="10" t="s">
        <v>1912</v>
      </c>
      <c r="G1669" s="10" t="s">
        <v>21</v>
      </c>
      <c r="H1669" s="10" t="s">
        <v>41</v>
      </c>
      <c r="I1669" s="10" t="s">
        <v>23</v>
      </c>
      <c r="J1669" s="11">
        <v>1.77</v>
      </c>
      <c r="K1669" s="12"/>
      <c r="L1669" s="12"/>
      <c r="M1669" s="12"/>
      <c r="N1669" s="12"/>
      <c r="O1669" s="12"/>
      <c r="P1669" s="12"/>
      <c r="Q1669" s="12"/>
      <c r="R1669" s="12"/>
      <c r="S1669" s="12"/>
    </row>
    <row r="1670" spans="1:19" ht="14.25" customHeight="1" x14ac:dyDescent="0.2">
      <c r="A1670" s="1" t="s">
        <v>95</v>
      </c>
      <c r="B1670" s="7">
        <v>46096.153483796297</v>
      </c>
      <c r="C1670" s="7">
        <v>46096.174027777779</v>
      </c>
      <c r="D1670" s="8">
        <v>46096</v>
      </c>
      <c r="E1670" s="9">
        <v>0.17402777777897427</v>
      </c>
      <c r="F1670" s="10" t="s">
        <v>1913</v>
      </c>
      <c r="G1670" s="10" t="s">
        <v>21</v>
      </c>
      <c r="H1670" s="10" t="s">
        <v>154</v>
      </c>
      <c r="I1670" s="10" t="s">
        <v>23</v>
      </c>
      <c r="J1670" s="11">
        <v>1.77</v>
      </c>
      <c r="K1670" s="12"/>
      <c r="L1670" s="12">
        <f>SUM(J1670:J1677)</f>
        <v>9.2000000000000011</v>
      </c>
      <c r="M1670" s="13">
        <f>L1670*65</f>
        <v>598.00000000000011</v>
      </c>
      <c r="N1670" s="14">
        <f>MAX(500,M1670)</f>
        <v>598.00000000000011</v>
      </c>
      <c r="O1670" s="12"/>
      <c r="P1670" s="12"/>
      <c r="Q1670" s="12"/>
      <c r="R1670" s="12"/>
      <c r="S1670" s="12"/>
    </row>
    <row r="1671" spans="1:19" ht="14.25" customHeight="1" x14ac:dyDescent="0.2">
      <c r="A1671" s="1" t="s">
        <v>24</v>
      </c>
      <c r="B1671" s="7">
        <v>46096.161921296298</v>
      </c>
      <c r="C1671" s="7">
        <v>46096.174502314818</v>
      </c>
      <c r="D1671" s="8">
        <v>46096</v>
      </c>
      <c r="E1671" s="9">
        <v>0.17450231481780065</v>
      </c>
      <c r="F1671" s="10" t="s">
        <v>1914</v>
      </c>
      <c r="G1671" s="10" t="s">
        <v>21</v>
      </c>
      <c r="H1671" s="10" t="s">
        <v>1915</v>
      </c>
      <c r="I1671" s="10" t="s">
        <v>23</v>
      </c>
      <c r="J1671" s="11">
        <v>0.98</v>
      </c>
      <c r="K1671" s="12"/>
      <c r="L1671" s="12"/>
      <c r="M1671" s="12"/>
      <c r="N1671" s="12"/>
      <c r="O1671" s="12"/>
      <c r="P1671" s="12"/>
      <c r="Q1671" s="12"/>
      <c r="R1671" s="12"/>
      <c r="S1671" s="12"/>
    </row>
    <row r="1672" spans="1:19" ht="14.25" customHeight="1" x14ac:dyDescent="0.2">
      <c r="A1672" s="1" t="s">
        <v>24</v>
      </c>
      <c r="B1672" s="7">
        <v>46096.167245370372</v>
      </c>
      <c r="C1672" s="7">
        <v>46096.192557870374</v>
      </c>
      <c r="D1672" s="8">
        <v>46096</v>
      </c>
      <c r="E1672" s="9">
        <v>0.19255787037400296</v>
      </c>
      <c r="F1672" s="10" t="s">
        <v>1916</v>
      </c>
      <c r="G1672" s="10" t="s">
        <v>26</v>
      </c>
      <c r="H1672" s="10" t="s">
        <v>1367</v>
      </c>
      <c r="I1672" s="10" t="s">
        <v>23</v>
      </c>
      <c r="J1672" s="11">
        <v>0.49</v>
      </c>
      <c r="K1672" s="12"/>
      <c r="L1672" s="12"/>
      <c r="M1672" s="12"/>
      <c r="N1672" s="12"/>
      <c r="O1672" s="12"/>
      <c r="P1672" s="12"/>
      <c r="Q1672" s="12"/>
      <c r="R1672" s="12"/>
      <c r="S1672" s="12"/>
    </row>
    <row r="1673" spans="1:19" ht="14.25" customHeight="1" x14ac:dyDescent="0.2">
      <c r="A1673" s="1" t="s">
        <v>33</v>
      </c>
      <c r="B1673" s="7">
        <v>46096.159837962965</v>
      </c>
      <c r="C1673" s="7">
        <v>46096.193402777775</v>
      </c>
      <c r="D1673" s="8">
        <v>46096</v>
      </c>
      <c r="E1673" s="9">
        <v>0.19340277777519077</v>
      </c>
      <c r="F1673" s="10" t="s">
        <v>1917</v>
      </c>
      <c r="G1673" s="10" t="s">
        <v>21</v>
      </c>
      <c r="H1673" s="10" t="s">
        <v>22</v>
      </c>
      <c r="I1673" s="10" t="s">
        <v>23</v>
      </c>
      <c r="J1673" s="11">
        <v>0.83</v>
      </c>
      <c r="K1673" s="12"/>
      <c r="L1673" s="12"/>
      <c r="M1673" s="12"/>
      <c r="N1673" s="12"/>
      <c r="O1673" s="12"/>
      <c r="P1673" s="12"/>
      <c r="Q1673" s="12"/>
      <c r="R1673" s="12"/>
      <c r="S1673" s="12"/>
    </row>
    <row r="1674" spans="1:19" ht="14.25" customHeight="1" x14ac:dyDescent="0.2">
      <c r="A1674" s="1" t="s">
        <v>24</v>
      </c>
      <c r="B1674" s="7">
        <v>46096.172094907408</v>
      </c>
      <c r="C1674" s="7">
        <v>46096.194004629629</v>
      </c>
      <c r="D1674" s="8">
        <v>46096</v>
      </c>
      <c r="E1674" s="9">
        <v>0.1940046296294895</v>
      </c>
      <c r="F1674" s="10" t="s">
        <v>1918</v>
      </c>
      <c r="G1674" s="10" t="s">
        <v>21</v>
      </c>
      <c r="H1674" s="10" t="s">
        <v>101</v>
      </c>
      <c r="I1674" s="10" t="s">
        <v>23</v>
      </c>
      <c r="J1674" s="11">
        <v>1.7</v>
      </c>
      <c r="K1674" s="12"/>
      <c r="L1674" s="12"/>
      <c r="M1674" s="12"/>
      <c r="N1674" s="12"/>
      <c r="O1674" s="12"/>
      <c r="P1674" s="12"/>
      <c r="Q1674" s="12"/>
      <c r="R1674" s="12"/>
      <c r="S1674" s="12"/>
    </row>
    <row r="1675" spans="1:19" ht="14.25" customHeight="1" x14ac:dyDescent="0.2">
      <c r="A1675" s="1" t="s">
        <v>95</v>
      </c>
      <c r="B1675" s="7">
        <v>46096.186145833337</v>
      </c>
      <c r="C1675" s="7">
        <v>46096.194282407407</v>
      </c>
      <c r="D1675" s="8">
        <v>46096</v>
      </c>
      <c r="E1675" s="9">
        <v>0.19428240740671754</v>
      </c>
      <c r="F1675" s="10" t="s">
        <v>1919</v>
      </c>
      <c r="G1675" s="10" t="s">
        <v>21</v>
      </c>
      <c r="H1675" s="10" t="s">
        <v>110</v>
      </c>
      <c r="I1675" s="10" t="s">
        <v>23</v>
      </c>
      <c r="J1675" s="11">
        <v>0.83</v>
      </c>
      <c r="K1675" s="12"/>
      <c r="L1675" s="12"/>
      <c r="M1675" s="12"/>
      <c r="N1675" s="12"/>
      <c r="O1675" s="12"/>
      <c r="P1675" s="12"/>
      <c r="Q1675" s="12"/>
      <c r="R1675" s="12"/>
      <c r="S1675" s="12"/>
    </row>
    <row r="1676" spans="1:19" ht="14.25" customHeight="1" x14ac:dyDescent="0.2">
      <c r="A1676" s="1" t="s">
        <v>24</v>
      </c>
      <c r="B1676" s="7">
        <v>46096.185057870367</v>
      </c>
      <c r="C1676" s="7">
        <v>46096.194432870368</v>
      </c>
      <c r="D1676" s="8">
        <v>46096</v>
      </c>
      <c r="E1676" s="9">
        <v>0.19443287036847323</v>
      </c>
      <c r="F1676" s="10" t="s">
        <v>1920</v>
      </c>
      <c r="G1676" s="10" t="s">
        <v>21</v>
      </c>
      <c r="H1676" s="10" t="s">
        <v>22</v>
      </c>
      <c r="I1676" s="10" t="s">
        <v>23</v>
      </c>
      <c r="J1676" s="11">
        <v>0.83</v>
      </c>
      <c r="K1676" s="12"/>
      <c r="L1676" s="12"/>
      <c r="M1676" s="12"/>
      <c r="N1676" s="12"/>
      <c r="O1676" s="12"/>
      <c r="P1676" s="12"/>
      <c r="Q1676" s="12"/>
      <c r="R1676" s="12"/>
      <c r="S1676" s="12"/>
    </row>
    <row r="1677" spans="1:19" ht="14.25" customHeight="1" x14ac:dyDescent="0.2">
      <c r="A1677" s="1" t="s">
        <v>95</v>
      </c>
      <c r="B1677" s="7">
        <v>46096.17459490741</v>
      </c>
      <c r="C1677" s="7">
        <v>46096.197002314817</v>
      </c>
      <c r="D1677" s="8">
        <v>46096</v>
      </c>
      <c r="E1677" s="9">
        <v>0.19700231481692754</v>
      </c>
      <c r="F1677" s="10" t="s">
        <v>1921</v>
      </c>
      <c r="G1677" s="10" t="s">
        <v>21</v>
      </c>
      <c r="H1677" s="10" t="s">
        <v>154</v>
      </c>
      <c r="I1677" s="10" t="s">
        <v>23</v>
      </c>
      <c r="J1677" s="11">
        <v>1.77</v>
      </c>
      <c r="K1677" s="12"/>
      <c r="L1677" s="12"/>
      <c r="M1677" s="12"/>
      <c r="N1677" s="12"/>
      <c r="O1677" s="12"/>
      <c r="P1677" s="12"/>
      <c r="Q1677" s="12"/>
      <c r="R1677" s="12"/>
      <c r="S1677" s="12"/>
    </row>
    <row r="1678" spans="1:19" ht="14.25" customHeight="1" x14ac:dyDescent="0.2">
      <c r="A1678" s="1" t="s">
        <v>28</v>
      </c>
      <c r="B1678" s="7">
        <v>46096.204722222225</v>
      </c>
      <c r="C1678" s="7">
        <v>46096.215162037035</v>
      </c>
      <c r="D1678" s="8">
        <v>46096</v>
      </c>
      <c r="E1678" s="9">
        <v>0.21516203703504289</v>
      </c>
      <c r="F1678" s="10" t="s">
        <v>1922</v>
      </c>
      <c r="G1678" s="10" t="s">
        <v>21</v>
      </c>
      <c r="H1678" s="10" t="s">
        <v>101</v>
      </c>
      <c r="I1678" s="10" t="s">
        <v>23</v>
      </c>
      <c r="J1678" s="11">
        <v>1.7</v>
      </c>
      <c r="K1678" s="12"/>
      <c r="L1678" s="12">
        <f>SUM(J1678:J1688)</f>
        <v>10.069999999999999</v>
      </c>
      <c r="M1678" s="13">
        <f>L1678*65</f>
        <v>654.54999999999995</v>
      </c>
      <c r="N1678" s="14">
        <f>MAX(500,M1678)</f>
        <v>654.54999999999995</v>
      </c>
      <c r="O1678" s="12"/>
      <c r="P1678" s="12"/>
      <c r="Q1678" s="12"/>
      <c r="R1678" s="12"/>
      <c r="S1678" s="12"/>
    </row>
    <row r="1679" spans="1:19" ht="14.25" customHeight="1" x14ac:dyDescent="0.2">
      <c r="A1679" s="1" t="s">
        <v>95</v>
      </c>
      <c r="B1679" s="7">
        <v>46096.187719907408</v>
      </c>
      <c r="C1679" s="7">
        <v>46096.215358796297</v>
      </c>
      <c r="D1679" s="8">
        <v>46096</v>
      </c>
      <c r="E1679" s="9">
        <v>0.21535879629664123</v>
      </c>
      <c r="F1679" s="10" t="s">
        <v>1923</v>
      </c>
      <c r="G1679" s="10" t="s">
        <v>21</v>
      </c>
      <c r="H1679" s="10" t="s">
        <v>110</v>
      </c>
      <c r="I1679" s="10" t="s">
        <v>23</v>
      </c>
      <c r="J1679" s="11">
        <v>0.83</v>
      </c>
      <c r="K1679" s="12"/>
      <c r="L1679" s="12"/>
      <c r="M1679" s="12"/>
      <c r="N1679" s="12"/>
      <c r="O1679" s="12"/>
      <c r="P1679" s="12"/>
      <c r="Q1679" s="12"/>
      <c r="R1679" s="12"/>
      <c r="S1679" s="12"/>
    </row>
    <row r="1680" spans="1:19" ht="14.25" customHeight="1" x14ac:dyDescent="0.2">
      <c r="A1680" s="1" t="s">
        <v>95</v>
      </c>
      <c r="B1680" s="7">
        <v>46096.187835648147</v>
      </c>
      <c r="C1680" s="7">
        <v>46096.215520833335</v>
      </c>
      <c r="D1680" s="8">
        <v>46096</v>
      </c>
      <c r="E1680" s="9">
        <v>0.21552083333517658</v>
      </c>
      <c r="F1680" s="10" t="s">
        <v>1924</v>
      </c>
      <c r="G1680" s="10" t="s">
        <v>21</v>
      </c>
      <c r="H1680" s="10" t="s">
        <v>52</v>
      </c>
      <c r="I1680" s="10" t="s">
        <v>23</v>
      </c>
      <c r="J1680" s="11">
        <v>0.98</v>
      </c>
      <c r="K1680" s="12"/>
      <c r="L1680" s="12"/>
      <c r="M1680" s="12"/>
      <c r="N1680" s="12"/>
      <c r="O1680" s="12"/>
      <c r="P1680" s="12"/>
      <c r="Q1680" s="12"/>
      <c r="R1680" s="12"/>
      <c r="S1680" s="12"/>
    </row>
    <row r="1681" spans="1:19" ht="14.25" customHeight="1" x14ac:dyDescent="0.2">
      <c r="A1681" s="1" t="s">
        <v>95</v>
      </c>
      <c r="B1681" s="7">
        <v>46096.214872685188</v>
      </c>
      <c r="C1681" s="7">
        <v>46096.219768518517</v>
      </c>
      <c r="D1681" s="8">
        <v>46096</v>
      </c>
      <c r="E1681" s="9">
        <v>0.21976851851650281</v>
      </c>
      <c r="F1681" s="10" t="s">
        <v>1925</v>
      </c>
      <c r="G1681" s="10" t="s">
        <v>21</v>
      </c>
      <c r="H1681" s="10" t="s">
        <v>52</v>
      </c>
      <c r="I1681" s="10" t="s">
        <v>23</v>
      </c>
      <c r="J1681" s="11">
        <v>0.98</v>
      </c>
      <c r="K1681" s="12"/>
      <c r="L1681" s="12"/>
      <c r="M1681" s="12"/>
      <c r="N1681" s="12"/>
      <c r="O1681" s="12"/>
      <c r="P1681" s="12"/>
      <c r="Q1681" s="12"/>
      <c r="R1681" s="12"/>
      <c r="S1681" s="12"/>
    </row>
    <row r="1682" spans="1:19" ht="14.25" customHeight="1" x14ac:dyDescent="0.2">
      <c r="A1682" s="1" t="s">
        <v>24</v>
      </c>
      <c r="B1682" s="7">
        <v>46096.204895833333</v>
      </c>
      <c r="C1682" s="7">
        <v>46096.220104166663</v>
      </c>
      <c r="D1682" s="8">
        <v>46096</v>
      </c>
      <c r="E1682" s="9">
        <v>0.22010416666307719</v>
      </c>
      <c r="F1682" s="10" t="s">
        <v>1926</v>
      </c>
      <c r="G1682" s="10" t="s">
        <v>26</v>
      </c>
      <c r="H1682" s="10" t="s">
        <v>86</v>
      </c>
      <c r="I1682" s="10" t="s">
        <v>23</v>
      </c>
      <c r="J1682" s="11">
        <v>0.88</v>
      </c>
      <c r="K1682" s="12"/>
      <c r="L1682" s="12"/>
      <c r="M1682" s="12"/>
      <c r="N1682" s="12"/>
      <c r="O1682" s="12"/>
      <c r="P1682" s="12"/>
      <c r="Q1682" s="12"/>
      <c r="R1682" s="12"/>
      <c r="S1682" s="12"/>
    </row>
    <row r="1683" spans="1:19" ht="14.25" customHeight="1" x14ac:dyDescent="0.2">
      <c r="A1683" s="1" t="s">
        <v>95</v>
      </c>
      <c r="B1683" s="7">
        <v>46096.212847222225</v>
      </c>
      <c r="C1683" s="7">
        <v>46096.220300925925</v>
      </c>
      <c r="D1683" s="8">
        <v>46096</v>
      </c>
      <c r="E1683" s="9">
        <v>0.22030092592467554</v>
      </c>
      <c r="F1683" s="10" t="s">
        <v>1927</v>
      </c>
      <c r="G1683" s="10" t="s">
        <v>21</v>
      </c>
      <c r="H1683" s="10" t="s">
        <v>110</v>
      </c>
      <c r="I1683" s="10" t="s">
        <v>23</v>
      </c>
      <c r="J1683" s="11">
        <v>0.83</v>
      </c>
      <c r="K1683" s="12"/>
      <c r="L1683" s="12"/>
      <c r="M1683" s="12"/>
      <c r="N1683" s="12"/>
      <c r="O1683" s="12"/>
      <c r="P1683" s="12"/>
      <c r="Q1683" s="12"/>
      <c r="R1683" s="12"/>
      <c r="S1683" s="12"/>
    </row>
    <row r="1684" spans="1:19" ht="14.25" customHeight="1" x14ac:dyDescent="0.2">
      <c r="A1684" s="1" t="s">
        <v>95</v>
      </c>
      <c r="B1684" s="7">
        <v>46096.191701388889</v>
      </c>
      <c r="C1684" s="7">
        <v>46096.221076388887</v>
      </c>
      <c r="D1684" s="8">
        <v>46096</v>
      </c>
      <c r="E1684" s="9">
        <v>0.22107638888701331</v>
      </c>
      <c r="F1684" s="10" t="s">
        <v>1928</v>
      </c>
      <c r="G1684" s="10" t="s">
        <v>21</v>
      </c>
      <c r="H1684" s="10" t="s">
        <v>105</v>
      </c>
      <c r="I1684" s="10" t="s">
        <v>23</v>
      </c>
      <c r="J1684" s="11">
        <v>2.5</v>
      </c>
      <c r="K1684" s="12"/>
      <c r="L1684" s="12"/>
      <c r="M1684" s="12"/>
      <c r="N1684" s="12"/>
      <c r="O1684" s="12"/>
      <c r="P1684" s="12"/>
      <c r="Q1684" s="12"/>
      <c r="R1684" s="12"/>
      <c r="S1684" s="12"/>
    </row>
    <row r="1685" spans="1:19" ht="14.25" customHeight="1" x14ac:dyDescent="0.2">
      <c r="A1685" s="1" t="s">
        <v>33</v>
      </c>
      <c r="B1685" s="7">
        <v>46096.212384259263</v>
      </c>
      <c r="C1685" s="7">
        <v>46096.227581018517</v>
      </c>
      <c r="D1685" s="8">
        <v>46096</v>
      </c>
      <c r="E1685" s="9">
        <v>0.22758101851650281</v>
      </c>
      <c r="F1685" s="10" t="s">
        <v>1929</v>
      </c>
      <c r="G1685" s="10" t="s">
        <v>21</v>
      </c>
      <c r="H1685" s="10" t="s">
        <v>22</v>
      </c>
      <c r="I1685" s="10" t="s">
        <v>23</v>
      </c>
      <c r="J1685" s="11">
        <v>0.83</v>
      </c>
      <c r="K1685" s="12"/>
      <c r="L1685" s="12"/>
      <c r="M1685" s="12"/>
      <c r="N1685" s="12"/>
      <c r="O1685" s="12"/>
      <c r="P1685" s="12"/>
      <c r="Q1685" s="12"/>
      <c r="R1685" s="12"/>
      <c r="S1685" s="12"/>
    </row>
    <row r="1686" spans="1:19" ht="14.25" customHeight="1" x14ac:dyDescent="0.2">
      <c r="A1686" s="1" t="s">
        <v>42</v>
      </c>
      <c r="B1686" s="7">
        <v>46096.204872685186</v>
      </c>
      <c r="C1686" s="7">
        <v>46096.236458333333</v>
      </c>
      <c r="D1686" s="8">
        <v>46096</v>
      </c>
      <c r="E1686" s="9">
        <v>0.23645833333284827</v>
      </c>
      <c r="F1686" s="10" t="s">
        <v>1930</v>
      </c>
      <c r="G1686" s="10" t="s">
        <v>44</v>
      </c>
      <c r="H1686" s="10" t="s">
        <v>50</v>
      </c>
      <c r="I1686" s="10" t="s">
        <v>23</v>
      </c>
      <c r="J1686" s="11">
        <v>0.18</v>
      </c>
      <c r="K1686" s="12"/>
      <c r="L1686" s="12"/>
      <c r="M1686" s="12"/>
      <c r="N1686" s="12"/>
      <c r="O1686" s="12"/>
      <c r="P1686" s="12"/>
      <c r="Q1686" s="12"/>
      <c r="R1686" s="12"/>
      <c r="S1686" s="12"/>
    </row>
    <row r="1687" spans="1:19" ht="14.25" customHeight="1" x14ac:dyDescent="0.2">
      <c r="A1687" s="1" t="s">
        <v>42</v>
      </c>
      <c r="B1687" s="7">
        <v>46096.209710648145</v>
      </c>
      <c r="C1687" s="7">
        <v>46096.237083333333</v>
      </c>
      <c r="D1687" s="8">
        <v>46096</v>
      </c>
      <c r="E1687" s="9">
        <v>0.23708333333343035</v>
      </c>
      <c r="F1687" s="10" t="s">
        <v>1931</v>
      </c>
      <c r="G1687" s="10" t="s">
        <v>44</v>
      </c>
      <c r="H1687" s="10" t="s">
        <v>50</v>
      </c>
      <c r="I1687" s="10" t="s">
        <v>23</v>
      </c>
      <c r="J1687" s="11">
        <v>0.18</v>
      </c>
      <c r="K1687" s="12"/>
      <c r="L1687" s="12"/>
      <c r="M1687" s="12"/>
      <c r="N1687" s="12"/>
      <c r="O1687" s="12"/>
      <c r="P1687" s="12"/>
      <c r="Q1687" s="12"/>
      <c r="R1687" s="12"/>
      <c r="S1687" s="12"/>
    </row>
    <row r="1688" spans="1:19" ht="14.25" customHeight="1" x14ac:dyDescent="0.2">
      <c r="A1688" s="1" t="s">
        <v>42</v>
      </c>
      <c r="B1688" s="7">
        <v>46096.214571759258</v>
      </c>
      <c r="C1688" s="7">
        <v>46096.238229166665</v>
      </c>
      <c r="D1688" s="8">
        <v>46096</v>
      </c>
      <c r="E1688" s="9">
        <v>0.2382291666654055</v>
      </c>
      <c r="F1688" s="10" t="s">
        <v>1932</v>
      </c>
      <c r="G1688" s="10" t="s">
        <v>44</v>
      </c>
      <c r="H1688" s="10" t="s">
        <v>50</v>
      </c>
      <c r="I1688" s="10" t="s">
        <v>23</v>
      </c>
      <c r="J1688" s="11">
        <v>0.18</v>
      </c>
      <c r="K1688" s="12"/>
      <c r="L1688" s="12"/>
      <c r="M1688" s="12"/>
      <c r="N1688" s="12"/>
      <c r="O1688" s="12"/>
      <c r="P1688" s="12"/>
      <c r="Q1688" s="12"/>
      <c r="R1688" s="12"/>
      <c r="S1688" s="12"/>
    </row>
    <row r="1689" spans="1:19" ht="14.25" customHeight="1" x14ac:dyDescent="0.2">
      <c r="A1689" s="1" t="s">
        <v>42</v>
      </c>
      <c r="B1689" s="7">
        <v>46096.858391203707</v>
      </c>
      <c r="C1689" s="7">
        <v>46096.887384259258</v>
      </c>
      <c r="D1689" s="8">
        <v>46096</v>
      </c>
      <c r="E1689" s="9">
        <v>0.88738425925839692</v>
      </c>
      <c r="F1689" s="10" t="s">
        <v>1933</v>
      </c>
      <c r="G1689" s="10" t="s">
        <v>26</v>
      </c>
      <c r="H1689" s="10" t="s">
        <v>56</v>
      </c>
      <c r="I1689" s="10" t="s">
        <v>23</v>
      </c>
      <c r="J1689" s="11">
        <v>0.73</v>
      </c>
      <c r="K1689" s="11">
        <f>SUM(J1689,J1691,J1692,J1693,J1694,J1695,J1697:J1702,J1706,J1708:J1713,J1715,J1718,J1720,J1722,J1724,J1726:J1735,J1737,J1738,J1739,J1740,J1742:J1743,J1745:J1749,J1751:J1756,J1758,J1759:J1768,J1771,J1772,J1773,J1774,J1775)</f>
        <v>81.850000000000009</v>
      </c>
      <c r="L1689" s="12">
        <f>SUM(J1689:J1706)</f>
        <v>18.099999999999998</v>
      </c>
      <c r="M1689" s="13">
        <f>L1689*65</f>
        <v>1176.4999999999998</v>
      </c>
      <c r="N1689" s="14">
        <f>MAX(500,M1689)</f>
        <v>1176.4999999999998</v>
      </c>
      <c r="O1689" s="12"/>
      <c r="P1689" s="12"/>
      <c r="Q1689" s="12"/>
      <c r="R1689" s="12"/>
      <c r="S1689" s="12"/>
    </row>
    <row r="1690" spans="1:19" ht="14.25" customHeight="1" x14ac:dyDescent="0.2">
      <c r="A1690" s="1" t="s">
        <v>19</v>
      </c>
      <c r="B1690" s="19">
        <v>46096.871736111112</v>
      </c>
      <c r="C1690" s="19">
        <v>46096.893275462964</v>
      </c>
      <c r="D1690" s="20">
        <v>46096</v>
      </c>
      <c r="E1690" s="21">
        <v>0.893275462964084</v>
      </c>
      <c r="F1690" s="1" t="s">
        <v>1934</v>
      </c>
      <c r="G1690" s="1" t="s">
        <v>21</v>
      </c>
      <c r="H1690" s="1" t="s">
        <v>52</v>
      </c>
      <c r="I1690" s="1" t="s">
        <v>166</v>
      </c>
      <c r="J1690" s="12">
        <v>0.98</v>
      </c>
      <c r="K1690" s="12">
        <f>SUM(J1690,J1696,J1703,J1704,J1705,J1707,J1714,J1716,J1717,J1719,J1721,J1723,J1725,J1736,J1741,J1744,J1750,J1757,J1759,J1769,J1770,J1776)</f>
        <v>27.169999999999995</v>
      </c>
      <c r="L1690" s="12"/>
      <c r="M1690" s="12"/>
      <c r="N1690" s="12"/>
      <c r="O1690" s="12"/>
      <c r="P1690" s="12"/>
      <c r="Q1690" s="12"/>
      <c r="R1690" s="12"/>
      <c r="S1690" s="12"/>
    </row>
    <row r="1691" spans="1:19" ht="14.25" customHeight="1" x14ac:dyDescent="0.2">
      <c r="A1691" s="1" t="s">
        <v>24</v>
      </c>
      <c r="B1691" s="7">
        <v>46096.865844907406</v>
      </c>
      <c r="C1691" s="7">
        <v>46096.894942129627</v>
      </c>
      <c r="D1691" s="8">
        <v>46096</v>
      </c>
      <c r="E1691" s="9">
        <v>0.89494212962745223</v>
      </c>
      <c r="F1691" s="10" t="s">
        <v>1935</v>
      </c>
      <c r="G1691" s="10" t="s">
        <v>21</v>
      </c>
      <c r="H1691" s="10" t="s">
        <v>41</v>
      </c>
      <c r="I1691" s="10" t="s">
        <v>23</v>
      </c>
      <c r="J1691" s="11">
        <v>1.77</v>
      </c>
      <c r="K1691" s="12"/>
      <c r="L1691" s="12"/>
      <c r="M1691" s="12"/>
      <c r="N1691" s="12"/>
      <c r="O1691" s="12"/>
      <c r="P1691" s="12"/>
      <c r="Q1691" s="12"/>
      <c r="R1691" s="12"/>
      <c r="S1691" s="12"/>
    </row>
    <row r="1692" spans="1:19" ht="14.25" customHeight="1" x14ac:dyDescent="0.2">
      <c r="A1692" s="1" t="s">
        <v>28</v>
      </c>
      <c r="B1692" s="7">
        <v>46096.881111111114</v>
      </c>
      <c r="C1692" s="7">
        <v>46096.895289351851</v>
      </c>
      <c r="D1692" s="8">
        <v>46096</v>
      </c>
      <c r="E1692" s="9">
        <v>0.89528935185080627</v>
      </c>
      <c r="F1692" s="10" t="s">
        <v>1936</v>
      </c>
      <c r="G1692" s="10" t="s">
        <v>21</v>
      </c>
      <c r="H1692" s="10" t="s">
        <v>22</v>
      </c>
      <c r="I1692" s="10" t="s">
        <v>23</v>
      </c>
      <c r="J1692" s="11">
        <v>0.83</v>
      </c>
      <c r="K1692" s="12"/>
      <c r="L1692" s="12"/>
      <c r="M1692" s="12"/>
      <c r="N1692" s="12"/>
      <c r="O1692" s="12"/>
      <c r="P1692" s="12"/>
      <c r="Q1692" s="12"/>
      <c r="R1692" s="12"/>
      <c r="S1692" s="12"/>
    </row>
    <row r="1693" spans="1:19" ht="14.25" customHeight="1" x14ac:dyDescent="0.2">
      <c r="A1693" s="1" t="s">
        <v>19</v>
      </c>
      <c r="B1693" s="7">
        <v>46096.877800925926</v>
      </c>
      <c r="C1693" s="7">
        <v>46096.895613425928</v>
      </c>
      <c r="D1693" s="8">
        <v>46096</v>
      </c>
      <c r="E1693" s="9">
        <v>0.89561342592787696</v>
      </c>
      <c r="F1693" s="10" t="s">
        <v>1937</v>
      </c>
      <c r="G1693" s="10" t="s">
        <v>21</v>
      </c>
      <c r="H1693" s="10" t="s">
        <v>22</v>
      </c>
      <c r="I1693" s="10" t="s">
        <v>23</v>
      </c>
      <c r="J1693" s="11">
        <v>0.83</v>
      </c>
      <c r="K1693" s="12"/>
      <c r="L1693" s="12"/>
      <c r="M1693" s="12"/>
      <c r="N1693" s="12"/>
      <c r="O1693" s="12"/>
      <c r="P1693" s="12"/>
      <c r="Q1693" s="12"/>
      <c r="R1693" s="12"/>
      <c r="S1693" s="12"/>
    </row>
    <row r="1694" spans="1:19" ht="14.25" customHeight="1" x14ac:dyDescent="0.2">
      <c r="A1694" s="1" t="s">
        <v>42</v>
      </c>
      <c r="B1694" s="7">
        <v>46096.878263888888</v>
      </c>
      <c r="C1694" s="7">
        <v>46096.896516203706</v>
      </c>
      <c r="D1694" s="8">
        <v>46096</v>
      </c>
      <c r="E1694" s="9">
        <v>0.89651620370568708</v>
      </c>
      <c r="F1694" s="10" t="s">
        <v>1938</v>
      </c>
      <c r="G1694" s="10" t="s">
        <v>21</v>
      </c>
      <c r="H1694" s="10" t="s">
        <v>97</v>
      </c>
      <c r="I1694" s="10" t="s">
        <v>23</v>
      </c>
      <c r="J1694" s="11">
        <v>1.77</v>
      </c>
      <c r="K1694" s="12"/>
      <c r="L1694" s="12"/>
      <c r="M1694" s="12"/>
      <c r="N1694" s="12"/>
      <c r="O1694" s="12"/>
      <c r="P1694" s="12"/>
      <c r="Q1694" s="12"/>
      <c r="R1694" s="12"/>
      <c r="S1694" s="12"/>
    </row>
    <row r="1695" spans="1:19" ht="14.25" customHeight="1" x14ac:dyDescent="0.2">
      <c r="A1695" s="1" t="s">
        <v>42</v>
      </c>
      <c r="B1695" s="7">
        <v>46096.881585648145</v>
      </c>
      <c r="C1695" s="7">
        <v>46096.896944444445</v>
      </c>
      <c r="D1695" s="8">
        <v>46096</v>
      </c>
      <c r="E1695" s="9">
        <v>0.89694444444467081</v>
      </c>
      <c r="F1695" s="10" t="s">
        <v>1939</v>
      </c>
      <c r="G1695" s="10" t="s">
        <v>26</v>
      </c>
      <c r="H1695" s="10" t="s">
        <v>125</v>
      </c>
      <c r="I1695" s="10" t="s">
        <v>23</v>
      </c>
      <c r="J1695" s="11">
        <v>0.63</v>
      </c>
      <c r="K1695" s="12"/>
      <c r="L1695" s="12"/>
      <c r="M1695" s="12"/>
      <c r="N1695" s="12"/>
      <c r="O1695" s="12"/>
      <c r="P1695" s="12"/>
      <c r="Q1695" s="12"/>
      <c r="R1695" s="12"/>
      <c r="S1695" s="12"/>
    </row>
    <row r="1696" spans="1:19" ht="14.25" customHeight="1" x14ac:dyDescent="0.2">
      <c r="A1696" s="1" t="s">
        <v>57</v>
      </c>
      <c r="B1696" s="19">
        <v>46096.86996527778</v>
      </c>
      <c r="C1696" s="19">
        <v>46096.899467592593</v>
      </c>
      <c r="D1696" s="20">
        <v>46096</v>
      </c>
      <c r="E1696" s="21">
        <v>0.89946759259328246</v>
      </c>
      <c r="F1696" s="1" t="s">
        <v>1940</v>
      </c>
      <c r="G1696" s="1" t="s">
        <v>21</v>
      </c>
      <c r="H1696" s="1" t="s">
        <v>913</v>
      </c>
      <c r="I1696" s="1" t="s">
        <v>166</v>
      </c>
      <c r="J1696" s="12">
        <v>0.83</v>
      </c>
      <c r="K1696" s="12"/>
      <c r="L1696" s="12"/>
      <c r="M1696" s="12"/>
      <c r="N1696" s="12"/>
      <c r="O1696" s="12"/>
      <c r="P1696" s="12"/>
      <c r="Q1696" s="12"/>
      <c r="R1696" s="12"/>
      <c r="S1696" s="12"/>
    </row>
    <row r="1697" spans="1:19" ht="14.25" customHeight="1" x14ac:dyDescent="0.2">
      <c r="A1697" s="1" t="s">
        <v>42</v>
      </c>
      <c r="B1697" s="7">
        <v>46096.870069444441</v>
      </c>
      <c r="C1697" s="7">
        <v>46096.900706018518</v>
      </c>
      <c r="D1697" s="8">
        <v>46096</v>
      </c>
      <c r="E1697" s="9">
        <v>0.90070601851766696</v>
      </c>
      <c r="F1697" s="10" t="s">
        <v>1941</v>
      </c>
      <c r="G1697" s="10" t="s">
        <v>26</v>
      </c>
      <c r="H1697" s="10" t="s">
        <v>172</v>
      </c>
      <c r="I1697" s="10" t="s">
        <v>23</v>
      </c>
      <c r="J1697" s="11">
        <v>0.67</v>
      </c>
      <c r="K1697" s="12"/>
      <c r="L1697" s="12"/>
      <c r="M1697" s="12"/>
      <c r="N1697" s="12"/>
      <c r="O1697" s="12"/>
      <c r="P1697" s="12"/>
      <c r="Q1697" s="12"/>
      <c r="R1697" s="12"/>
      <c r="S1697" s="12"/>
    </row>
    <row r="1698" spans="1:19" ht="14.25" customHeight="1" x14ac:dyDescent="0.2">
      <c r="A1698" s="1" t="s">
        <v>28</v>
      </c>
      <c r="B1698" s="7">
        <v>46096.884201388886</v>
      </c>
      <c r="C1698" s="7">
        <v>46096.901875000003</v>
      </c>
      <c r="D1698" s="8">
        <v>46096</v>
      </c>
      <c r="E1698" s="9">
        <v>0.90187500000320142</v>
      </c>
      <c r="F1698" s="10" t="s">
        <v>1942</v>
      </c>
      <c r="G1698" s="10" t="s">
        <v>26</v>
      </c>
      <c r="H1698" s="10" t="s">
        <v>128</v>
      </c>
      <c r="I1698" s="10" t="s">
        <v>23</v>
      </c>
      <c r="J1698" s="11">
        <v>0.97</v>
      </c>
      <c r="K1698" s="12"/>
      <c r="L1698" s="12"/>
      <c r="M1698" s="12"/>
      <c r="N1698" s="12"/>
      <c r="O1698" s="12"/>
      <c r="P1698" s="12"/>
      <c r="Q1698" s="12"/>
      <c r="R1698" s="12"/>
      <c r="S1698" s="12"/>
    </row>
    <row r="1699" spans="1:19" ht="14.25" customHeight="1" x14ac:dyDescent="0.2">
      <c r="A1699" s="1" t="s">
        <v>19</v>
      </c>
      <c r="B1699" s="7">
        <v>46096.887916666667</v>
      </c>
      <c r="C1699" s="7">
        <v>46096.902291666665</v>
      </c>
      <c r="D1699" s="8">
        <v>46096</v>
      </c>
      <c r="E1699" s="9">
        <v>0.9022916666654055</v>
      </c>
      <c r="F1699" s="10" t="s">
        <v>1943</v>
      </c>
      <c r="G1699" s="10" t="s">
        <v>21</v>
      </c>
      <c r="H1699" s="10" t="s">
        <v>467</v>
      </c>
      <c r="I1699" s="10" t="s">
        <v>23</v>
      </c>
      <c r="J1699" s="11">
        <v>2.75</v>
      </c>
      <c r="K1699" s="12"/>
      <c r="L1699" s="12"/>
      <c r="M1699" s="12"/>
      <c r="N1699" s="12"/>
      <c r="O1699" s="12"/>
      <c r="P1699" s="12"/>
      <c r="Q1699" s="12"/>
      <c r="R1699" s="12"/>
      <c r="S1699" s="12"/>
    </row>
    <row r="1700" spans="1:19" ht="14.25" customHeight="1" x14ac:dyDescent="0.2">
      <c r="A1700" s="1" t="s">
        <v>19</v>
      </c>
      <c r="B1700" s="7">
        <v>46096.884641203702</v>
      </c>
      <c r="C1700" s="7">
        <v>46096.902453703704</v>
      </c>
      <c r="D1700" s="8">
        <v>46096</v>
      </c>
      <c r="E1700" s="9">
        <v>0.90245370370394085</v>
      </c>
      <c r="F1700" s="10" t="s">
        <v>1944</v>
      </c>
      <c r="G1700" s="10" t="s">
        <v>21</v>
      </c>
      <c r="H1700" s="10" t="s">
        <v>52</v>
      </c>
      <c r="I1700" s="10" t="s">
        <v>23</v>
      </c>
      <c r="J1700" s="11">
        <v>0.98</v>
      </c>
      <c r="K1700" s="12"/>
      <c r="L1700" s="12"/>
      <c r="M1700" s="12"/>
      <c r="N1700" s="12"/>
      <c r="O1700" s="12"/>
      <c r="P1700" s="12"/>
      <c r="Q1700" s="12"/>
      <c r="R1700" s="12"/>
      <c r="S1700" s="12"/>
    </row>
    <row r="1701" spans="1:19" ht="14.25" customHeight="1" x14ac:dyDescent="0.2">
      <c r="A1701" s="1" t="s">
        <v>24</v>
      </c>
      <c r="B1701" s="7">
        <v>46096.858113425929</v>
      </c>
      <c r="C1701" s="7">
        <v>46096.902812499997</v>
      </c>
      <c r="D1701" s="8">
        <v>46096</v>
      </c>
      <c r="E1701" s="9">
        <v>0.90281249999679858</v>
      </c>
      <c r="F1701" s="10" t="s">
        <v>1945</v>
      </c>
      <c r="G1701" s="10" t="s">
        <v>26</v>
      </c>
      <c r="H1701" s="10" t="s">
        <v>948</v>
      </c>
      <c r="I1701" s="10" t="s">
        <v>23</v>
      </c>
      <c r="J1701" s="11">
        <v>0.75</v>
      </c>
      <c r="K1701" s="12"/>
      <c r="L1701" s="12"/>
      <c r="M1701" s="12"/>
      <c r="N1701" s="12"/>
      <c r="O1701" s="12"/>
      <c r="P1701" s="12"/>
      <c r="Q1701" s="12"/>
      <c r="R1701" s="12"/>
      <c r="S1701" s="12"/>
    </row>
    <row r="1702" spans="1:19" ht="14.25" customHeight="1" x14ac:dyDescent="0.2">
      <c r="A1702" s="1" t="s">
        <v>33</v>
      </c>
      <c r="B1702" s="7">
        <v>46096.883634259262</v>
      </c>
      <c r="C1702" s="7">
        <v>46096.903252314813</v>
      </c>
      <c r="D1702" s="8">
        <v>46096</v>
      </c>
      <c r="E1702" s="9">
        <v>0.90325231481256196</v>
      </c>
      <c r="F1702" s="10" t="s">
        <v>1946</v>
      </c>
      <c r="G1702" s="10" t="s">
        <v>44</v>
      </c>
      <c r="H1702" s="10" t="s">
        <v>185</v>
      </c>
      <c r="I1702" s="10" t="s">
        <v>23</v>
      </c>
      <c r="J1702" s="11">
        <v>0.18</v>
      </c>
      <c r="K1702" s="12"/>
      <c r="L1702" s="12"/>
      <c r="M1702" s="12"/>
      <c r="N1702" s="12"/>
      <c r="O1702" s="12"/>
      <c r="P1702" s="12"/>
      <c r="Q1702" s="12"/>
      <c r="R1702" s="12"/>
      <c r="S1702" s="12"/>
    </row>
    <row r="1703" spans="1:19" ht="14.25" customHeight="1" x14ac:dyDescent="0.2">
      <c r="A1703" s="1" t="s">
        <v>19</v>
      </c>
      <c r="B1703" s="19">
        <v>46096.884629629632</v>
      </c>
      <c r="C1703" s="19">
        <v>46096.904363425929</v>
      </c>
      <c r="D1703" s="20">
        <v>46096</v>
      </c>
      <c r="E1703" s="21">
        <v>0.90436342592875008</v>
      </c>
      <c r="F1703" s="1" t="s">
        <v>1947</v>
      </c>
      <c r="G1703" s="1" t="s">
        <v>21</v>
      </c>
      <c r="H1703" s="1" t="s">
        <v>22</v>
      </c>
      <c r="I1703" s="1" t="s">
        <v>166</v>
      </c>
      <c r="J1703" s="12">
        <v>0.83</v>
      </c>
      <c r="K1703" s="12"/>
      <c r="L1703" s="12"/>
      <c r="M1703" s="12"/>
      <c r="N1703" s="12"/>
      <c r="O1703" s="12"/>
      <c r="P1703" s="12"/>
      <c r="Q1703" s="12"/>
      <c r="R1703" s="12"/>
      <c r="S1703" s="12"/>
    </row>
    <row r="1704" spans="1:19" ht="14.25" customHeight="1" x14ac:dyDescent="0.2">
      <c r="A1704" s="1" t="s">
        <v>24</v>
      </c>
      <c r="B1704" s="19">
        <v>46096.878148148149</v>
      </c>
      <c r="C1704" s="19">
        <v>46096.911793981482</v>
      </c>
      <c r="D1704" s="20">
        <v>46096</v>
      </c>
      <c r="E1704" s="21">
        <v>0.91179398148233304</v>
      </c>
      <c r="F1704" s="1" t="s">
        <v>1948</v>
      </c>
      <c r="G1704" s="1" t="s">
        <v>26</v>
      </c>
      <c r="H1704" s="1" t="s">
        <v>417</v>
      </c>
      <c r="I1704" s="1" t="s">
        <v>166</v>
      </c>
      <c r="J1704" s="12">
        <v>0.79</v>
      </c>
      <c r="K1704" s="12"/>
      <c r="L1704" s="12"/>
      <c r="M1704" s="12"/>
      <c r="N1704" s="12"/>
      <c r="O1704" s="12"/>
      <c r="P1704" s="12"/>
      <c r="Q1704" s="12"/>
      <c r="R1704" s="12"/>
      <c r="S1704" s="12"/>
    </row>
    <row r="1705" spans="1:19" ht="14.25" customHeight="1" x14ac:dyDescent="0.2">
      <c r="A1705" s="1" t="s">
        <v>57</v>
      </c>
      <c r="B1705" s="19">
        <v>46096.888344907406</v>
      </c>
      <c r="C1705" s="19">
        <v>46096.9140625</v>
      </c>
      <c r="D1705" s="20">
        <v>46096</v>
      </c>
      <c r="E1705" s="21">
        <v>0.9140625</v>
      </c>
      <c r="F1705" s="1" t="s">
        <v>1949</v>
      </c>
      <c r="G1705" s="1" t="s">
        <v>21</v>
      </c>
      <c r="H1705" s="1" t="s">
        <v>59</v>
      </c>
      <c r="I1705" s="1" t="s">
        <v>166</v>
      </c>
      <c r="J1705" s="12">
        <v>0.83</v>
      </c>
      <c r="K1705" s="12"/>
      <c r="L1705" s="12"/>
      <c r="M1705" s="12"/>
      <c r="N1705" s="12"/>
      <c r="O1705" s="12"/>
      <c r="P1705" s="12"/>
      <c r="Q1705" s="12"/>
      <c r="R1705" s="12"/>
      <c r="S1705" s="12"/>
    </row>
    <row r="1706" spans="1:19" ht="14.25" customHeight="1" x14ac:dyDescent="0.2">
      <c r="A1706" s="1" t="s">
        <v>19</v>
      </c>
      <c r="B1706" s="7">
        <v>46096.893576388888</v>
      </c>
      <c r="C1706" s="7">
        <v>46096.916620370372</v>
      </c>
      <c r="D1706" s="8">
        <v>46096</v>
      </c>
      <c r="E1706" s="9">
        <v>0.91662037037167465</v>
      </c>
      <c r="F1706" s="10" t="s">
        <v>1950</v>
      </c>
      <c r="G1706" s="10" t="s">
        <v>21</v>
      </c>
      <c r="H1706" s="10" t="s">
        <v>52</v>
      </c>
      <c r="I1706" s="10" t="s">
        <v>23</v>
      </c>
      <c r="J1706" s="11">
        <v>0.98</v>
      </c>
      <c r="K1706" s="12"/>
      <c r="L1706" s="12"/>
      <c r="M1706" s="12"/>
      <c r="N1706" s="12"/>
      <c r="O1706" s="12"/>
      <c r="P1706" s="12"/>
      <c r="Q1706" s="12"/>
      <c r="R1706" s="12"/>
      <c r="S1706" s="12"/>
    </row>
    <row r="1707" spans="1:19" ht="14.25" customHeight="1" x14ac:dyDescent="0.2">
      <c r="A1707" s="1" t="s">
        <v>19</v>
      </c>
      <c r="B1707" s="19">
        <v>46096.893564814818</v>
      </c>
      <c r="C1707" s="19">
        <v>46096.917638888888</v>
      </c>
      <c r="D1707" s="20">
        <v>46096</v>
      </c>
      <c r="E1707" s="21">
        <v>0.91763888888817746</v>
      </c>
      <c r="F1707" s="1" t="s">
        <v>1951</v>
      </c>
      <c r="G1707" s="1" t="s">
        <v>21</v>
      </c>
      <c r="H1707" s="1" t="s">
        <v>22</v>
      </c>
      <c r="I1707" s="1" t="s">
        <v>166</v>
      </c>
      <c r="J1707" s="12">
        <v>0.83</v>
      </c>
      <c r="K1707" s="12"/>
      <c r="L1707" s="12">
        <f>SUM(J1707:J1722)</f>
        <v>16.209999999999997</v>
      </c>
      <c r="M1707" s="13">
        <f>L1707*65</f>
        <v>1053.6499999999999</v>
      </c>
      <c r="N1707" s="14">
        <f>MAX(500,M1707)</f>
        <v>1053.6499999999999</v>
      </c>
      <c r="O1707" s="12"/>
      <c r="P1707" s="12"/>
      <c r="Q1707" s="12"/>
      <c r="R1707" s="12"/>
      <c r="S1707" s="12"/>
    </row>
    <row r="1708" spans="1:19" ht="14.25" customHeight="1" x14ac:dyDescent="0.2">
      <c r="A1708" s="1" t="s">
        <v>42</v>
      </c>
      <c r="B1708" s="7">
        <v>46096.891400462962</v>
      </c>
      <c r="C1708" s="7">
        <v>46096.919965277775</v>
      </c>
      <c r="D1708" s="8">
        <v>46096</v>
      </c>
      <c r="E1708" s="9">
        <v>0.91996527777519077</v>
      </c>
      <c r="F1708" s="10" t="s">
        <v>1952</v>
      </c>
      <c r="G1708" s="10" t="s">
        <v>26</v>
      </c>
      <c r="H1708" s="10" t="s">
        <v>56</v>
      </c>
      <c r="I1708" s="10" t="s">
        <v>23</v>
      </c>
      <c r="J1708" s="11">
        <v>0.73</v>
      </c>
      <c r="K1708" s="12"/>
      <c r="L1708" s="12"/>
      <c r="M1708" s="12"/>
      <c r="N1708" s="12"/>
      <c r="O1708" s="12"/>
      <c r="P1708" s="12"/>
      <c r="Q1708" s="12"/>
      <c r="R1708" s="12"/>
      <c r="S1708" s="12"/>
    </row>
    <row r="1709" spans="1:19" ht="14.25" customHeight="1" x14ac:dyDescent="0.2">
      <c r="A1709" s="1" t="s">
        <v>19</v>
      </c>
      <c r="B1709" s="7">
        <v>46096.907835648148</v>
      </c>
      <c r="C1709" s="7">
        <v>46096.922673611109</v>
      </c>
      <c r="D1709" s="8">
        <v>46096</v>
      </c>
      <c r="E1709" s="9">
        <v>0.92267361110862112</v>
      </c>
      <c r="F1709" s="10" t="s">
        <v>1953</v>
      </c>
      <c r="G1709" s="10" t="s">
        <v>21</v>
      </c>
      <c r="H1709" s="10" t="s">
        <v>101</v>
      </c>
      <c r="I1709" s="10" t="s">
        <v>23</v>
      </c>
      <c r="J1709" s="11">
        <v>1.7</v>
      </c>
      <c r="K1709" s="12"/>
      <c r="L1709" s="12"/>
      <c r="M1709" s="12"/>
      <c r="N1709" s="12"/>
      <c r="O1709" s="12"/>
      <c r="P1709" s="12"/>
      <c r="Q1709" s="12"/>
      <c r="R1709" s="12"/>
      <c r="S1709" s="12"/>
    </row>
    <row r="1710" spans="1:19" ht="14.25" customHeight="1" x14ac:dyDescent="0.2">
      <c r="A1710" s="1" t="s">
        <v>28</v>
      </c>
      <c r="B1710" s="7">
        <v>46096.910833333335</v>
      </c>
      <c r="C1710" s="7">
        <v>46096.923067129632</v>
      </c>
      <c r="D1710" s="8">
        <v>46096</v>
      </c>
      <c r="E1710" s="9">
        <v>0.92306712963181781</v>
      </c>
      <c r="F1710" s="10" t="s">
        <v>1954</v>
      </c>
      <c r="G1710" s="10" t="s">
        <v>21</v>
      </c>
      <c r="H1710" s="10" t="s">
        <v>41</v>
      </c>
      <c r="I1710" s="10" t="s">
        <v>23</v>
      </c>
      <c r="J1710" s="11">
        <v>1.77</v>
      </c>
      <c r="K1710" s="12"/>
      <c r="L1710" s="12"/>
      <c r="M1710" s="12"/>
      <c r="N1710" s="12"/>
      <c r="O1710" s="12"/>
      <c r="P1710" s="12"/>
      <c r="Q1710" s="12"/>
      <c r="R1710" s="12"/>
      <c r="S1710" s="12"/>
    </row>
    <row r="1711" spans="1:19" ht="14.25" customHeight="1" x14ac:dyDescent="0.2">
      <c r="A1711" s="1" t="s">
        <v>24</v>
      </c>
      <c r="B1711" s="7">
        <v>46096.906134259261</v>
      </c>
      <c r="C1711" s="7">
        <v>46096.923854166664</v>
      </c>
      <c r="D1711" s="8">
        <v>46096</v>
      </c>
      <c r="E1711" s="9">
        <v>0.92385416666365927</v>
      </c>
      <c r="F1711" s="10" t="s">
        <v>1955</v>
      </c>
      <c r="G1711" s="10" t="s">
        <v>26</v>
      </c>
      <c r="H1711" s="10" t="s">
        <v>205</v>
      </c>
      <c r="I1711" s="10" t="s">
        <v>23</v>
      </c>
      <c r="J1711" s="11">
        <v>0.57999999999999996</v>
      </c>
      <c r="K1711" s="12"/>
      <c r="L1711" s="12"/>
      <c r="M1711" s="12"/>
      <c r="N1711" s="12"/>
      <c r="O1711" s="12"/>
      <c r="P1711" s="12"/>
      <c r="Q1711" s="12"/>
      <c r="R1711" s="12"/>
      <c r="S1711" s="12"/>
    </row>
    <row r="1712" spans="1:19" ht="14.25" customHeight="1" x14ac:dyDescent="0.2">
      <c r="A1712" s="1" t="s">
        <v>42</v>
      </c>
      <c r="B1712" s="7">
        <v>46096.894849537035</v>
      </c>
      <c r="C1712" s="7">
        <v>46096.924456018518</v>
      </c>
      <c r="D1712" s="8">
        <v>46096</v>
      </c>
      <c r="E1712" s="9">
        <v>0.924456018517958</v>
      </c>
      <c r="F1712" s="10" t="s">
        <v>1956</v>
      </c>
      <c r="G1712" s="10" t="s">
        <v>26</v>
      </c>
      <c r="H1712" s="10" t="s">
        <v>125</v>
      </c>
      <c r="I1712" s="10" t="s">
        <v>23</v>
      </c>
      <c r="J1712" s="11">
        <v>0.63</v>
      </c>
      <c r="K1712" s="12"/>
      <c r="L1712" s="12"/>
      <c r="M1712" s="12"/>
      <c r="N1712" s="12"/>
      <c r="O1712" s="12"/>
      <c r="P1712" s="12"/>
      <c r="Q1712" s="12"/>
      <c r="R1712" s="12"/>
      <c r="S1712" s="12"/>
    </row>
    <row r="1713" spans="1:19" ht="14.25" customHeight="1" x14ac:dyDescent="0.2">
      <c r="A1713" s="1" t="s">
        <v>33</v>
      </c>
      <c r="B1713" s="7">
        <v>46096.907094907408</v>
      </c>
      <c r="C1713" s="7">
        <v>46096.924849537034</v>
      </c>
      <c r="D1713" s="8">
        <v>46096</v>
      </c>
      <c r="E1713" s="9">
        <v>0.92484953703387873</v>
      </c>
      <c r="F1713" s="10" t="s">
        <v>1957</v>
      </c>
      <c r="G1713" s="10" t="s">
        <v>44</v>
      </c>
      <c r="H1713" s="10" t="s">
        <v>185</v>
      </c>
      <c r="I1713" s="10" t="s">
        <v>23</v>
      </c>
      <c r="J1713" s="11">
        <v>0.18</v>
      </c>
      <c r="K1713" s="12"/>
      <c r="L1713" s="12"/>
      <c r="M1713" s="12"/>
      <c r="N1713" s="12"/>
      <c r="O1713" s="12"/>
      <c r="P1713" s="12"/>
      <c r="Q1713" s="12"/>
      <c r="R1713" s="12"/>
      <c r="S1713" s="12"/>
    </row>
    <row r="1714" spans="1:19" ht="14.25" customHeight="1" x14ac:dyDescent="0.2">
      <c r="A1714" s="1" t="s">
        <v>19</v>
      </c>
      <c r="B1714" s="19">
        <v>46096.910115740742</v>
      </c>
      <c r="C1714" s="19">
        <v>46096.927870370368</v>
      </c>
      <c r="D1714" s="20">
        <v>46096</v>
      </c>
      <c r="E1714" s="21">
        <v>0.92787037036760012</v>
      </c>
      <c r="F1714" s="1" t="s">
        <v>1958</v>
      </c>
      <c r="G1714" s="1" t="s">
        <v>21</v>
      </c>
      <c r="H1714" s="1" t="s">
        <v>39</v>
      </c>
      <c r="I1714" s="1" t="s">
        <v>166</v>
      </c>
      <c r="J1714" s="12">
        <v>1.77</v>
      </c>
      <c r="K1714" s="12"/>
      <c r="L1714" s="12"/>
      <c r="M1714" s="12"/>
      <c r="N1714" s="12"/>
      <c r="O1714" s="12"/>
      <c r="P1714" s="12"/>
      <c r="Q1714" s="12"/>
      <c r="R1714" s="12"/>
      <c r="S1714" s="12"/>
    </row>
    <row r="1715" spans="1:19" ht="14.25" customHeight="1" x14ac:dyDescent="0.2">
      <c r="A1715" s="1" t="s">
        <v>42</v>
      </c>
      <c r="B1715" s="7">
        <v>46096.914259259262</v>
      </c>
      <c r="C1715" s="7">
        <v>46096.928969907407</v>
      </c>
      <c r="D1715" s="8">
        <v>46096</v>
      </c>
      <c r="E1715" s="9">
        <v>0.92896990740700858</v>
      </c>
      <c r="F1715" s="10" t="s">
        <v>1959</v>
      </c>
      <c r="G1715" s="10" t="s">
        <v>21</v>
      </c>
      <c r="H1715" s="10" t="s">
        <v>97</v>
      </c>
      <c r="I1715" s="10" t="s">
        <v>23</v>
      </c>
      <c r="J1715" s="11">
        <v>1.77</v>
      </c>
      <c r="K1715" s="12"/>
      <c r="L1715" s="12"/>
      <c r="M1715" s="12"/>
      <c r="N1715" s="12"/>
      <c r="O1715" s="12"/>
      <c r="P1715" s="12"/>
      <c r="Q1715" s="12"/>
      <c r="R1715" s="12"/>
      <c r="S1715" s="12"/>
    </row>
    <row r="1716" spans="1:19" ht="14.25" customHeight="1" x14ac:dyDescent="0.2">
      <c r="A1716" s="1" t="s">
        <v>19</v>
      </c>
      <c r="B1716" s="19">
        <v>46096.867129629631</v>
      </c>
      <c r="C1716" s="19">
        <v>46096.930405092593</v>
      </c>
      <c r="D1716" s="20">
        <v>46096</v>
      </c>
      <c r="E1716" s="21">
        <v>0.93040509259299142</v>
      </c>
      <c r="F1716" s="1" t="s">
        <v>1960</v>
      </c>
      <c r="G1716" s="1" t="s">
        <v>44</v>
      </c>
      <c r="H1716" s="1" t="s">
        <v>48</v>
      </c>
      <c r="I1716" s="1" t="s">
        <v>166</v>
      </c>
      <c r="J1716" s="12">
        <v>0.21</v>
      </c>
      <c r="K1716" s="12"/>
      <c r="L1716" s="12"/>
      <c r="M1716" s="12"/>
      <c r="N1716" s="12"/>
      <c r="O1716" s="12"/>
      <c r="P1716" s="12"/>
      <c r="Q1716" s="12"/>
      <c r="R1716" s="12"/>
      <c r="S1716" s="12"/>
    </row>
    <row r="1717" spans="1:19" ht="14.25" customHeight="1" x14ac:dyDescent="0.2">
      <c r="A1717" s="1" t="s">
        <v>33</v>
      </c>
      <c r="B1717" s="19">
        <v>46096.909143518518</v>
      </c>
      <c r="C1717" s="19">
        <v>46096.937476851854</v>
      </c>
      <c r="D1717" s="20">
        <v>46096</v>
      </c>
      <c r="E1717" s="21">
        <v>0.93747685185371665</v>
      </c>
      <c r="F1717" s="1" t="s">
        <v>1961</v>
      </c>
      <c r="G1717" s="1" t="s">
        <v>21</v>
      </c>
      <c r="H1717" s="1" t="s">
        <v>22</v>
      </c>
      <c r="I1717" s="1" t="s">
        <v>166</v>
      </c>
      <c r="J1717" s="12">
        <v>0.83</v>
      </c>
      <c r="K1717" s="12"/>
      <c r="L1717" s="12"/>
      <c r="M1717" s="12"/>
      <c r="N1717" s="12"/>
      <c r="O1717" s="12"/>
      <c r="P1717" s="12"/>
      <c r="Q1717" s="12"/>
      <c r="R1717" s="12"/>
      <c r="S1717" s="12"/>
    </row>
    <row r="1718" spans="1:19" ht="14.25" customHeight="1" x14ac:dyDescent="0.2">
      <c r="A1718" s="1" t="s">
        <v>28</v>
      </c>
      <c r="B1718" s="7">
        <v>46096.923692129632</v>
      </c>
      <c r="C1718" s="7">
        <v>46096.939074074071</v>
      </c>
      <c r="D1718" s="8">
        <v>46096</v>
      </c>
      <c r="E1718" s="9">
        <v>0.93907407407095889</v>
      </c>
      <c r="F1718" s="10" t="s">
        <v>1962</v>
      </c>
      <c r="G1718" s="10" t="s">
        <v>21</v>
      </c>
      <c r="H1718" s="10" t="s">
        <v>216</v>
      </c>
      <c r="I1718" s="10" t="s">
        <v>23</v>
      </c>
      <c r="J1718" s="11">
        <v>0.98</v>
      </c>
      <c r="K1718" s="12"/>
      <c r="L1718" s="12"/>
      <c r="M1718" s="12"/>
      <c r="N1718" s="12"/>
      <c r="O1718" s="12"/>
      <c r="P1718" s="12"/>
      <c r="Q1718" s="12"/>
      <c r="R1718" s="12"/>
      <c r="S1718" s="12"/>
    </row>
    <row r="1719" spans="1:19" ht="14.25" customHeight="1" x14ac:dyDescent="0.2">
      <c r="A1719" s="1" t="s">
        <v>24</v>
      </c>
      <c r="B1719" s="19">
        <v>46096.923796296294</v>
      </c>
      <c r="C1719" s="19">
        <v>46096.940983796296</v>
      </c>
      <c r="D1719" s="20">
        <v>46096</v>
      </c>
      <c r="E1719" s="21">
        <v>0.94098379629576812</v>
      </c>
      <c r="F1719" s="1" t="s">
        <v>1963</v>
      </c>
      <c r="G1719" s="1" t="s">
        <v>26</v>
      </c>
      <c r="H1719" s="1" t="s">
        <v>1490</v>
      </c>
      <c r="I1719" s="1" t="s">
        <v>166</v>
      </c>
      <c r="J1719" s="12">
        <v>0.5</v>
      </c>
      <c r="K1719" s="12"/>
      <c r="L1719" s="12"/>
      <c r="M1719" s="12"/>
      <c r="N1719" s="12"/>
      <c r="O1719" s="12"/>
      <c r="P1719" s="12"/>
      <c r="Q1719" s="12"/>
      <c r="R1719" s="12"/>
      <c r="S1719" s="12"/>
    </row>
    <row r="1720" spans="1:19" ht="14.25" customHeight="1" x14ac:dyDescent="0.2">
      <c r="A1720" s="1" t="s">
        <v>33</v>
      </c>
      <c r="B1720" s="7">
        <v>46096.924432870372</v>
      </c>
      <c r="C1720" s="7">
        <v>46096.943761574075</v>
      </c>
      <c r="D1720" s="8">
        <v>46096</v>
      </c>
      <c r="E1720" s="9">
        <v>0.94376157407532446</v>
      </c>
      <c r="F1720" s="10" t="s">
        <v>1964</v>
      </c>
      <c r="G1720" s="10" t="s">
        <v>21</v>
      </c>
      <c r="H1720" s="10" t="s">
        <v>39</v>
      </c>
      <c r="I1720" s="10" t="s">
        <v>23</v>
      </c>
      <c r="J1720" s="11">
        <v>1.77</v>
      </c>
      <c r="K1720" s="12"/>
      <c r="L1720" s="12"/>
      <c r="M1720" s="12"/>
      <c r="N1720" s="12"/>
      <c r="O1720" s="12"/>
      <c r="P1720" s="12"/>
      <c r="Q1720" s="12"/>
      <c r="R1720" s="12"/>
      <c r="S1720" s="12"/>
    </row>
    <row r="1721" spans="1:19" ht="14.25" customHeight="1" x14ac:dyDescent="0.2">
      <c r="A1721" s="1" t="s">
        <v>24</v>
      </c>
      <c r="B1721" s="19">
        <v>46096.90828703704</v>
      </c>
      <c r="C1721" s="19">
        <v>46096.944780092592</v>
      </c>
      <c r="D1721" s="20">
        <v>46096</v>
      </c>
      <c r="E1721" s="21">
        <v>0.94478009259182727</v>
      </c>
      <c r="F1721" s="1" t="s">
        <v>1965</v>
      </c>
      <c r="G1721" s="1" t="s">
        <v>21</v>
      </c>
      <c r="H1721" s="1" t="s">
        <v>1966</v>
      </c>
      <c r="I1721" s="1" t="s">
        <v>166</v>
      </c>
      <c r="J1721" s="12">
        <v>1.1299999999999999</v>
      </c>
      <c r="K1721" s="12"/>
      <c r="L1721" s="12"/>
      <c r="M1721" s="12"/>
      <c r="N1721" s="12"/>
      <c r="O1721" s="12"/>
      <c r="P1721" s="12"/>
      <c r="Q1721" s="12"/>
      <c r="R1721" s="12"/>
      <c r="S1721" s="12"/>
    </row>
    <row r="1722" spans="1:19" ht="14.25" customHeight="1" x14ac:dyDescent="0.2">
      <c r="A1722" s="1" t="s">
        <v>19</v>
      </c>
      <c r="B1722" s="7">
        <v>46096.925486111111</v>
      </c>
      <c r="C1722" s="7">
        <v>46096.951168981483</v>
      </c>
      <c r="D1722" s="8">
        <v>46096</v>
      </c>
      <c r="E1722" s="9">
        <v>0.95116898148262408</v>
      </c>
      <c r="F1722" s="10" t="s">
        <v>1967</v>
      </c>
      <c r="G1722" s="10" t="s">
        <v>21</v>
      </c>
      <c r="H1722" s="10" t="s">
        <v>54</v>
      </c>
      <c r="I1722" s="10" t="s">
        <v>23</v>
      </c>
      <c r="J1722" s="11">
        <v>0.83</v>
      </c>
      <c r="K1722" s="12"/>
      <c r="L1722" s="12"/>
      <c r="M1722" s="12"/>
      <c r="N1722" s="12"/>
      <c r="O1722" s="12"/>
      <c r="P1722" s="12"/>
      <c r="Q1722" s="12"/>
      <c r="R1722" s="12"/>
      <c r="S1722" s="12"/>
    </row>
    <row r="1723" spans="1:19" ht="14.25" customHeight="1" x14ac:dyDescent="0.2">
      <c r="A1723" s="1" t="s">
        <v>148</v>
      </c>
      <c r="B1723" s="19">
        <v>46096.944652777776</v>
      </c>
      <c r="C1723" s="19">
        <v>46096.966967592591</v>
      </c>
      <c r="D1723" s="20">
        <v>46096</v>
      </c>
      <c r="E1723" s="21">
        <v>0.96696759259066312</v>
      </c>
      <c r="F1723" s="1" t="s">
        <v>1968</v>
      </c>
      <c r="G1723" s="1" t="s">
        <v>21</v>
      </c>
      <c r="H1723" s="1" t="s">
        <v>1834</v>
      </c>
      <c r="I1723" s="1" t="s">
        <v>166</v>
      </c>
      <c r="J1723" s="12">
        <v>1.7</v>
      </c>
      <c r="K1723" s="12"/>
      <c r="L1723" s="12">
        <f>SUM(J1723:J1740)</f>
        <v>24.799999999999997</v>
      </c>
      <c r="M1723" s="13">
        <f>L1723*65</f>
        <v>1611.9999999999998</v>
      </c>
      <c r="N1723" s="14">
        <f>MAX(500,M1723)</f>
        <v>1611.9999999999998</v>
      </c>
      <c r="O1723" s="12"/>
      <c r="P1723" s="12"/>
      <c r="Q1723" s="12"/>
      <c r="R1723" s="12"/>
      <c r="S1723" s="12"/>
    </row>
    <row r="1724" spans="1:19" ht="14.25" customHeight="1" x14ac:dyDescent="0.2">
      <c r="A1724" s="1" t="s">
        <v>33</v>
      </c>
      <c r="B1724" s="7">
        <v>46096.956284722219</v>
      </c>
      <c r="C1724" s="7">
        <v>46096.974675925929</v>
      </c>
      <c r="D1724" s="8">
        <v>46096</v>
      </c>
      <c r="E1724" s="9">
        <v>0.97467592592875008</v>
      </c>
      <c r="F1724" s="10" t="s">
        <v>1969</v>
      </c>
      <c r="G1724" s="10" t="s">
        <v>21</v>
      </c>
      <c r="H1724" s="10" t="s">
        <v>39</v>
      </c>
      <c r="I1724" s="10" t="s">
        <v>23</v>
      </c>
      <c r="J1724" s="11">
        <v>1.77</v>
      </c>
      <c r="K1724" s="12"/>
      <c r="L1724" s="12"/>
      <c r="M1724" s="12"/>
      <c r="N1724" s="12"/>
      <c r="O1724" s="12"/>
      <c r="P1724" s="12"/>
      <c r="Q1724" s="12"/>
      <c r="R1724" s="12"/>
      <c r="S1724" s="12"/>
    </row>
    <row r="1725" spans="1:19" ht="14.25" customHeight="1" x14ac:dyDescent="0.2">
      <c r="A1725" s="1" t="s">
        <v>95</v>
      </c>
      <c r="B1725" s="19">
        <v>46096.961354166669</v>
      </c>
      <c r="C1725" s="19">
        <v>46096.976284722223</v>
      </c>
      <c r="D1725" s="20">
        <v>46096</v>
      </c>
      <c r="E1725" s="21">
        <v>0.97628472222277196</v>
      </c>
      <c r="F1725" s="1" t="s">
        <v>1970</v>
      </c>
      <c r="G1725" s="1" t="s">
        <v>21</v>
      </c>
      <c r="H1725" s="1" t="s">
        <v>110</v>
      </c>
      <c r="I1725" s="1" t="s">
        <v>166</v>
      </c>
      <c r="J1725" s="12">
        <v>0.83</v>
      </c>
      <c r="K1725" s="12"/>
      <c r="L1725" s="12"/>
      <c r="M1725" s="12"/>
      <c r="N1725" s="12"/>
      <c r="O1725" s="12"/>
      <c r="P1725" s="12"/>
      <c r="Q1725" s="12"/>
      <c r="R1725" s="12"/>
      <c r="S1725" s="12"/>
    </row>
    <row r="1726" spans="1:19" ht="14.25" customHeight="1" x14ac:dyDescent="0.2">
      <c r="A1726" s="1" t="s">
        <v>19</v>
      </c>
      <c r="B1726" s="7">
        <v>46096.960196759261</v>
      </c>
      <c r="C1726" s="7">
        <v>46096.983564814815</v>
      </c>
      <c r="D1726" s="8">
        <v>46096</v>
      </c>
      <c r="E1726" s="9">
        <v>0.98356481481459923</v>
      </c>
      <c r="F1726" s="10" t="s">
        <v>1971</v>
      </c>
      <c r="G1726" s="10" t="s">
        <v>21</v>
      </c>
      <c r="H1726" s="10" t="s">
        <v>216</v>
      </c>
      <c r="I1726" s="10" t="s">
        <v>23</v>
      </c>
      <c r="J1726" s="11">
        <v>0.98</v>
      </c>
      <c r="K1726" s="12"/>
      <c r="L1726" s="12"/>
      <c r="M1726" s="12"/>
      <c r="N1726" s="12"/>
      <c r="O1726" s="12"/>
      <c r="P1726" s="12"/>
      <c r="Q1726" s="12"/>
      <c r="R1726" s="12"/>
      <c r="S1726" s="12"/>
    </row>
    <row r="1727" spans="1:19" ht="14.25" customHeight="1" x14ac:dyDescent="0.2">
      <c r="A1727" s="1" t="s">
        <v>19</v>
      </c>
      <c r="B1727" s="7">
        <v>46096.962384259263</v>
      </c>
      <c r="C1727" s="7">
        <v>46096.983842592592</v>
      </c>
      <c r="D1727" s="8">
        <v>46096</v>
      </c>
      <c r="E1727" s="9">
        <v>0.98384259259182727</v>
      </c>
      <c r="F1727" s="10" t="s">
        <v>1972</v>
      </c>
      <c r="G1727" s="10" t="s">
        <v>21</v>
      </c>
      <c r="H1727" s="10" t="s">
        <v>1358</v>
      </c>
      <c r="I1727" s="10" t="s">
        <v>23</v>
      </c>
      <c r="J1727" s="11">
        <v>0.98</v>
      </c>
      <c r="K1727" s="12"/>
      <c r="L1727" s="12"/>
      <c r="M1727" s="12"/>
      <c r="N1727" s="12"/>
      <c r="O1727" s="12"/>
      <c r="P1727" s="12"/>
      <c r="Q1727" s="12"/>
      <c r="R1727" s="12"/>
      <c r="S1727" s="12"/>
    </row>
    <row r="1728" spans="1:19" ht="14.25" customHeight="1" x14ac:dyDescent="0.2">
      <c r="A1728" s="1" t="s">
        <v>19</v>
      </c>
      <c r="B1728" s="7">
        <v>46096.962962962964</v>
      </c>
      <c r="C1728" s="7">
        <v>46096.985810185186</v>
      </c>
      <c r="D1728" s="8">
        <v>46096</v>
      </c>
      <c r="E1728" s="9">
        <v>0.98581018518598285</v>
      </c>
      <c r="F1728" s="10" t="s">
        <v>1973</v>
      </c>
      <c r="G1728" s="10" t="s">
        <v>21</v>
      </c>
      <c r="H1728" s="10" t="s">
        <v>41</v>
      </c>
      <c r="I1728" s="10" t="s">
        <v>23</v>
      </c>
      <c r="J1728" s="11">
        <v>1.77</v>
      </c>
      <c r="K1728" s="12"/>
      <c r="L1728" s="12"/>
      <c r="M1728" s="12"/>
      <c r="N1728" s="12"/>
      <c r="O1728" s="12"/>
      <c r="P1728" s="12"/>
      <c r="Q1728" s="12"/>
      <c r="R1728" s="12"/>
      <c r="S1728" s="12"/>
    </row>
    <row r="1729" spans="1:19" ht="14.25" customHeight="1" x14ac:dyDescent="0.2">
      <c r="A1729" s="1" t="s">
        <v>95</v>
      </c>
      <c r="B1729" s="7">
        <v>46096.944560185184</v>
      </c>
      <c r="C1729" s="7">
        <v>46096.986585648148</v>
      </c>
      <c r="D1729" s="8">
        <v>46096</v>
      </c>
      <c r="E1729" s="9">
        <v>0.98658564814832062</v>
      </c>
      <c r="F1729" s="10" t="s">
        <v>1974</v>
      </c>
      <c r="G1729" s="10" t="s">
        <v>26</v>
      </c>
      <c r="H1729" s="10" t="s">
        <v>251</v>
      </c>
      <c r="I1729" s="10" t="s">
        <v>23</v>
      </c>
      <c r="J1729" s="11">
        <v>0.62</v>
      </c>
      <c r="K1729" s="12"/>
      <c r="L1729" s="12"/>
      <c r="M1729" s="12"/>
      <c r="N1729" s="12"/>
      <c r="O1729" s="12"/>
      <c r="P1729" s="12"/>
      <c r="Q1729" s="12"/>
      <c r="R1729" s="12"/>
      <c r="S1729" s="12"/>
    </row>
    <row r="1730" spans="1:19" ht="14.25" customHeight="1" x14ac:dyDescent="0.2">
      <c r="A1730" s="1" t="s">
        <v>28</v>
      </c>
      <c r="B1730" s="7">
        <v>46096.968888888892</v>
      </c>
      <c r="C1730" s="7">
        <v>46096.986851851849</v>
      </c>
      <c r="D1730" s="8">
        <v>46096</v>
      </c>
      <c r="E1730" s="9">
        <v>0.986851851848769</v>
      </c>
      <c r="F1730" s="10" t="s">
        <v>1975</v>
      </c>
      <c r="G1730" s="10" t="s">
        <v>26</v>
      </c>
      <c r="H1730" s="10" t="s">
        <v>86</v>
      </c>
      <c r="I1730" s="10" t="s">
        <v>23</v>
      </c>
      <c r="J1730" s="11">
        <v>0.88</v>
      </c>
      <c r="K1730" s="12"/>
      <c r="L1730" s="12"/>
      <c r="M1730" s="12"/>
      <c r="N1730" s="12"/>
      <c r="O1730" s="12"/>
      <c r="P1730" s="12"/>
      <c r="Q1730" s="12"/>
      <c r="R1730" s="12"/>
      <c r="S1730" s="12"/>
    </row>
    <row r="1731" spans="1:19" ht="14.25" customHeight="1" x14ac:dyDescent="0.2">
      <c r="A1731" s="1" t="s">
        <v>95</v>
      </c>
      <c r="B1731" s="7">
        <v>46096.9762962963</v>
      </c>
      <c r="C1731" s="7">
        <v>46096.987199074072</v>
      </c>
      <c r="D1731" s="8">
        <v>46096</v>
      </c>
      <c r="E1731" s="9">
        <v>0.98719907407212304</v>
      </c>
      <c r="F1731" s="10" t="s">
        <v>1976</v>
      </c>
      <c r="G1731" s="10" t="s">
        <v>21</v>
      </c>
      <c r="H1731" s="10" t="s">
        <v>97</v>
      </c>
      <c r="I1731" s="10" t="s">
        <v>23</v>
      </c>
      <c r="J1731" s="11">
        <v>1.77</v>
      </c>
      <c r="K1731" s="12"/>
      <c r="L1731" s="12"/>
      <c r="M1731" s="12"/>
      <c r="N1731" s="12"/>
      <c r="O1731" s="12"/>
      <c r="P1731" s="12"/>
      <c r="Q1731" s="12"/>
      <c r="R1731" s="12"/>
      <c r="S1731" s="12"/>
    </row>
    <row r="1732" spans="1:19" ht="14.25" customHeight="1" x14ac:dyDescent="0.2">
      <c r="A1732" s="1" t="s">
        <v>112</v>
      </c>
      <c r="B1732" s="7">
        <v>46096.969328703701</v>
      </c>
      <c r="C1732" s="7">
        <v>46096.987453703703</v>
      </c>
      <c r="D1732" s="8">
        <v>46096</v>
      </c>
      <c r="E1732" s="9">
        <v>0.98745370370306773</v>
      </c>
      <c r="F1732" s="10" t="s">
        <v>1977</v>
      </c>
      <c r="G1732" s="10" t="s">
        <v>21</v>
      </c>
      <c r="H1732" s="10" t="s">
        <v>117</v>
      </c>
      <c r="I1732" s="10" t="s">
        <v>23</v>
      </c>
      <c r="J1732" s="11">
        <v>0.83</v>
      </c>
      <c r="K1732" s="12"/>
      <c r="L1732" s="12"/>
      <c r="M1732" s="12"/>
      <c r="N1732" s="12"/>
      <c r="O1732" s="12"/>
      <c r="P1732" s="12"/>
      <c r="Q1732" s="12"/>
      <c r="R1732" s="12"/>
      <c r="S1732" s="12"/>
    </row>
    <row r="1733" spans="1:19" ht="14.25" customHeight="1" x14ac:dyDescent="0.2">
      <c r="A1733" s="1" t="s">
        <v>95</v>
      </c>
      <c r="B1733" s="7">
        <v>46096.977071759262</v>
      </c>
      <c r="C1733" s="7">
        <v>46096.987604166665</v>
      </c>
      <c r="D1733" s="8">
        <v>46096</v>
      </c>
      <c r="E1733" s="9">
        <v>0.98760416666482342</v>
      </c>
      <c r="F1733" s="10" t="s">
        <v>1978</v>
      </c>
      <c r="G1733" s="10" t="s">
        <v>21</v>
      </c>
      <c r="H1733" s="10" t="s">
        <v>110</v>
      </c>
      <c r="I1733" s="10" t="s">
        <v>23</v>
      </c>
      <c r="J1733" s="11">
        <v>0.83</v>
      </c>
      <c r="K1733" s="12"/>
      <c r="L1733" s="12"/>
      <c r="M1733" s="12"/>
      <c r="N1733" s="12"/>
      <c r="O1733" s="12"/>
      <c r="P1733" s="12"/>
      <c r="Q1733" s="12"/>
      <c r="R1733" s="12"/>
      <c r="S1733" s="12"/>
    </row>
    <row r="1734" spans="1:19" ht="14.25" customHeight="1" x14ac:dyDescent="0.2">
      <c r="A1734" s="1" t="s">
        <v>42</v>
      </c>
      <c r="B1734" s="7">
        <v>46096.9766087963</v>
      </c>
      <c r="C1734" s="7">
        <v>46096.988055555557</v>
      </c>
      <c r="D1734" s="8">
        <v>46096</v>
      </c>
      <c r="E1734" s="9">
        <v>0.98805555555736646</v>
      </c>
      <c r="F1734" s="10" t="s">
        <v>1979</v>
      </c>
      <c r="G1734" s="10" t="s">
        <v>21</v>
      </c>
      <c r="H1734" s="10" t="s">
        <v>97</v>
      </c>
      <c r="I1734" s="10" t="s">
        <v>23</v>
      </c>
      <c r="J1734" s="11">
        <v>1.77</v>
      </c>
      <c r="K1734" s="12"/>
      <c r="L1734" s="12"/>
      <c r="M1734" s="12"/>
      <c r="N1734" s="12"/>
      <c r="O1734" s="12"/>
      <c r="P1734" s="12"/>
      <c r="Q1734" s="12"/>
      <c r="R1734" s="12"/>
      <c r="S1734" s="12"/>
    </row>
    <row r="1735" spans="1:19" ht="14.25" customHeight="1" x14ac:dyDescent="0.2">
      <c r="A1735" s="1" t="s">
        <v>33</v>
      </c>
      <c r="B1735" s="7">
        <v>46096.95890046296</v>
      </c>
      <c r="C1735" s="7">
        <v>46096.988495370373</v>
      </c>
      <c r="D1735" s="8">
        <v>46096</v>
      </c>
      <c r="E1735" s="9">
        <v>0.98849537037312984</v>
      </c>
      <c r="F1735" s="10" t="s">
        <v>1980</v>
      </c>
      <c r="G1735" s="10" t="s">
        <v>26</v>
      </c>
      <c r="H1735" s="10" t="s">
        <v>37</v>
      </c>
      <c r="I1735" s="10" t="s">
        <v>23</v>
      </c>
      <c r="J1735" s="11">
        <v>0.88</v>
      </c>
      <c r="K1735" s="12"/>
      <c r="L1735" s="12"/>
      <c r="M1735" s="12"/>
      <c r="N1735" s="12"/>
      <c r="O1735" s="12"/>
      <c r="P1735" s="12"/>
      <c r="Q1735" s="12"/>
      <c r="R1735" s="12"/>
      <c r="S1735" s="12"/>
    </row>
    <row r="1736" spans="1:19" ht="14.25" customHeight="1" x14ac:dyDescent="0.2">
      <c r="A1736" s="1" t="s">
        <v>19</v>
      </c>
      <c r="B1736" s="19">
        <v>46096.930092592593</v>
      </c>
      <c r="C1736" s="19">
        <v>46096.993368055555</v>
      </c>
      <c r="D1736" s="20">
        <v>46096</v>
      </c>
      <c r="E1736" s="21">
        <v>0.99336805555503815</v>
      </c>
      <c r="F1736" s="1" t="s">
        <v>1981</v>
      </c>
      <c r="G1736" s="1" t="s">
        <v>21</v>
      </c>
      <c r="H1736" s="1" t="s">
        <v>409</v>
      </c>
      <c r="I1736" s="1" t="s">
        <v>166</v>
      </c>
      <c r="J1736" s="12">
        <v>2.9</v>
      </c>
      <c r="K1736" s="12"/>
      <c r="L1736" s="12"/>
      <c r="M1736" s="12"/>
      <c r="N1736" s="12"/>
      <c r="O1736" s="12"/>
      <c r="P1736" s="12"/>
      <c r="Q1736" s="12"/>
      <c r="R1736" s="12"/>
      <c r="S1736" s="12"/>
    </row>
    <row r="1737" spans="1:19" ht="14.25" customHeight="1" x14ac:dyDescent="0.2">
      <c r="A1737" s="1" t="s">
        <v>28</v>
      </c>
      <c r="B1737" s="7">
        <v>46096.976157407407</v>
      </c>
      <c r="C1737" s="7">
        <v>46096.993437500001</v>
      </c>
      <c r="D1737" s="8">
        <v>46096</v>
      </c>
      <c r="E1737" s="9">
        <v>0.99343750000116415</v>
      </c>
      <c r="F1737" s="10" t="s">
        <v>1982</v>
      </c>
      <c r="G1737" s="10" t="s">
        <v>21</v>
      </c>
      <c r="H1737" s="10" t="s">
        <v>41</v>
      </c>
      <c r="I1737" s="10" t="s">
        <v>23</v>
      </c>
      <c r="J1737" s="11">
        <v>1.77</v>
      </c>
      <c r="K1737" s="12"/>
      <c r="L1737" s="12"/>
      <c r="M1737" s="12"/>
      <c r="N1737" s="12"/>
      <c r="O1737" s="12"/>
      <c r="P1737" s="12"/>
      <c r="Q1737" s="12"/>
      <c r="R1737" s="12"/>
      <c r="S1737" s="12"/>
    </row>
    <row r="1738" spans="1:19" ht="14.25" customHeight="1" x14ac:dyDescent="0.2">
      <c r="A1738" s="1" t="s">
        <v>24</v>
      </c>
      <c r="B1738" s="7">
        <v>46096.970347222225</v>
      </c>
      <c r="C1738" s="7">
        <v>46096.99422453704</v>
      </c>
      <c r="D1738" s="8">
        <v>46096</v>
      </c>
      <c r="E1738" s="9">
        <v>0.99422453704028158</v>
      </c>
      <c r="F1738" s="10" t="s">
        <v>1983</v>
      </c>
      <c r="G1738" s="10" t="s">
        <v>21</v>
      </c>
      <c r="H1738" s="10" t="s">
        <v>101</v>
      </c>
      <c r="I1738" s="10" t="s">
        <v>23</v>
      </c>
      <c r="J1738" s="11">
        <v>1.7</v>
      </c>
      <c r="K1738" s="12"/>
      <c r="L1738" s="12"/>
      <c r="M1738" s="12"/>
      <c r="N1738" s="12"/>
      <c r="O1738" s="12"/>
      <c r="P1738" s="12"/>
      <c r="Q1738" s="12"/>
      <c r="R1738" s="12"/>
      <c r="S1738" s="12"/>
    </row>
    <row r="1739" spans="1:19" ht="14.25" customHeight="1" x14ac:dyDescent="0.2">
      <c r="A1739" s="1" t="s">
        <v>24</v>
      </c>
      <c r="B1739" s="7">
        <v>46096.974907407406</v>
      </c>
      <c r="C1739" s="7">
        <v>46096.994583333333</v>
      </c>
      <c r="D1739" s="8">
        <v>46096</v>
      </c>
      <c r="E1739" s="9">
        <v>0.99458333333313931</v>
      </c>
      <c r="F1739" s="10" t="s">
        <v>1984</v>
      </c>
      <c r="G1739" s="10" t="s">
        <v>21</v>
      </c>
      <c r="H1739" s="10" t="s">
        <v>41</v>
      </c>
      <c r="I1739" s="10" t="s">
        <v>23</v>
      </c>
      <c r="J1739" s="11">
        <v>1.77</v>
      </c>
      <c r="K1739" s="12"/>
      <c r="L1739" s="12"/>
      <c r="M1739" s="12"/>
      <c r="N1739" s="12"/>
      <c r="O1739" s="12"/>
      <c r="P1739" s="12"/>
      <c r="Q1739" s="12"/>
      <c r="R1739" s="12"/>
      <c r="S1739" s="12"/>
    </row>
    <row r="1740" spans="1:19" ht="14.25" customHeight="1" x14ac:dyDescent="0.2">
      <c r="A1740" s="1" t="s">
        <v>19</v>
      </c>
      <c r="B1740" s="7">
        <v>46096.982858796298</v>
      </c>
      <c r="C1740" s="7">
        <v>46096.995000000003</v>
      </c>
      <c r="D1740" s="8">
        <v>46096</v>
      </c>
      <c r="E1740" s="9">
        <v>0.99500000000261934</v>
      </c>
      <c r="F1740" s="10" t="s">
        <v>1985</v>
      </c>
      <c r="G1740" s="10" t="s">
        <v>21</v>
      </c>
      <c r="H1740" s="10" t="s">
        <v>71</v>
      </c>
      <c r="I1740" s="10" t="s">
        <v>23</v>
      </c>
      <c r="J1740" s="11">
        <v>1.05</v>
      </c>
      <c r="K1740" s="12"/>
      <c r="L1740" s="12"/>
      <c r="M1740" s="12"/>
      <c r="N1740" s="12"/>
      <c r="O1740" s="12"/>
      <c r="P1740" s="12"/>
      <c r="Q1740" s="12"/>
      <c r="R1740" s="12"/>
      <c r="S1740" s="12"/>
    </row>
    <row r="1741" spans="1:19" ht="14.25" customHeight="1" x14ac:dyDescent="0.2">
      <c r="A1741" s="1" t="s">
        <v>24</v>
      </c>
      <c r="B1741" s="19">
        <v>46096.95753472222</v>
      </c>
      <c r="C1741" s="19">
        <v>46097.0002662037</v>
      </c>
      <c r="D1741" s="20">
        <v>46097</v>
      </c>
      <c r="E1741" s="21">
        <v>2.6620370044838637E-4</v>
      </c>
      <c r="F1741" s="1" t="s">
        <v>1986</v>
      </c>
      <c r="G1741" s="1" t="s">
        <v>21</v>
      </c>
      <c r="H1741" s="1" t="s">
        <v>41</v>
      </c>
      <c r="I1741" s="1" t="s">
        <v>166</v>
      </c>
      <c r="J1741" s="12">
        <v>1.77</v>
      </c>
      <c r="K1741" s="12"/>
      <c r="L1741" s="12">
        <f>SUM(J1741:J1754)</f>
        <v>17.029999999999998</v>
      </c>
      <c r="M1741" s="13">
        <f>L1741*65</f>
        <v>1106.9499999999998</v>
      </c>
      <c r="N1741" s="14">
        <f>MAX(500,M1741)</f>
        <v>1106.9499999999998</v>
      </c>
      <c r="O1741" s="12"/>
      <c r="P1741" s="12"/>
      <c r="Q1741" s="12"/>
      <c r="R1741" s="12"/>
      <c r="S1741" s="12"/>
    </row>
    <row r="1742" spans="1:19" ht="14.25" customHeight="1" x14ac:dyDescent="0.2">
      <c r="A1742" s="1" t="s">
        <v>57</v>
      </c>
      <c r="B1742" s="7">
        <v>46096.960763888892</v>
      </c>
      <c r="C1742" s="7">
        <v>46097.00099537037</v>
      </c>
      <c r="D1742" s="8">
        <v>46097</v>
      </c>
      <c r="E1742" s="9">
        <v>9.9537037021946162E-4</v>
      </c>
      <c r="F1742" s="10" t="s">
        <v>1987</v>
      </c>
      <c r="G1742" s="10" t="s">
        <v>26</v>
      </c>
      <c r="H1742" s="10" t="s">
        <v>1988</v>
      </c>
      <c r="I1742" s="10" t="s">
        <v>23</v>
      </c>
      <c r="J1742" s="11">
        <v>0.44</v>
      </c>
      <c r="K1742" s="12"/>
      <c r="L1742" s="12"/>
      <c r="M1742" s="12"/>
      <c r="N1742" s="12"/>
      <c r="O1742" s="12"/>
      <c r="P1742" s="12"/>
      <c r="Q1742" s="12"/>
      <c r="R1742" s="12"/>
      <c r="S1742" s="12"/>
    </row>
    <row r="1743" spans="1:19" ht="14.25" customHeight="1" x14ac:dyDescent="0.2">
      <c r="A1743" s="1" t="s">
        <v>95</v>
      </c>
      <c r="B1743" s="7">
        <v>46096.983171296299</v>
      </c>
      <c r="C1743" s="7">
        <v>46097.00172453704</v>
      </c>
      <c r="D1743" s="8">
        <v>46097</v>
      </c>
      <c r="E1743" s="9">
        <v>1.7245370399905369E-3</v>
      </c>
      <c r="F1743" s="10" t="s">
        <v>1989</v>
      </c>
      <c r="G1743" s="10" t="s">
        <v>21</v>
      </c>
      <c r="H1743" s="10" t="s">
        <v>154</v>
      </c>
      <c r="I1743" s="10" t="s">
        <v>23</v>
      </c>
      <c r="J1743" s="11">
        <v>1.77</v>
      </c>
      <c r="K1743" s="12"/>
      <c r="L1743" s="12"/>
      <c r="M1743" s="12"/>
      <c r="N1743" s="12"/>
      <c r="O1743" s="12"/>
      <c r="P1743" s="12"/>
      <c r="Q1743" s="12"/>
      <c r="R1743" s="12"/>
      <c r="S1743" s="12"/>
    </row>
    <row r="1744" spans="1:19" ht="14.25" customHeight="1" x14ac:dyDescent="0.2">
      <c r="A1744" s="1" t="s">
        <v>57</v>
      </c>
      <c r="B1744" s="19">
        <v>46096.979004629633</v>
      </c>
      <c r="C1744" s="19">
        <v>46097.005694444444</v>
      </c>
      <c r="D1744" s="20">
        <v>46097</v>
      </c>
      <c r="E1744" s="21">
        <v>5.694444444088731E-3</v>
      </c>
      <c r="F1744" s="1" t="s">
        <v>1990</v>
      </c>
      <c r="G1744" s="1" t="s">
        <v>21</v>
      </c>
      <c r="H1744" s="1" t="s">
        <v>687</v>
      </c>
      <c r="I1744" s="1" t="s">
        <v>166</v>
      </c>
      <c r="J1744" s="12">
        <v>1.7</v>
      </c>
      <c r="K1744" s="12"/>
      <c r="L1744" s="12"/>
      <c r="M1744" s="12"/>
      <c r="N1744" s="12"/>
      <c r="O1744" s="12"/>
      <c r="P1744" s="12"/>
      <c r="Q1744" s="12"/>
      <c r="R1744" s="12"/>
      <c r="S1744" s="12"/>
    </row>
    <row r="1745" spans="1:19" ht="14.25" customHeight="1" x14ac:dyDescent="0.2">
      <c r="A1745" s="1" t="s">
        <v>19</v>
      </c>
      <c r="B1745" s="7">
        <v>46096.962037037039</v>
      </c>
      <c r="C1745" s="7">
        <v>46097.007361111115</v>
      </c>
      <c r="D1745" s="8">
        <v>46097</v>
      </c>
      <c r="E1745" s="9">
        <v>7.3611111147329211E-3</v>
      </c>
      <c r="F1745" s="10" t="s">
        <v>1991</v>
      </c>
      <c r="G1745" s="10" t="s">
        <v>26</v>
      </c>
      <c r="H1745" s="10" t="s">
        <v>128</v>
      </c>
      <c r="I1745" s="10" t="s">
        <v>23</v>
      </c>
      <c r="J1745" s="11">
        <v>0.97</v>
      </c>
      <c r="K1745" s="12"/>
      <c r="L1745" s="12"/>
      <c r="M1745" s="12"/>
      <c r="N1745" s="12"/>
      <c r="O1745" s="12"/>
      <c r="P1745" s="12"/>
      <c r="Q1745" s="12"/>
      <c r="R1745" s="12"/>
      <c r="S1745" s="12"/>
    </row>
    <row r="1746" spans="1:19" ht="14.25" customHeight="1" x14ac:dyDescent="0.2">
      <c r="A1746" s="1" t="s">
        <v>24</v>
      </c>
      <c r="B1746" s="7">
        <v>46096.991805555554</v>
      </c>
      <c r="C1746" s="7">
        <v>46097.0075462963</v>
      </c>
      <c r="D1746" s="8">
        <v>46097</v>
      </c>
      <c r="E1746" s="9">
        <v>7.5462962995516136E-3</v>
      </c>
      <c r="F1746" s="10" t="s">
        <v>1992</v>
      </c>
      <c r="G1746" s="10" t="s">
        <v>21</v>
      </c>
      <c r="H1746" s="10" t="s">
        <v>22</v>
      </c>
      <c r="I1746" s="10" t="s">
        <v>23</v>
      </c>
      <c r="J1746" s="11">
        <v>0.83</v>
      </c>
      <c r="K1746" s="12"/>
      <c r="L1746" s="12"/>
      <c r="M1746" s="12"/>
      <c r="N1746" s="12"/>
      <c r="O1746" s="12"/>
      <c r="P1746" s="12"/>
      <c r="Q1746" s="12"/>
      <c r="R1746" s="12"/>
      <c r="S1746" s="12"/>
    </row>
    <row r="1747" spans="1:19" ht="14.25" customHeight="1" x14ac:dyDescent="0.2">
      <c r="A1747" s="1" t="s">
        <v>95</v>
      </c>
      <c r="B1747" s="7">
        <v>46096.986354166664</v>
      </c>
      <c r="C1747" s="7">
        <v>46097.008680555555</v>
      </c>
      <c r="D1747" s="8">
        <v>46097</v>
      </c>
      <c r="E1747" s="9">
        <v>8.6805555547471158E-3</v>
      </c>
      <c r="F1747" s="10" t="s">
        <v>1993</v>
      </c>
      <c r="G1747" s="10" t="s">
        <v>26</v>
      </c>
      <c r="H1747" s="10" t="s">
        <v>1994</v>
      </c>
      <c r="I1747" s="10" t="s">
        <v>23</v>
      </c>
      <c r="J1747" s="11">
        <v>0.83</v>
      </c>
      <c r="K1747" s="12"/>
      <c r="L1747" s="12"/>
      <c r="M1747" s="12"/>
      <c r="N1747" s="12"/>
      <c r="O1747" s="12"/>
      <c r="P1747" s="12"/>
      <c r="Q1747" s="12"/>
      <c r="R1747" s="12"/>
      <c r="S1747" s="12"/>
    </row>
    <row r="1748" spans="1:19" ht="14.25" customHeight="1" x14ac:dyDescent="0.2">
      <c r="A1748" s="1" t="s">
        <v>19</v>
      </c>
      <c r="B1748" s="7">
        <v>46096.938923611109</v>
      </c>
      <c r="C1748" s="7">
        <v>46097.00953703704</v>
      </c>
      <c r="D1748" s="8">
        <v>46097</v>
      </c>
      <c r="E1748" s="9">
        <v>9.5370370399905369E-3</v>
      </c>
      <c r="F1748" s="10" t="s">
        <v>1995</v>
      </c>
      <c r="G1748" s="10" t="s">
        <v>26</v>
      </c>
      <c r="H1748" s="10" t="s">
        <v>92</v>
      </c>
      <c r="I1748" s="10" t="s">
        <v>23</v>
      </c>
      <c r="J1748" s="11">
        <v>0.63</v>
      </c>
      <c r="K1748" s="12"/>
      <c r="L1748" s="12"/>
      <c r="M1748" s="12"/>
      <c r="N1748" s="12"/>
      <c r="O1748" s="12"/>
      <c r="P1748" s="12"/>
      <c r="Q1748" s="12"/>
      <c r="R1748" s="12"/>
      <c r="S1748" s="12"/>
    </row>
    <row r="1749" spans="1:19" ht="14.25" customHeight="1" x14ac:dyDescent="0.2">
      <c r="A1749" s="1" t="s">
        <v>24</v>
      </c>
      <c r="B1749" s="7">
        <v>46096.994537037041</v>
      </c>
      <c r="C1749" s="7">
        <v>46097.013379629629</v>
      </c>
      <c r="D1749" s="8">
        <v>46097</v>
      </c>
      <c r="E1749" s="9">
        <v>1.3379629628616385E-2</v>
      </c>
      <c r="F1749" s="10" t="s">
        <v>1996</v>
      </c>
      <c r="G1749" s="10" t="s">
        <v>21</v>
      </c>
      <c r="H1749" s="10" t="s">
        <v>1997</v>
      </c>
      <c r="I1749" s="10" t="s">
        <v>23</v>
      </c>
      <c r="J1749" s="11">
        <v>0.98</v>
      </c>
      <c r="K1749" s="12"/>
      <c r="L1749" s="12"/>
      <c r="M1749" s="12"/>
      <c r="N1749" s="12"/>
      <c r="O1749" s="12"/>
      <c r="P1749" s="12"/>
      <c r="Q1749" s="12"/>
      <c r="R1749" s="12"/>
      <c r="S1749" s="12"/>
    </row>
    <row r="1750" spans="1:19" ht="14.25" customHeight="1" x14ac:dyDescent="0.2">
      <c r="A1750" s="1" t="s">
        <v>95</v>
      </c>
      <c r="B1750" s="19">
        <v>46096.977349537039</v>
      </c>
      <c r="C1750" s="19">
        <v>46097.014050925929</v>
      </c>
      <c r="D1750" s="20">
        <v>46097</v>
      </c>
      <c r="E1750" s="21">
        <v>1.4050925929041114E-2</v>
      </c>
      <c r="F1750" s="1" t="s">
        <v>1998</v>
      </c>
      <c r="G1750" s="1" t="s">
        <v>21</v>
      </c>
      <c r="H1750" s="1" t="s">
        <v>1382</v>
      </c>
      <c r="I1750" s="1" t="s">
        <v>166</v>
      </c>
      <c r="J1750" s="12">
        <v>1.77</v>
      </c>
      <c r="K1750" s="12"/>
      <c r="L1750" s="12"/>
      <c r="M1750" s="12"/>
      <c r="N1750" s="12"/>
      <c r="O1750" s="12"/>
      <c r="P1750" s="12"/>
      <c r="Q1750" s="12"/>
      <c r="R1750" s="12"/>
      <c r="S1750" s="12"/>
    </row>
    <row r="1751" spans="1:19" ht="14.25" customHeight="1" x14ac:dyDescent="0.2">
      <c r="A1751" s="1" t="s">
        <v>19</v>
      </c>
      <c r="B1751" s="7">
        <v>46097.008067129631</v>
      </c>
      <c r="C1751" s="7">
        <v>46097.025914351849</v>
      </c>
      <c r="D1751" s="8">
        <v>46097</v>
      </c>
      <c r="E1751" s="9">
        <v>2.5914351848769002E-2</v>
      </c>
      <c r="F1751" s="10" t="s">
        <v>1999</v>
      </c>
      <c r="G1751" s="10" t="s">
        <v>21</v>
      </c>
      <c r="H1751" s="10" t="s">
        <v>41</v>
      </c>
      <c r="I1751" s="10" t="s">
        <v>23</v>
      </c>
      <c r="J1751" s="11">
        <v>1.77</v>
      </c>
      <c r="K1751" s="12"/>
      <c r="L1751" s="12"/>
      <c r="M1751" s="12"/>
      <c r="N1751" s="12"/>
      <c r="O1751" s="12"/>
      <c r="P1751" s="12"/>
      <c r="Q1751" s="12"/>
      <c r="R1751" s="12"/>
      <c r="S1751" s="12"/>
    </row>
    <row r="1752" spans="1:19" ht="14.25" customHeight="1" x14ac:dyDescent="0.2">
      <c r="A1752" s="1" t="s">
        <v>24</v>
      </c>
      <c r="B1752" s="7">
        <v>46097.006967592592</v>
      </c>
      <c r="C1752" s="7">
        <v>46097.039618055554</v>
      </c>
      <c r="D1752" s="8">
        <v>46097</v>
      </c>
      <c r="E1752" s="9">
        <v>3.9618055554456078E-2</v>
      </c>
      <c r="F1752" s="10" t="s">
        <v>2000</v>
      </c>
      <c r="G1752" s="10" t="s">
        <v>21</v>
      </c>
      <c r="H1752" s="10" t="s">
        <v>41</v>
      </c>
      <c r="I1752" s="10" t="s">
        <v>23</v>
      </c>
      <c r="J1752" s="11">
        <v>1.77</v>
      </c>
      <c r="K1752" s="12"/>
      <c r="L1752" s="12"/>
      <c r="M1752" s="12"/>
      <c r="N1752" s="12"/>
      <c r="O1752" s="12"/>
      <c r="P1752" s="12"/>
      <c r="Q1752" s="12"/>
      <c r="R1752" s="12"/>
      <c r="S1752" s="12"/>
    </row>
    <row r="1753" spans="1:19" ht="14.25" customHeight="1" x14ac:dyDescent="0.2">
      <c r="A1753" s="1" t="s">
        <v>19</v>
      </c>
      <c r="B1753" s="7">
        <v>46097.007824074077</v>
      </c>
      <c r="C1753" s="7">
        <v>46097.040914351855</v>
      </c>
      <c r="D1753" s="8">
        <v>46097</v>
      </c>
      <c r="E1753" s="9">
        <v>4.0914351855462883E-2</v>
      </c>
      <c r="F1753" s="10" t="s">
        <v>2001</v>
      </c>
      <c r="G1753" s="10" t="s">
        <v>26</v>
      </c>
      <c r="H1753" s="10" t="s">
        <v>128</v>
      </c>
      <c r="I1753" s="10" t="s">
        <v>23</v>
      </c>
      <c r="J1753" s="11">
        <v>0.97</v>
      </c>
      <c r="K1753" s="12"/>
      <c r="L1753" s="12"/>
      <c r="M1753" s="12"/>
      <c r="N1753" s="12"/>
      <c r="O1753" s="12"/>
      <c r="P1753" s="12"/>
      <c r="Q1753" s="12"/>
      <c r="R1753" s="12"/>
      <c r="S1753" s="12"/>
    </row>
    <row r="1754" spans="1:19" ht="14.25" customHeight="1" x14ac:dyDescent="0.2">
      <c r="A1754" s="1" t="s">
        <v>95</v>
      </c>
      <c r="B1754" s="7">
        <v>46097.003391203703</v>
      </c>
      <c r="C1754" s="7">
        <v>46097.041342592594</v>
      </c>
      <c r="D1754" s="8">
        <v>46097</v>
      </c>
      <c r="E1754" s="9">
        <v>4.1342592594446614E-2</v>
      </c>
      <c r="F1754" s="10" t="s">
        <v>2002</v>
      </c>
      <c r="G1754" s="10" t="s">
        <v>21</v>
      </c>
      <c r="H1754" s="10" t="s">
        <v>110</v>
      </c>
      <c r="I1754" s="10" t="s">
        <v>23</v>
      </c>
      <c r="J1754" s="11">
        <v>0.83</v>
      </c>
      <c r="K1754" s="12"/>
      <c r="L1754" s="12"/>
      <c r="M1754" s="12"/>
      <c r="N1754" s="12"/>
      <c r="O1754" s="12"/>
      <c r="P1754" s="12"/>
      <c r="Q1754" s="12"/>
      <c r="R1754" s="12"/>
      <c r="S1754" s="12"/>
    </row>
    <row r="1755" spans="1:19" ht="14.25" customHeight="1" x14ac:dyDescent="0.2">
      <c r="A1755" s="1" t="s">
        <v>24</v>
      </c>
      <c r="B1755" s="7">
        <v>46097.020810185182</v>
      </c>
      <c r="C1755" s="7">
        <v>46097.04178240741</v>
      </c>
      <c r="D1755" s="8">
        <v>46097</v>
      </c>
      <c r="E1755" s="9">
        <v>4.1782407410209998E-2</v>
      </c>
      <c r="F1755" s="10" t="s">
        <v>2003</v>
      </c>
      <c r="G1755" s="10" t="s">
        <v>21</v>
      </c>
      <c r="H1755" s="10" t="s">
        <v>71</v>
      </c>
      <c r="I1755" s="10" t="s">
        <v>23</v>
      </c>
      <c r="J1755" s="11">
        <v>1.05</v>
      </c>
      <c r="K1755" s="12"/>
      <c r="L1755" s="12">
        <f>SUM(J1755:J1764)</f>
        <v>14.659999999999998</v>
      </c>
      <c r="M1755" s="13">
        <f>L1755*65</f>
        <v>952.89999999999986</v>
      </c>
      <c r="N1755" s="14">
        <f>MAX(500,M1755)</f>
        <v>952.89999999999986</v>
      </c>
      <c r="O1755" s="12"/>
      <c r="P1755" s="12"/>
      <c r="Q1755" s="12"/>
      <c r="R1755" s="12"/>
      <c r="S1755" s="12"/>
    </row>
    <row r="1756" spans="1:19" ht="14.25" customHeight="1" x14ac:dyDescent="0.2">
      <c r="A1756" s="1" t="s">
        <v>95</v>
      </c>
      <c r="B1756" s="7">
        <v>46097.019421296296</v>
      </c>
      <c r="C1756" s="7">
        <v>46097.043067129627</v>
      </c>
      <c r="D1756" s="8">
        <v>46097</v>
      </c>
      <c r="E1756" s="9">
        <v>4.3067129627161194E-2</v>
      </c>
      <c r="F1756" s="10" t="s">
        <v>2004</v>
      </c>
      <c r="G1756" s="10" t="s">
        <v>21</v>
      </c>
      <c r="H1756" s="10" t="s">
        <v>97</v>
      </c>
      <c r="I1756" s="10" t="s">
        <v>23</v>
      </c>
      <c r="J1756" s="11">
        <v>1.77</v>
      </c>
      <c r="K1756" s="12"/>
      <c r="L1756" s="12"/>
      <c r="M1756" s="12"/>
      <c r="N1756" s="12"/>
      <c r="O1756" s="12"/>
      <c r="P1756" s="12"/>
      <c r="Q1756" s="12"/>
      <c r="R1756" s="12"/>
      <c r="S1756" s="12"/>
    </row>
    <row r="1757" spans="1:19" ht="14.25" customHeight="1" x14ac:dyDescent="0.2">
      <c r="A1757" s="1" t="s">
        <v>24</v>
      </c>
      <c r="B1757" s="19">
        <v>46097.020810185182</v>
      </c>
      <c r="C1757" s="19">
        <v>46097.043171296296</v>
      </c>
      <c r="D1757" s="20">
        <v>46097</v>
      </c>
      <c r="E1757" s="21">
        <v>4.3171296296350192E-2</v>
      </c>
      <c r="F1757" s="1" t="s">
        <v>2005</v>
      </c>
      <c r="G1757" s="1" t="s">
        <v>21</v>
      </c>
      <c r="H1757" s="1" t="s">
        <v>101</v>
      </c>
      <c r="I1757" s="1" t="s">
        <v>166</v>
      </c>
      <c r="J1757" s="12">
        <v>1.7</v>
      </c>
      <c r="K1757" s="12"/>
      <c r="L1757" s="12"/>
      <c r="M1757" s="12"/>
      <c r="N1757" s="12"/>
      <c r="O1757" s="12"/>
      <c r="P1757" s="12"/>
      <c r="Q1757" s="12"/>
      <c r="R1757" s="12"/>
      <c r="S1757" s="12"/>
    </row>
    <row r="1758" spans="1:19" ht="14.25" customHeight="1" x14ac:dyDescent="0.2">
      <c r="A1758" s="1" t="s">
        <v>95</v>
      </c>
      <c r="B1758" s="7">
        <v>46097.027766203704</v>
      </c>
      <c r="C1758" s="7">
        <v>46097.043437499997</v>
      </c>
      <c r="D1758" s="8">
        <v>46097</v>
      </c>
      <c r="E1758" s="9">
        <v>4.3437499996798579E-2</v>
      </c>
      <c r="F1758" s="10" t="s">
        <v>2006</v>
      </c>
      <c r="G1758" s="10" t="s">
        <v>21</v>
      </c>
      <c r="H1758" s="10" t="s">
        <v>108</v>
      </c>
      <c r="I1758" s="10" t="s">
        <v>23</v>
      </c>
      <c r="J1758" s="11">
        <v>1.7</v>
      </c>
      <c r="K1758" s="12"/>
      <c r="L1758" s="12"/>
      <c r="M1758" s="12"/>
      <c r="N1758" s="12"/>
      <c r="O1758" s="12"/>
      <c r="P1758" s="12"/>
      <c r="Q1758" s="12"/>
      <c r="R1758" s="12"/>
      <c r="S1758" s="12"/>
    </row>
    <row r="1759" spans="1:19" ht="14.25" customHeight="1" x14ac:dyDescent="0.2">
      <c r="A1759" s="1" t="s">
        <v>28</v>
      </c>
      <c r="B1759" s="19">
        <v>46097.055335648147</v>
      </c>
      <c r="C1759" s="19">
        <v>46097.070752314816</v>
      </c>
      <c r="D1759" s="20">
        <v>46097</v>
      </c>
      <c r="E1759" s="21">
        <v>7.0752314815763384E-2</v>
      </c>
      <c r="F1759" s="1" t="s">
        <v>2007</v>
      </c>
      <c r="G1759" s="1" t="s">
        <v>21</v>
      </c>
      <c r="H1759" s="1" t="s">
        <v>41</v>
      </c>
      <c r="I1759" s="1" t="s">
        <v>166</v>
      </c>
      <c r="J1759" s="12">
        <v>1.77</v>
      </c>
      <c r="K1759" s="12"/>
      <c r="L1759" s="12"/>
      <c r="M1759" s="12"/>
      <c r="N1759" s="12"/>
      <c r="O1759" s="12"/>
      <c r="P1759" s="12"/>
      <c r="Q1759" s="12"/>
      <c r="R1759" s="12"/>
      <c r="S1759" s="12"/>
    </row>
    <row r="1760" spans="1:19" ht="14.25" customHeight="1" x14ac:dyDescent="0.2">
      <c r="A1760" s="1" t="s">
        <v>230</v>
      </c>
      <c r="B1760" s="7">
        <v>46097.068553240744</v>
      </c>
      <c r="C1760" s="7">
        <v>46097.076006944444</v>
      </c>
      <c r="D1760" s="8">
        <v>46097</v>
      </c>
      <c r="E1760" s="9">
        <v>7.6006944444088731E-2</v>
      </c>
      <c r="F1760" s="10" t="s">
        <v>2008</v>
      </c>
      <c r="G1760" s="10" t="s">
        <v>21</v>
      </c>
      <c r="H1760" s="10" t="s">
        <v>232</v>
      </c>
      <c r="I1760" s="10" t="s">
        <v>23</v>
      </c>
      <c r="J1760" s="11">
        <v>1.7</v>
      </c>
      <c r="K1760" s="12"/>
      <c r="L1760" s="12"/>
      <c r="M1760" s="12"/>
      <c r="N1760" s="12"/>
      <c r="O1760" s="12"/>
      <c r="P1760" s="12"/>
      <c r="Q1760" s="12"/>
      <c r="R1760" s="12"/>
      <c r="S1760" s="12"/>
    </row>
    <row r="1761" spans="1:19" ht="14.25" customHeight="1" x14ac:dyDescent="0.2">
      <c r="A1761" s="1" t="s">
        <v>95</v>
      </c>
      <c r="B1761" s="7">
        <v>46097.057164351849</v>
      </c>
      <c r="C1761" s="7">
        <v>46097.077326388891</v>
      </c>
      <c r="D1761" s="8">
        <v>46097</v>
      </c>
      <c r="E1761" s="9">
        <v>7.7326388891378883E-2</v>
      </c>
      <c r="F1761" s="10" t="s">
        <v>2009</v>
      </c>
      <c r="G1761" s="10" t="s">
        <v>21</v>
      </c>
      <c r="H1761" s="10" t="s">
        <v>154</v>
      </c>
      <c r="I1761" s="10" t="s">
        <v>23</v>
      </c>
      <c r="J1761" s="11">
        <v>1.77</v>
      </c>
      <c r="K1761" s="12"/>
      <c r="L1761" s="12"/>
      <c r="M1761" s="12"/>
      <c r="N1761" s="12"/>
      <c r="O1761" s="12"/>
      <c r="P1761" s="12"/>
      <c r="Q1761" s="12"/>
      <c r="R1761" s="12"/>
      <c r="S1761" s="12"/>
    </row>
    <row r="1762" spans="1:19" ht="14.25" customHeight="1" x14ac:dyDescent="0.2">
      <c r="A1762" s="1" t="s">
        <v>95</v>
      </c>
      <c r="B1762" s="7">
        <v>46097.049027777779</v>
      </c>
      <c r="C1762" s="7">
        <v>46097.077870370369</v>
      </c>
      <c r="D1762" s="8">
        <v>46097</v>
      </c>
      <c r="E1762" s="9">
        <v>7.7870370369055308E-2</v>
      </c>
      <c r="F1762" s="10" t="s">
        <v>2010</v>
      </c>
      <c r="G1762" s="10" t="s">
        <v>21</v>
      </c>
      <c r="H1762" s="10" t="s">
        <v>108</v>
      </c>
      <c r="I1762" s="10" t="s">
        <v>23</v>
      </c>
      <c r="J1762" s="11">
        <v>1.7</v>
      </c>
      <c r="K1762" s="12"/>
      <c r="L1762" s="12"/>
      <c r="M1762" s="12"/>
      <c r="N1762" s="12"/>
      <c r="O1762" s="12"/>
      <c r="P1762" s="12"/>
      <c r="Q1762" s="12"/>
      <c r="R1762" s="12"/>
      <c r="S1762" s="12"/>
    </row>
    <row r="1763" spans="1:19" ht="14.25" customHeight="1" x14ac:dyDescent="0.2">
      <c r="A1763" s="1" t="s">
        <v>28</v>
      </c>
      <c r="B1763" s="7">
        <v>46096.979479166665</v>
      </c>
      <c r="C1763" s="7">
        <v>46097.079247685186</v>
      </c>
      <c r="D1763" s="8">
        <v>46097</v>
      </c>
      <c r="E1763" s="9">
        <v>7.9247685185691807E-2</v>
      </c>
      <c r="F1763" s="10" t="s">
        <v>2011</v>
      </c>
      <c r="G1763" s="10" t="s">
        <v>26</v>
      </c>
      <c r="H1763" s="10" t="s">
        <v>251</v>
      </c>
      <c r="I1763" s="10" t="s">
        <v>23</v>
      </c>
      <c r="J1763" s="11">
        <v>0.62</v>
      </c>
      <c r="K1763" s="12"/>
      <c r="L1763" s="12"/>
      <c r="M1763" s="12"/>
      <c r="N1763" s="12"/>
      <c r="O1763" s="12"/>
      <c r="P1763" s="12"/>
      <c r="Q1763" s="12"/>
      <c r="R1763" s="12"/>
      <c r="S1763" s="12"/>
    </row>
    <row r="1764" spans="1:19" ht="14.25" customHeight="1" x14ac:dyDescent="0.2">
      <c r="A1764" s="1" t="s">
        <v>28</v>
      </c>
      <c r="B1764" s="7">
        <v>46097.064131944448</v>
      </c>
      <c r="C1764" s="7">
        <v>46097.07953703704</v>
      </c>
      <c r="D1764" s="8">
        <v>46097</v>
      </c>
      <c r="E1764" s="9">
        <v>7.9537037039699499E-2</v>
      </c>
      <c r="F1764" s="10" t="s">
        <v>2012</v>
      </c>
      <c r="G1764" s="10" t="s">
        <v>26</v>
      </c>
      <c r="H1764" s="10" t="s">
        <v>37</v>
      </c>
      <c r="I1764" s="10" t="s">
        <v>23</v>
      </c>
      <c r="J1764" s="11">
        <v>0.88</v>
      </c>
      <c r="K1764" s="12"/>
      <c r="L1764" s="12"/>
      <c r="M1764" s="12"/>
      <c r="N1764" s="12"/>
      <c r="O1764" s="12"/>
      <c r="P1764" s="12"/>
      <c r="Q1764" s="12"/>
      <c r="R1764" s="12"/>
      <c r="S1764" s="12"/>
    </row>
    <row r="1765" spans="1:19" ht="14.25" customHeight="1" x14ac:dyDescent="0.2">
      <c r="A1765" s="1" t="s">
        <v>19</v>
      </c>
      <c r="B1765" s="7">
        <v>46097.071099537039</v>
      </c>
      <c r="C1765" s="7">
        <v>46097.08452546296</v>
      </c>
      <c r="D1765" s="8">
        <v>46097</v>
      </c>
      <c r="E1765" s="9">
        <v>8.4525462960300501E-2</v>
      </c>
      <c r="F1765" s="10" t="s">
        <v>2013</v>
      </c>
      <c r="G1765" s="10" t="s">
        <v>21</v>
      </c>
      <c r="H1765" s="10" t="s">
        <v>22</v>
      </c>
      <c r="I1765" s="10" t="s">
        <v>23</v>
      </c>
      <c r="J1765" s="11">
        <v>0.83</v>
      </c>
      <c r="K1765" s="12"/>
      <c r="L1765" s="12">
        <f>SUM(J1765:J1776)</f>
        <v>16.45</v>
      </c>
      <c r="M1765" s="13">
        <f>L1765*65</f>
        <v>1069.25</v>
      </c>
      <c r="N1765" s="14">
        <f>MAX(500,M1765)</f>
        <v>1069.25</v>
      </c>
      <c r="O1765" s="12"/>
      <c r="P1765" s="12"/>
      <c r="Q1765" s="12"/>
      <c r="R1765" s="12"/>
      <c r="S1765" s="12"/>
    </row>
    <row r="1766" spans="1:19" ht="14.25" customHeight="1" x14ac:dyDescent="0.2">
      <c r="A1766" s="1" t="s">
        <v>95</v>
      </c>
      <c r="B1766" s="7">
        <v>46097.079699074071</v>
      </c>
      <c r="C1766" s="7">
        <v>46097.086574074077</v>
      </c>
      <c r="D1766" s="8">
        <v>46097</v>
      </c>
      <c r="E1766" s="9">
        <v>8.6574074077361729E-2</v>
      </c>
      <c r="F1766" s="10" t="s">
        <v>2014</v>
      </c>
      <c r="G1766" s="10" t="s">
        <v>21</v>
      </c>
      <c r="H1766" s="10" t="s">
        <v>97</v>
      </c>
      <c r="I1766" s="10" t="s">
        <v>23</v>
      </c>
      <c r="J1766" s="11">
        <v>1.77</v>
      </c>
      <c r="K1766" s="12"/>
      <c r="L1766" s="12"/>
      <c r="M1766" s="12"/>
      <c r="N1766" s="12"/>
      <c r="O1766" s="12"/>
      <c r="P1766" s="12"/>
      <c r="Q1766" s="12"/>
      <c r="R1766" s="12"/>
      <c r="S1766" s="12"/>
    </row>
    <row r="1767" spans="1:19" ht="14.25" customHeight="1" x14ac:dyDescent="0.2">
      <c r="A1767" s="1" t="s">
        <v>33</v>
      </c>
      <c r="B1767" s="7">
        <v>46097.063506944447</v>
      </c>
      <c r="C1767" s="7">
        <v>46097.087685185186</v>
      </c>
      <c r="D1767" s="8">
        <v>46097</v>
      </c>
      <c r="E1767" s="9">
        <v>8.7685185186273884E-2</v>
      </c>
      <c r="F1767" s="10" t="s">
        <v>2015</v>
      </c>
      <c r="G1767" s="10" t="s">
        <v>21</v>
      </c>
      <c r="H1767" s="10" t="s">
        <v>71</v>
      </c>
      <c r="I1767" s="10" t="s">
        <v>23</v>
      </c>
      <c r="J1767" s="11">
        <v>1.05</v>
      </c>
      <c r="K1767" s="12"/>
      <c r="L1767" s="12"/>
      <c r="M1767" s="12"/>
      <c r="N1767" s="12"/>
      <c r="O1767" s="12"/>
      <c r="P1767" s="12"/>
      <c r="Q1767" s="12"/>
      <c r="R1767" s="12"/>
      <c r="S1767" s="12"/>
    </row>
    <row r="1768" spans="1:19" ht="14.25" customHeight="1" x14ac:dyDescent="0.2">
      <c r="A1768" s="1" t="s">
        <v>95</v>
      </c>
      <c r="B1768" s="7">
        <v>46097.074421296296</v>
      </c>
      <c r="C1768" s="7">
        <v>46097.088009259256</v>
      </c>
      <c r="D1768" s="8">
        <v>46097</v>
      </c>
      <c r="E1768" s="9">
        <v>8.8009259256068617E-2</v>
      </c>
      <c r="F1768" s="10" t="s">
        <v>2016</v>
      </c>
      <c r="G1768" s="10" t="s">
        <v>21</v>
      </c>
      <c r="H1768" s="10" t="s">
        <v>97</v>
      </c>
      <c r="I1768" s="10" t="s">
        <v>23</v>
      </c>
      <c r="J1768" s="11">
        <v>1.77</v>
      </c>
      <c r="K1768" s="12"/>
      <c r="L1768" s="12"/>
      <c r="M1768" s="12"/>
      <c r="N1768" s="12"/>
      <c r="O1768" s="12"/>
      <c r="P1768" s="12"/>
      <c r="Q1768" s="12"/>
      <c r="R1768" s="12"/>
      <c r="S1768" s="12"/>
    </row>
    <row r="1769" spans="1:19" ht="14.25" customHeight="1" x14ac:dyDescent="0.2">
      <c r="A1769" s="1" t="s">
        <v>19</v>
      </c>
      <c r="B1769" s="19">
        <v>46097.054166666669</v>
      </c>
      <c r="C1769" s="19">
        <v>46097.088321759256</v>
      </c>
      <c r="D1769" s="20">
        <v>46097</v>
      </c>
      <c r="E1769" s="21">
        <v>8.8321759256359655E-2</v>
      </c>
      <c r="F1769" s="1" t="s">
        <v>2017</v>
      </c>
      <c r="G1769" s="1" t="s">
        <v>21</v>
      </c>
      <c r="H1769" s="1" t="s">
        <v>488</v>
      </c>
      <c r="I1769" s="1" t="s">
        <v>166</v>
      </c>
      <c r="J1769" s="12">
        <v>1.1299999999999999</v>
      </c>
      <c r="K1769" s="12"/>
      <c r="L1769" s="12"/>
      <c r="M1769" s="12"/>
      <c r="N1769" s="12"/>
      <c r="O1769" s="12"/>
      <c r="P1769" s="12"/>
      <c r="Q1769" s="12"/>
      <c r="R1769" s="12"/>
      <c r="S1769" s="12"/>
    </row>
    <row r="1770" spans="1:19" ht="14.25" customHeight="1" x14ac:dyDescent="0.2">
      <c r="A1770" s="1" t="s">
        <v>33</v>
      </c>
      <c r="B1770" s="19">
        <v>46097.049687500003</v>
      </c>
      <c r="C1770" s="19">
        <v>46097.096377314818</v>
      </c>
      <c r="D1770" s="20">
        <v>46097</v>
      </c>
      <c r="E1770" s="21">
        <v>9.6377314817800652E-2</v>
      </c>
      <c r="F1770" s="1" t="s">
        <v>2018</v>
      </c>
      <c r="G1770" s="1" t="s">
        <v>26</v>
      </c>
      <c r="H1770" s="1" t="s">
        <v>1019</v>
      </c>
      <c r="I1770" s="1" t="s">
        <v>166</v>
      </c>
      <c r="J1770" s="12">
        <v>0.67</v>
      </c>
      <c r="K1770" s="12"/>
      <c r="L1770" s="12"/>
      <c r="M1770" s="12"/>
      <c r="N1770" s="12"/>
      <c r="O1770" s="12"/>
      <c r="P1770" s="12"/>
      <c r="Q1770" s="12"/>
      <c r="R1770" s="12"/>
      <c r="S1770" s="12"/>
    </row>
    <row r="1771" spans="1:19" ht="14.25" customHeight="1" x14ac:dyDescent="0.2">
      <c r="A1771" s="1" t="s">
        <v>33</v>
      </c>
      <c r="B1771" s="7">
        <v>46097.091828703706</v>
      </c>
      <c r="C1771" s="7">
        <v>46097.100266203706</v>
      </c>
      <c r="D1771" s="8">
        <v>46097</v>
      </c>
      <c r="E1771" s="9">
        <v>0.10026620370626915</v>
      </c>
      <c r="F1771" s="10" t="s">
        <v>2019</v>
      </c>
      <c r="G1771" s="10" t="s">
        <v>21</v>
      </c>
      <c r="H1771" s="10" t="s">
        <v>101</v>
      </c>
      <c r="I1771" s="10" t="s">
        <v>23</v>
      </c>
      <c r="J1771" s="11">
        <v>1.7</v>
      </c>
      <c r="K1771" s="12"/>
      <c r="L1771" s="12"/>
      <c r="M1771" s="12"/>
      <c r="N1771" s="12"/>
      <c r="O1771" s="12"/>
      <c r="P1771" s="12"/>
      <c r="Q1771" s="12"/>
      <c r="R1771" s="12"/>
      <c r="S1771" s="12"/>
    </row>
    <row r="1772" spans="1:19" ht="14.25" customHeight="1" x14ac:dyDescent="0.2">
      <c r="A1772" s="1" t="s">
        <v>95</v>
      </c>
      <c r="B1772" s="7">
        <v>46097.090486111112</v>
      </c>
      <c r="C1772" s="7">
        <v>46097.113726851851</v>
      </c>
      <c r="D1772" s="8">
        <v>46097</v>
      </c>
      <c r="E1772" s="9">
        <v>0.11372685185051523</v>
      </c>
      <c r="F1772" s="10" t="s">
        <v>2020</v>
      </c>
      <c r="G1772" s="10" t="s">
        <v>21</v>
      </c>
      <c r="H1772" s="10" t="s">
        <v>110</v>
      </c>
      <c r="I1772" s="10" t="s">
        <v>23</v>
      </c>
      <c r="J1772" s="11">
        <v>0.83</v>
      </c>
      <c r="K1772" s="12"/>
      <c r="L1772" s="12"/>
      <c r="M1772" s="12"/>
      <c r="N1772" s="12"/>
      <c r="O1772" s="12"/>
      <c r="P1772" s="12"/>
      <c r="Q1772" s="12"/>
      <c r="R1772" s="12"/>
      <c r="S1772" s="12"/>
    </row>
    <row r="1773" spans="1:19" ht="14.25" customHeight="1" x14ac:dyDescent="0.2">
      <c r="A1773" s="1" t="s">
        <v>95</v>
      </c>
      <c r="B1773" s="7">
        <v>46097.090486111112</v>
      </c>
      <c r="C1773" s="7">
        <v>46097.114166666666</v>
      </c>
      <c r="D1773" s="8">
        <v>46097</v>
      </c>
      <c r="E1773" s="9">
        <v>0.11416666666627862</v>
      </c>
      <c r="F1773" s="10" t="s">
        <v>2021</v>
      </c>
      <c r="G1773" s="10" t="s">
        <v>21</v>
      </c>
      <c r="H1773" s="10" t="s">
        <v>105</v>
      </c>
      <c r="I1773" s="10" t="s">
        <v>23</v>
      </c>
      <c r="J1773" s="11">
        <v>2.5</v>
      </c>
      <c r="K1773" s="12"/>
      <c r="L1773" s="12"/>
      <c r="M1773" s="12"/>
      <c r="N1773" s="12"/>
      <c r="O1773" s="12"/>
      <c r="P1773" s="12"/>
      <c r="Q1773" s="12"/>
      <c r="R1773" s="12"/>
      <c r="S1773" s="12"/>
    </row>
    <row r="1774" spans="1:19" ht="14.25" customHeight="1" x14ac:dyDescent="0.2">
      <c r="A1774" s="1" t="s">
        <v>19</v>
      </c>
      <c r="B1774" s="7">
        <v>46097.101747685185</v>
      </c>
      <c r="C1774" s="7">
        <v>46097.116296296299</v>
      </c>
      <c r="D1774" s="8">
        <v>46097</v>
      </c>
      <c r="E1774" s="9">
        <v>0.11629629629896954</v>
      </c>
      <c r="F1774" s="10" t="s">
        <v>2022</v>
      </c>
      <c r="G1774" s="10" t="s">
        <v>21</v>
      </c>
      <c r="H1774" s="10" t="s">
        <v>39</v>
      </c>
      <c r="I1774" s="10" t="s">
        <v>23</v>
      </c>
      <c r="J1774" s="11">
        <v>1.77</v>
      </c>
      <c r="K1774" s="12"/>
      <c r="L1774" s="12"/>
      <c r="M1774" s="12"/>
      <c r="N1774" s="12"/>
      <c r="O1774" s="12"/>
      <c r="P1774" s="12"/>
      <c r="Q1774" s="12"/>
      <c r="R1774" s="12"/>
      <c r="S1774" s="12"/>
    </row>
    <row r="1775" spans="1:19" ht="14.25" customHeight="1" x14ac:dyDescent="0.2">
      <c r="A1775" s="1" t="s">
        <v>42</v>
      </c>
      <c r="B1775" s="7">
        <v>46097.094988425924</v>
      </c>
      <c r="C1775" s="7">
        <v>46097.124513888892</v>
      </c>
      <c r="D1775" s="8">
        <v>46097</v>
      </c>
      <c r="E1775" s="9">
        <v>0.12451388889166992</v>
      </c>
      <c r="F1775" s="10" t="s">
        <v>2023</v>
      </c>
      <c r="G1775" s="10" t="s">
        <v>26</v>
      </c>
      <c r="H1775" s="10" t="s">
        <v>56</v>
      </c>
      <c r="I1775" s="10" t="s">
        <v>23</v>
      </c>
      <c r="J1775" s="11">
        <v>0.73</v>
      </c>
      <c r="K1775" s="12"/>
      <c r="L1775" s="12"/>
      <c r="M1775" s="12"/>
      <c r="N1775" s="12"/>
      <c r="O1775" s="12"/>
      <c r="P1775" s="12"/>
      <c r="Q1775" s="12"/>
      <c r="R1775" s="12"/>
      <c r="S1775" s="12"/>
    </row>
    <row r="1776" spans="1:19" ht="14.25" customHeight="1" x14ac:dyDescent="0.2">
      <c r="A1776" s="1" t="s">
        <v>19</v>
      </c>
      <c r="B1776" s="19">
        <v>46097.10496527778</v>
      </c>
      <c r="C1776" s="19">
        <v>46097.125138888892</v>
      </c>
      <c r="D1776" s="20">
        <v>46097</v>
      </c>
      <c r="E1776" s="21">
        <v>0.125138888892252</v>
      </c>
      <c r="F1776" s="1" t="s">
        <v>2024</v>
      </c>
      <c r="G1776" s="1" t="s">
        <v>21</v>
      </c>
      <c r="H1776" s="1" t="s">
        <v>101</v>
      </c>
      <c r="I1776" s="1" t="s">
        <v>166</v>
      </c>
      <c r="J1776" s="12">
        <v>1.7</v>
      </c>
      <c r="K1776" s="12"/>
      <c r="L1776" s="12"/>
      <c r="M1776" s="12"/>
      <c r="N1776" s="12"/>
      <c r="O1776" s="12"/>
      <c r="P1776" s="12"/>
      <c r="Q1776" s="12"/>
      <c r="R1776" s="12"/>
      <c r="S1776" s="12"/>
    </row>
    <row r="1777" spans="1:19" ht="14.25" customHeight="1" x14ac:dyDescent="0.2">
      <c r="A1777" s="1" t="s">
        <v>95</v>
      </c>
      <c r="B1777" s="7">
        <v>46097.114606481482</v>
      </c>
      <c r="C1777" s="7">
        <v>46097.130868055552</v>
      </c>
      <c r="D1777" s="8">
        <v>46097</v>
      </c>
      <c r="E1777" s="9">
        <v>0.13086805555212777</v>
      </c>
      <c r="F1777" s="10" t="s">
        <v>2025</v>
      </c>
      <c r="G1777" s="10" t="s">
        <v>21</v>
      </c>
      <c r="H1777" s="10" t="s">
        <v>97</v>
      </c>
      <c r="I1777" s="10" t="s">
        <v>23</v>
      </c>
      <c r="J1777" s="11">
        <v>1.77</v>
      </c>
      <c r="K1777" s="12">
        <f>SUM(J1777:J1802)</f>
        <v>32.599999999999994</v>
      </c>
      <c r="L1777" s="12">
        <f>SUM(J1777:J1783)</f>
        <v>8.5299999999999994</v>
      </c>
      <c r="M1777" s="13">
        <f>L1777*65</f>
        <v>554.44999999999993</v>
      </c>
      <c r="N1777" s="14">
        <f>MAX(500,M1777)</f>
        <v>554.44999999999993</v>
      </c>
      <c r="O1777" s="12"/>
      <c r="P1777" s="12"/>
      <c r="Q1777" s="12"/>
      <c r="R1777" s="12"/>
      <c r="S1777" s="12"/>
    </row>
    <row r="1778" spans="1:19" ht="14.25" customHeight="1" x14ac:dyDescent="0.2">
      <c r="A1778" s="1" t="s">
        <v>24</v>
      </c>
      <c r="B1778" s="7">
        <v>46097.091319444444</v>
      </c>
      <c r="C1778" s="7">
        <v>46097.137986111113</v>
      </c>
      <c r="D1778" s="8">
        <v>46097</v>
      </c>
      <c r="E1778" s="9">
        <v>0.13798611111269565</v>
      </c>
      <c r="F1778" s="10" t="s">
        <v>2026</v>
      </c>
      <c r="G1778" s="10" t="s">
        <v>26</v>
      </c>
      <c r="H1778" s="10" t="s">
        <v>27</v>
      </c>
      <c r="I1778" s="10" t="s">
        <v>23</v>
      </c>
      <c r="J1778" s="11">
        <v>0.68</v>
      </c>
      <c r="K1778" s="12"/>
      <c r="L1778" s="12"/>
      <c r="M1778" s="12"/>
      <c r="N1778" s="12"/>
      <c r="O1778" s="12"/>
      <c r="P1778" s="12"/>
      <c r="Q1778" s="12"/>
      <c r="R1778" s="12"/>
      <c r="S1778" s="12"/>
    </row>
    <row r="1779" spans="1:19" ht="14.25" customHeight="1" x14ac:dyDescent="0.2">
      <c r="A1779" s="1" t="s">
        <v>230</v>
      </c>
      <c r="B1779" s="7">
        <v>46097.132013888891</v>
      </c>
      <c r="C1779" s="7">
        <v>46097.142500000002</v>
      </c>
      <c r="D1779" s="8">
        <v>46097</v>
      </c>
      <c r="E1779" s="9">
        <v>0.14250000000174623</v>
      </c>
      <c r="F1779" s="10" t="s">
        <v>2027</v>
      </c>
      <c r="G1779" s="10" t="s">
        <v>21</v>
      </c>
      <c r="H1779" s="10" t="s">
        <v>1553</v>
      </c>
      <c r="I1779" s="10" t="s">
        <v>23</v>
      </c>
      <c r="J1779" s="11">
        <v>0.83</v>
      </c>
      <c r="K1779" s="12"/>
      <c r="L1779" s="12"/>
      <c r="M1779" s="12"/>
      <c r="N1779" s="12"/>
      <c r="O1779" s="12"/>
      <c r="P1779" s="12"/>
      <c r="Q1779" s="12"/>
      <c r="R1779" s="12"/>
      <c r="S1779" s="12"/>
    </row>
    <row r="1780" spans="1:19" ht="14.25" customHeight="1" x14ac:dyDescent="0.2">
      <c r="A1780" s="1" t="s">
        <v>230</v>
      </c>
      <c r="B1780" s="7">
        <v>46097.133796296293</v>
      </c>
      <c r="C1780" s="7">
        <v>46097.143101851849</v>
      </c>
      <c r="D1780" s="8">
        <v>46097</v>
      </c>
      <c r="E1780" s="9">
        <v>0.143101851848769</v>
      </c>
      <c r="F1780" s="10" t="s">
        <v>2028</v>
      </c>
      <c r="G1780" s="10" t="s">
        <v>21</v>
      </c>
      <c r="H1780" s="10" t="s">
        <v>2029</v>
      </c>
      <c r="I1780" s="10" t="s">
        <v>23</v>
      </c>
      <c r="J1780" s="11">
        <v>0.83</v>
      </c>
      <c r="K1780" s="12"/>
      <c r="L1780" s="12"/>
      <c r="M1780" s="12"/>
      <c r="N1780" s="12"/>
      <c r="O1780" s="12"/>
      <c r="P1780" s="12"/>
      <c r="Q1780" s="12"/>
      <c r="R1780" s="12"/>
      <c r="S1780" s="12"/>
    </row>
    <row r="1781" spans="1:19" ht="14.25" customHeight="1" x14ac:dyDescent="0.2">
      <c r="A1781" s="1" t="s">
        <v>24</v>
      </c>
      <c r="B1781" s="7">
        <v>46097.096979166665</v>
      </c>
      <c r="C1781" s="7">
        <v>46097.144270833334</v>
      </c>
      <c r="D1781" s="8">
        <v>46097</v>
      </c>
      <c r="E1781" s="9">
        <v>0.14427083333430346</v>
      </c>
      <c r="F1781" s="10" t="s">
        <v>2030</v>
      </c>
      <c r="G1781" s="10" t="s">
        <v>26</v>
      </c>
      <c r="H1781" s="10" t="s">
        <v>284</v>
      </c>
      <c r="I1781" s="10" t="s">
        <v>23</v>
      </c>
      <c r="J1781" s="11">
        <v>0.88</v>
      </c>
      <c r="K1781" s="12"/>
      <c r="L1781" s="12"/>
      <c r="M1781" s="12"/>
      <c r="N1781" s="12"/>
      <c r="O1781" s="12"/>
      <c r="P1781" s="12"/>
      <c r="Q1781" s="12"/>
      <c r="R1781" s="12"/>
      <c r="S1781" s="12"/>
    </row>
    <row r="1782" spans="1:19" ht="14.25" customHeight="1" x14ac:dyDescent="0.2">
      <c r="A1782" s="1" t="s">
        <v>28</v>
      </c>
      <c r="B1782" s="7">
        <v>46097.139004629629</v>
      </c>
      <c r="C1782" s="7">
        <v>46097.153344907405</v>
      </c>
      <c r="D1782" s="8">
        <v>46097</v>
      </c>
      <c r="E1782" s="9">
        <v>0.15334490740497131</v>
      </c>
      <c r="F1782" s="10" t="s">
        <v>2031</v>
      </c>
      <c r="G1782" s="10" t="s">
        <v>21</v>
      </c>
      <c r="H1782" s="10" t="s">
        <v>41</v>
      </c>
      <c r="I1782" s="10" t="s">
        <v>23</v>
      </c>
      <c r="J1782" s="11">
        <v>1.77</v>
      </c>
      <c r="K1782" s="12"/>
      <c r="L1782" s="12"/>
      <c r="M1782" s="12"/>
      <c r="N1782" s="12"/>
      <c r="O1782" s="12"/>
      <c r="P1782" s="12"/>
      <c r="Q1782" s="12"/>
      <c r="R1782" s="12"/>
      <c r="S1782" s="12"/>
    </row>
    <row r="1783" spans="1:19" ht="14.25" customHeight="1" x14ac:dyDescent="0.2">
      <c r="A1783" s="1" t="s">
        <v>95</v>
      </c>
      <c r="B1783" s="7">
        <v>46097.136828703704</v>
      </c>
      <c r="C1783" s="7">
        <v>46097.158356481479</v>
      </c>
      <c r="D1783" s="8">
        <v>46097</v>
      </c>
      <c r="E1783" s="9">
        <v>0.15835648147913162</v>
      </c>
      <c r="F1783" s="10" t="s">
        <v>2032</v>
      </c>
      <c r="G1783" s="10" t="s">
        <v>21</v>
      </c>
      <c r="H1783" s="10" t="s">
        <v>154</v>
      </c>
      <c r="I1783" s="10" t="s">
        <v>23</v>
      </c>
      <c r="J1783" s="11">
        <v>1.77</v>
      </c>
      <c r="K1783" s="12"/>
      <c r="L1783" s="12"/>
      <c r="M1783" s="12"/>
      <c r="N1783" s="12"/>
      <c r="O1783" s="12"/>
      <c r="P1783" s="12"/>
      <c r="Q1783" s="12"/>
      <c r="R1783" s="12"/>
      <c r="S1783" s="12"/>
    </row>
    <row r="1784" spans="1:19" ht="14.25" customHeight="1" x14ac:dyDescent="0.2">
      <c r="A1784" s="1" t="s">
        <v>19</v>
      </c>
      <c r="B1784" s="7">
        <v>46097.162060185183</v>
      </c>
      <c r="C1784" s="7">
        <v>46097.172962962963</v>
      </c>
      <c r="D1784" s="8">
        <v>46097</v>
      </c>
      <c r="E1784" s="9">
        <v>0.17296296296262881</v>
      </c>
      <c r="F1784" s="10" t="s">
        <v>2033</v>
      </c>
      <c r="G1784" s="10" t="s">
        <v>21</v>
      </c>
      <c r="H1784" s="10" t="s">
        <v>41</v>
      </c>
      <c r="I1784" s="10" t="s">
        <v>23</v>
      </c>
      <c r="J1784" s="11">
        <v>1.77</v>
      </c>
      <c r="K1784" s="12"/>
      <c r="L1784" s="12">
        <f>SUM(J1784:J1790)</f>
        <v>9.02</v>
      </c>
      <c r="M1784" s="13">
        <f>L1784*65</f>
        <v>586.29999999999995</v>
      </c>
      <c r="N1784" s="14">
        <f>MAX(500,M1784)</f>
        <v>586.29999999999995</v>
      </c>
      <c r="O1784" s="12"/>
      <c r="P1784" s="12"/>
      <c r="Q1784" s="12"/>
      <c r="R1784" s="12"/>
      <c r="S1784" s="12"/>
    </row>
    <row r="1785" spans="1:19" ht="14.25" customHeight="1" x14ac:dyDescent="0.2">
      <c r="A1785" s="1" t="s">
        <v>28</v>
      </c>
      <c r="B1785" s="7">
        <v>46097.162002314813</v>
      </c>
      <c r="C1785" s="7">
        <v>46097.173298611109</v>
      </c>
      <c r="D1785" s="8">
        <v>46097</v>
      </c>
      <c r="E1785" s="9">
        <v>0.17329861110920319</v>
      </c>
      <c r="F1785" s="10" t="s">
        <v>2034</v>
      </c>
      <c r="G1785" s="10" t="s">
        <v>21</v>
      </c>
      <c r="H1785" s="10" t="s">
        <v>39</v>
      </c>
      <c r="I1785" s="10" t="s">
        <v>23</v>
      </c>
      <c r="J1785" s="11">
        <v>1.77</v>
      </c>
      <c r="K1785" s="12"/>
      <c r="L1785" s="12"/>
      <c r="M1785" s="12"/>
      <c r="N1785" s="12"/>
      <c r="O1785" s="12"/>
      <c r="P1785" s="12"/>
      <c r="Q1785" s="12"/>
      <c r="R1785" s="12"/>
      <c r="S1785" s="12"/>
    </row>
    <row r="1786" spans="1:19" ht="14.25" customHeight="1" x14ac:dyDescent="0.2">
      <c r="A1786" s="1" t="s">
        <v>95</v>
      </c>
      <c r="B1786" s="7">
        <v>46097.14466435185</v>
      </c>
      <c r="C1786" s="7">
        <v>46097.173564814817</v>
      </c>
      <c r="D1786" s="8">
        <v>46097</v>
      </c>
      <c r="E1786" s="9">
        <v>0.17356481481692754</v>
      </c>
      <c r="F1786" s="10" t="s">
        <v>2035</v>
      </c>
      <c r="G1786" s="10" t="s">
        <v>26</v>
      </c>
      <c r="H1786" s="10" t="s">
        <v>1232</v>
      </c>
      <c r="I1786" s="10" t="s">
        <v>23</v>
      </c>
      <c r="J1786" s="11">
        <v>0.75</v>
      </c>
      <c r="K1786" s="12"/>
      <c r="L1786" s="12"/>
      <c r="M1786" s="12"/>
      <c r="N1786" s="12"/>
      <c r="O1786" s="12"/>
      <c r="P1786" s="12"/>
      <c r="Q1786" s="12"/>
      <c r="R1786" s="12"/>
      <c r="S1786" s="12"/>
    </row>
    <row r="1787" spans="1:19" ht="14.25" customHeight="1" x14ac:dyDescent="0.2">
      <c r="A1787" s="1" t="s">
        <v>95</v>
      </c>
      <c r="B1787" s="7">
        <v>46097.152604166666</v>
      </c>
      <c r="C1787" s="7">
        <v>46097.173854166664</v>
      </c>
      <c r="D1787" s="8">
        <v>46097</v>
      </c>
      <c r="E1787" s="9">
        <v>0.17385416666365927</v>
      </c>
      <c r="F1787" s="10" t="s">
        <v>2036</v>
      </c>
      <c r="G1787" s="10" t="s">
        <v>26</v>
      </c>
      <c r="H1787" s="10" t="s">
        <v>56</v>
      </c>
      <c r="I1787" s="10" t="s">
        <v>23</v>
      </c>
      <c r="J1787" s="11">
        <v>0.73</v>
      </c>
      <c r="K1787" s="12"/>
      <c r="L1787" s="12"/>
      <c r="M1787" s="12"/>
      <c r="N1787" s="12"/>
      <c r="O1787" s="12"/>
      <c r="P1787" s="12"/>
      <c r="Q1787" s="12"/>
      <c r="R1787" s="12"/>
      <c r="S1787" s="12"/>
    </row>
    <row r="1788" spans="1:19" ht="14.25" customHeight="1" x14ac:dyDescent="0.2">
      <c r="A1788" s="1" t="s">
        <v>28</v>
      </c>
      <c r="B1788" s="7">
        <v>46097.172835648147</v>
      </c>
      <c r="C1788" s="7">
        <v>46097.184664351851</v>
      </c>
      <c r="D1788" s="8">
        <v>46097</v>
      </c>
      <c r="E1788" s="9">
        <v>0.18466435185109731</v>
      </c>
      <c r="F1788" s="10" t="s">
        <v>2037</v>
      </c>
      <c r="G1788" s="10" t="s">
        <v>21</v>
      </c>
      <c r="H1788" s="10" t="s">
        <v>22</v>
      </c>
      <c r="I1788" s="10" t="s">
        <v>23</v>
      </c>
      <c r="J1788" s="11">
        <v>0.83</v>
      </c>
      <c r="K1788" s="12"/>
      <c r="L1788" s="12"/>
      <c r="M1788" s="12"/>
      <c r="N1788" s="12"/>
      <c r="O1788" s="12"/>
      <c r="P1788" s="12"/>
      <c r="Q1788" s="12"/>
      <c r="R1788" s="12"/>
      <c r="S1788" s="12"/>
    </row>
    <row r="1789" spans="1:19" ht="14.25" customHeight="1" x14ac:dyDescent="0.2">
      <c r="A1789" s="1" t="s">
        <v>33</v>
      </c>
      <c r="B1789" s="7">
        <v>46097.191400462965</v>
      </c>
      <c r="C1789" s="7">
        <v>46097.202534722222</v>
      </c>
      <c r="D1789" s="8">
        <v>46097</v>
      </c>
      <c r="E1789" s="9">
        <v>0.20253472222248092</v>
      </c>
      <c r="F1789" s="10" t="s">
        <v>2038</v>
      </c>
      <c r="G1789" s="10" t="s">
        <v>21</v>
      </c>
      <c r="H1789" s="10" t="s">
        <v>22</v>
      </c>
      <c r="I1789" s="10" t="s">
        <v>23</v>
      </c>
      <c r="J1789" s="11">
        <v>0.83</v>
      </c>
      <c r="K1789" s="12"/>
      <c r="L1789" s="12"/>
      <c r="M1789" s="12"/>
      <c r="N1789" s="12"/>
      <c r="O1789" s="12"/>
      <c r="P1789" s="12"/>
      <c r="Q1789" s="12"/>
      <c r="R1789" s="12"/>
      <c r="S1789" s="12"/>
    </row>
    <row r="1790" spans="1:19" ht="14.25" customHeight="1" x14ac:dyDescent="0.2">
      <c r="A1790" s="1" t="s">
        <v>24</v>
      </c>
      <c r="B1790" s="7">
        <v>46097.180312500001</v>
      </c>
      <c r="C1790" s="7">
        <v>46097.204560185186</v>
      </c>
      <c r="D1790" s="8">
        <v>46097</v>
      </c>
      <c r="E1790" s="9">
        <v>0.20456018518598285</v>
      </c>
      <c r="F1790" s="10" t="s">
        <v>2039</v>
      </c>
      <c r="G1790" s="10" t="s">
        <v>21</v>
      </c>
      <c r="H1790" s="10" t="s">
        <v>440</v>
      </c>
      <c r="I1790" s="10" t="s">
        <v>23</v>
      </c>
      <c r="J1790" s="11">
        <v>2.34</v>
      </c>
      <c r="K1790" s="12"/>
      <c r="L1790" s="12"/>
      <c r="M1790" s="12"/>
      <c r="N1790" s="12"/>
      <c r="O1790" s="12"/>
      <c r="P1790" s="12"/>
      <c r="Q1790" s="12"/>
      <c r="R1790" s="12"/>
      <c r="S1790" s="12"/>
    </row>
    <row r="1791" spans="1:19" ht="14.25" customHeight="1" x14ac:dyDescent="0.2">
      <c r="A1791" s="1" t="s">
        <v>95</v>
      </c>
      <c r="B1791" s="7">
        <v>46097.20621527778</v>
      </c>
      <c r="C1791" s="7">
        <v>46097.211655092593</v>
      </c>
      <c r="D1791" s="8">
        <v>46097</v>
      </c>
      <c r="E1791" s="9">
        <v>0.21165509259299142</v>
      </c>
      <c r="F1791" s="10" t="s">
        <v>2040</v>
      </c>
      <c r="G1791" s="10" t="s">
        <v>21</v>
      </c>
      <c r="H1791" s="10" t="s">
        <v>435</v>
      </c>
      <c r="I1791" s="10" t="s">
        <v>23</v>
      </c>
      <c r="J1791" s="11">
        <v>1.1299999999999999</v>
      </c>
      <c r="K1791" s="12"/>
      <c r="L1791" s="12">
        <f>SUM(J1791:J1802)</f>
        <v>15.05</v>
      </c>
      <c r="M1791" s="13">
        <f>L1791*65</f>
        <v>978.25</v>
      </c>
      <c r="N1791" s="14">
        <f>MAX(500,M1791)</f>
        <v>978.25</v>
      </c>
      <c r="O1791" s="12"/>
      <c r="P1791" s="12"/>
      <c r="Q1791" s="12"/>
      <c r="R1791" s="12"/>
      <c r="S1791" s="12"/>
    </row>
    <row r="1792" spans="1:19" ht="14.25" customHeight="1" x14ac:dyDescent="0.2">
      <c r="A1792" s="1" t="s">
        <v>95</v>
      </c>
      <c r="B1792" s="7">
        <v>46097.198564814818</v>
      </c>
      <c r="C1792" s="7">
        <v>46097.216793981483</v>
      </c>
      <c r="D1792" s="8">
        <v>46097</v>
      </c>
      <c r="E1792" s="9">
        <v>0.21679398148262408</v>
      </c>
      <c r="F1792" s="10" t="s">
        <v>2041</v>
      </c>
      <c r="G1792" s="10" t="s">
        <v>21</v>
      </c>
      <c r="H1792" s="10" t="s">
        <v>97</v>
      </c>
      <c r="I1792" s="10" t="s">
        <v>23</v>
      </c>
      <c r="J1792" s="11">
        <v>1.77</v>
      </c>
      <c r="K1792" s="12"/>
      <c r="L1792" s="12"/>
      <c r="M1792" s="12"/>
      <c r="N1792" s="12"/>
      <c r="O1792" s="12"/>
      <c r="P1792" s="12"/>
      <c r="Q1792" s="12"/>
      <c r="R1792" s="12"/>
      <c r="S1792" s="12"/>
    </row>
    <row r="1793" spans="1:19" ht="14.25" customHeight="1" x14ac:dyDescent="0.2">
      <c r="A1793" s="1" t="s">
        <v>28</v>
      </c>
      <c r="B1793" s="7">
        <v>46097.221168981479</v>
      </c>
      <c r="C1793" s="7">
        <v>46097.232800925929</v>
      </c>
      <c r="D1793" s="8">
        <v>46097</v>
      </c>
      <c r="E1793" s="9">
        <v>0.23280092592904111</v>
      </c>
      <c r="F1793" s="10" t="s">
        <v>2042</v>
      </c>
      <c r="G1793" s="10" t="s">
        <v>21</v>
      </c>
      <c r="H1793" s="10" t="s">
        <v>39</v>
      </c>
      <c r="I1793" s="10" t="s">
        <v>23</v>
      </c>
      <c r="J1793" s="11">
        <v>1.77</v>
      </c>
      <c r="K1793" s="12"/>
      <c r="L1793" s="12"/>
      <c r="M1793" s="12"/>
      <c r="N1793" s="12"/>
      <c r="O1793" s="12"/>
      <c r="P1793" s="12"/>
      <c r="Q1793" s="12"/>
      <c r="R1793" s="12"/>
      <c r="S1793" s="12"/>
    </row>
    <row r="1794" spans="1:19" ht="14.25" customHeight="1" x14ac:dyDescent="0.2">
      <c r="A1794" s="1" t="s">
        <v>95</v>
      </c>
      <c r="B1794" s="7">
        <v>46097.212372685186</v>
      </c>
      <c r="C1794" s="7">
        <v>46097.233032407406</v>
      </c>
      <c r="D1794" s="8">
        <v>46097</v>
      </c>
      <c r="E1794" s="9">
        <v>0.2330324074064265</v>
      </c>
      <c r="F1794" s="10" t="s">
        <v>2043</v>
      </c>
      <c r="G1794" s="10" t="s">
        <v>21</v>
      </c>
      <c r="H1794" s="10" t="s">
        <v>110</v>
      </c>
      <c r="I1794" s="10" t="s">
        <v>23</v>
      </c>
      <c r="J1794" s="11">
        <v>0.83</v>
      </c>
      <c r="K1794" s="12"/>
      <c r="L1794" s="12"/>
      <c r="M1794" s="12"/>
      <c r="N1794" s="12"/>
      <c r="O1794" s="12"/>
      <c r="P1794" s="12"/>
      <c r="Q1794" s="12"/>
      <c r="R1794" s="12"/>
      <c r="S1794" s="12"/>
    </row>
    <row r="1795" spans="1:19" ht="14.25" customHeight="1" x14ac:dyDescent="0.2">
      <c r="A1795" s="1" t="s">
        <v>95</v>
      </c>
      <c r="B1795" s="7">
        <v>46097.212372685186</v>
      </c>
      <c r="C1795" s="7">
        <v>46097.233217592591</v>
      </c>
      <c r="D1795" s="8">
        <v>46097</v>
      </c>
      <c r="E1795" s="9">
        <v>0.23321759259124519</v>
      </c>
      <c r="F1795" s="10" t="s">
        <v>2044</v>
      </c>
      <c r="G1795" s="10" t="s">
        <v>21</v>
      </c>
      <c r="H1795" s="10" t="s">
        <v>52</v>
      </c>
      <c r="I1795" s="10" t="s">
        <v>23</v>
      </c>
      <c r="J1795" s="11">
        <v>0.98</v>
      </c>
      <c r="K1795" s="12"/>
      <c r="L1795" s="12"/>
      <c r="M1795" s="12"/>
      <c r="N1795" s="12"/>
      <c r="O1795" s="12"/>
      <c r="P1795" s="12"/>
      <c r="Q1795" s="12"/>
      <c r="R1795" s="12"/>
      <c r="S1795" s="12"/>
    </row>
    <row r="1796" spans="1:19" ht="14.25" customHeight="1" x14ac:dyDescent="0.2">
      <c r="A1796" s="1" t="s">
        <v>95</v>
      </c>
      <c r="B1796" s="7">
        <v>46097.214537037034</v>
      </c>
      <c r="C1796" s="7">
        <v>46097.23474537037</v>
      </c>
      <c r="D1796" s="8">
        <v>46097</v>
      </c>
      <c r="E1796" s="9">
        <v>0.23474537036963739</v>
      </c>
      <c r="F1796" s="10" t="s">
        <v>2045</v>
      </c>
      <c r="G1796" s="10" t="s">
        <v>21</v>
      </c>
      <c r="H1796" s="10" t="s">
        <v>216</v>
      </c>
      <c r="I1796" s="10" t="s">
        <v>23</v>
      </c>
      <c r="J1796" s="11">
        <v>0.98</v>
      </c>
      <c r="K1796" s="12"/>
      <c r="L1796" s="12"/>
      <c r="M1796" s="12"/>
      <c r="N1796" s="12"/>
      <c r="O1796" s="12"/>
      <c r="P1796" s="12"/>
      <c r="Q1796" s="12"/>
      <c r="R1796" s="12"/>
      <c r="S1796" s="12"/>
    </row>
    <row r="1797" spans="1:19" ht="14.25" customHeight="1" x14ac:dyDescent="0.2">
      <c r="A1797" s="1" t="s">
        <v>95</v>
      </c>
      <c r="B1797" s="7">
        <v>46097.214537037034</v>
      </c>
      <c r="C1797" s="7">
        <v>46097.235069444447</v>
      </c>
      <c r="D1797" s="8">
        <v>46097</v>
      </c>
      <c r="E1797" s="9">
        <v>0.23506944444670808</v>
      </c>
      <c r="F1797" s="10" t="s">
        <v>2046</v>
      </c>
      <c r="G1797" s="10" t="s">
        <v>21</v>
      </c>
      <c r="H1797" s="10" t="s">
        <v>598</v>
      </c>
      <c r="I1797" s="10" t="s">
        <v>23</v>
      </c>
      <c r="J1797" s="11">
        <v>0.98</v>
      </c>
      <c r="K1797" s="12"/>
      <c r="L1797" s="12"/>
      <c r="M1797" s="12"/>
      <c r="N1797" s="12"/>
      <c r="O1797" s="12"/>
      <c r="P1797" s="12"/>
      <c r="Q1797" s="12"/>
      <c r="R1797" s="12"/>
      <c r="S1797" s="12"/>
    </row>
    <row r="1798" spans="1:19" ht="14.25" customHeight="1" x14ac:dyDescent="0.2">
      <c r="A1798" s="1" t="s">
        <v>95</v>
      </c>
      <c r="B1798" s="7">
        <v>46097.214537037034</v>
      </c>
      <c r="C1798" s="7">
        <v>46097.236180555556</v>
      </c>
      <c r="D1798" s="8">
        <v>46097</v>
      </c>
      <c r="E1798" s="9">
        <v>0.23618055555562023</v>
      </c>
      <c r="F1798" s="10" t="s">
        <v>2047</v>
      </c>
      <c r="G1798" s="10" t="s">
        <v>21</v>
      </c>
      <c r="H1798" s="10" t="s">
        <v>435</v>
      </c>
      <c r="I1798" s="10" t="s">
        <v>23</v>
      </c>
      <c r="J1798" s="11">
        <v>1.1299999999999999</v>
      </c>
      <c r="K1798" s="12"/>
      <c r="L1798" s="12"/>
      <c r="M1798" s="12"/>
      <c r="N1798" s="12"/>
      <c r="O1798" s="12"/>
      <c r="P1798" s="12"/>
      <c r="Q1798" s="12"/>
      <c r="R1798" s="12"/>
      <c r="S1798" s="12"/>
    </row>
    <row r="1799" spans="1:19" ht="14.25" customHeight="1" x14ac:dyDescent="0.2">
      <c r="A1799" s="1" t="s">
        <v>95</v>
      </c>
      <c r="B1799" s="7">
        <v>46097.214537037034</v>
      </c>
      <c r="C1799" s="7">
        <v>46097.23704861111</v>
      </c>
      <c r="D1799" s="8">
        <v>46097</v>
      </c>
      <c r="E1799" s="9">
        <v>0.23704861111036735</v>
      </c>
      <c r="F1799" s="10" t="s">
        <v>2048</v>
      </c>
      <c r="G1799" s="10" t="s">
        <v>21</v>
      </c>
      <c r="H1799" s="10" t="s">
        <v>97</v>
      </c>
      <c r="I1799" s="10" t="s">
        <v>23</v>
      </c>
      <c r="J1799" s="11">
        <v>1.77</v>
      </c>
      <c r="K1799" s="12"/>
      <c r="L1799" s="12"/>
      <c r="M1799" s="12"/>
      <c r="N1799" s="12"/>
      <c r="O1799" s="12"/>
      <c r="P1799" s="12"/>
      <c r="Q1799" s="12"/>
      <c r="R1799" s="12"/>
      <c r="S1799" s="12"/>
    </row>
    <row r="1800" spans="1:19" ht="14.25" customHeight="1" x14ac:dyDescent="0.2">
      <c r="A1800" s="1" t="s">
        <v>24</v>
      </c>
      <c r="B1800" s="7">
        <v>46097.22934027778</v>
      </c>
      <c r="C1800" s="7">
        <v>46097.241550925923</v>
      </c>
      <c r="D1800" s="8">
        <v>46097</v>
      </c>
      <c r="E1800" s="9">
        <v>0.24155092592263827</v>
      </c>
      <c r="F1800" s="10" t="s">
        <v>2049</v>
      </c>
      <c r="G1800" s="10" t="s">
        <v>21</v>
      </c>
      <c r="H1800" s="10" t="s">
        <v>22</v>
      </c>
      <c r="I1800" s="10" t="s">
        <v>23</v>
      </c>
      <c r="J1800" s="11">
        <v>0.83</v>
      </c>
      <c r="K1800" s="12"/>
      <c r="L1800" s="12"/>
      <c r="M1800" s="12"/>
      <c r="N1800" s="12"/>
      <c r="O1800" s="12"/>
      <c r="P1800" s="12"/>
      <c r="Q1800" s="12"/>
      <c r="R1800" s="12"/>
      <c r="S1800" s="12"/>
    </row>
    <row r="1801" spans="1:19" ht="14.25" customHeight="1" x14ac:dyDescent="0.2">
      <c r="A1801" s="1" t="s">
        <v>42</v>
      </c>
      <c r="B1801" s="7">
        <v>46097.221435185187</v>
      </c>
      <c r="C1801" s="7">
        <v>46097.242152777777</v>
      </c>
      <c r="D1801" s="8">
        <v>46097</v>
      </c>
      <c r="E1801" s="9">
        <v>0.242152777776937</v>
      </c>
      <c r="F1801" s="10" t="s">
        <v>2050</v>
      </c>
      <c r="G1801" s="10" t="s">
        <v>26</v>
      </c>
      <c r="H1801" s="10" t="s">
        <v>56</v>
      </c>
      <c r="I1801" s="10" t="s">
        <v>23</v>
      </c>
      <c r="J1801" s="11">
        <v>0.73</v>
      </c>
      <c r="K1801" s="12"/>
      <c r="L1801" s="12"/>
      <c r="M1801" s="12"/>
      <c r="N1801" s="12"/>
      <c r="O1801" s="12"/>
      <c r="P1801" s="12"/>
      <c r="Q1801" s="12"/>
      <c r="R1801" s="12"/>
      <c r="S1801" s="12"/>
    </row>
    <row r="1802" spans="1:19" ht="14.25" customHeight="1" x14ac:dyDescent="0.2">
      <c r="A1802" s="1" t="s">
        <v>24</v>
      </c>
      <c r="B1802" s="7">
        <v>46097.222662037035</v>
      </c>
      <c r="C1802" s="7">
        <v>46097.242719907408</v>
      </c>
      <c r="D1802" s="8">
        <v>46097</v>
      </c>
      <c r="E1802" s="9">
        <v>0.24271990740817273</v>
      </c>
      <c r="F1802" s="10" t="s">
        <v>2051</v>
      </c>
      <c r="G1802" s="10" t="s">
        <v>21</v>
      </c>
      <c r="H1802" s="10" t="s">
        <v>248</v>
      </c>
      <c r="I1802" s="10" t="s">
        <v>23</v>
      </c>
      <c r="J1802" s="11">
        <v>2.15</v>
      </c>
      <c r="K1802" s="12"/>
      <c r="L1802" s="12"/>
      <c r="M1802" s="12"/>
      <c r="N1802" s="12"/>
      <c r="O1802" s="12"/>
      <c r="P1802" s="12"/>
      <c r="Q1802" s="12"/>
      <c r="R1802" s="12"/>
      <c r="S1802" s="12"/>
    </row>
    <row r="1803" spans="1:19" ht="14.25" customHeight="1" x14ac:dyDescent="0.2">
      <c r="A1803" s="1" t="s">
        <v>33</v>
      </c>
      <c r="B1803" s="7">
        <v>46097.869942129626</v>
      </c>
      <c r="C1803" s="7">
        <v>46097.879733796297</v>
      </c>
      <c r="D1803" s="8">
        <v>46097</v>
      </c>
      <c r="E1803" s="9">
        <v>0.87973379629693227</v>
      </c>
      <c r="F1803" s="10" t="s">
        <v>2052</v>
      </c>
      <c r="G1803" s="10" t="s">
        <v>21</v>
      </c>
      <c r="H1803" s="10" t="s">
        <v>216</v>
      </c>
      <c r="I1803" s="10" t="s">
        <v>23</v>
      </c>
      <c r="J1803" s="11">
        <v>0.98</v>
      </c>
      <c r="K1803" s="11">
        <f>SUM(J1803:J1807,J1810,J1811,J1814:J1821,J1823,J1824,J1826:J1828,J1830:J1832,J1834:J1838,J1840:J1842,J1844:J1848,J1850,J1852:J1854,J1857:J1863,J1865:J1867,J1869:J1871,J1873:J1881,J1884:J1890)</f>
        <v>83.329999999999984</v>
      </c>
      <c r="L1803" s="12">
        <f>SUM(J1803:J1824)</f>
        <v>22.909999999999997</v>
      </c>
      <c r="M1803" s="13">
        <f>L1803*65</f>
        <v>1489.1499999999999</v>
      </c>
      <c r="N1803" s="14">
        <f>MAX(500,M1803)</f>
        <v>1489.1499999999999</v>
      </c>
      <c r="O1803" s="12"/>
      <c r="P1803" s="12"/>
      <c r="Q1803" s="12"/>
      <c r="R1803" s="12"/>
      <c r="S1803" s="12"/>
    </row>
    <row r="1804" spans="1:19" ht="14.25" customHeight="1" x14ac:dyDescent="0.2">
      <c r="A1804" s="1" t="s">
        <v>42</v>
      </c>
      <c r="B1804" s="7">
        <v>46097.869247685187</v>
      </c>
      <c r="C1804" s="7">
        <v>46097.879884259259</v>
      </c>
      <c r="D1804" s="8">
        <v>46097</v>
      </c>
      <c r="E1804" s="9">
        <v>0.87988425925868796</v>
      </c>
      <c r="F1804" s="10" t="s">
        <v>2053</v>
      </c>
      <c r="G1804" s="10" t="s">
        <v>44</v>
      </c>
      <c r="H1804" s="10" t="s">
        <v>48</v>
      </c>
      <c r="I1804" s="10" t="s">
        <v>23</v>
      </c>
      <c r="J1804" s="11">
        <v>0.21</v>
      </c>
      <c r="K1804" s="12">
        <f>SUM(J1808,J1809,J1812,J1813,J1822,J1825,J1829,J1833,J1839,J1843,J1849,J1851,J1855,J1856,J1864,J1868,J1872,J1882,J1883,J1891)</f>
        <v>25.919999999999991</v>
      </c>
      <c r="L1804" s="12"/>
      <c r="M1804" s="12"/>
      <c r="N1804" s="12"/>
      <c r="O1804" s="12"/>
      <c r="P1804" s="12"/>
      <c r="Q1804" s="12"/>
      <c r="R1804" s="12"/>
      <c r="S1804" s="12"/>
    </row>
    <row r="1805" spans="1:19" ht="14.25" customHeight="1" x14ac:dyDescent="0.2">
      <c r="A1805" s="1" t="s">
        <v>19</v>
      </c>
      <c r="B1805" s="7">
        <v>46097.862604166665</v>
      </c>
      <c r="C1805" s="7">
        <v>46097.883125</v>
      </c>
      <c r="D1805" s="8">
        <v>46097</v>
      </c>
      <c r="E1805" s="9">
        <v>0.88312500000029104</v>
      </c>
      <c r="F1805" s="10" t="s">
        <v>2054</v>
      </c>
      <c r="G1805" s="10" t="s">
        <v>21</v>
      </c>
      <c r="H1805" s="10" t="s">
        <v>39</v>
      </c>
      <c r="I1805" s="10" t="s">
        <v>23</v>
      </c>
      <c r="J1805" s="11">
        <v>1.77</v>
      </c>
      <c r="K1805" s="12"/>
      <c r="L1805" s="12"/>
      <c r="M1805" s="12"/>
      <c r="N1805" s="12"/>
      <c r="O1805" s="12"/>
      <c r="P1805" s="12"/>
      <c r="Q1805" s="12"/>
      <c r="R1805" s="12"/>
      <c r="S1805" s="12"/>
    </row>
    <row r="1806" spans="1:19" ht="14.25" customHeight="1" x14ac:dyDescent="0.2">
      <c r="A1806" s="1" t="s">
        <v>24</v>
      </c>
      <c r="B1806" s="7">
        <v>46097.872129629628</v>
      </c>
      <c r="C1806" s="7">
        <v>46097.891712962963</v>
      </c>
      <c r="D1806" s="8">
        <v>46097</v>
      </c>
      <c r="E1806" s="9">
        <v>0.89171296296262881</v>
      </c>
      <c r="F1806" s="10" t="s">
        <v>2055</v>
      </c>
      <c r="G1806" s="10" t="s">
        <v>21</v>
      </c>
      <c r="H1806" s="10" t="s">
        <v>41</v>
      </c>
      <c r="I1806" s="10" t="s">
        <v>23</v>
      </c>
      <c r="J1806" s="11">
        <v>1.77</v>
      </c>
      <c r="K1806" s="12"/>
      <c r="L1806" s="12"/>
      <c r="M1806" s="12"/>
      <c r="N1806" s="12"/>
      <c r="O1806" s="12"/>
      <c r="P1806" s="12"/>
      <c r="Q1806" s="12"/>
      <c r="R1806" s="12"/>
      <c r="S1806" s="12"/>
    </row>
    <row r="1807" spans="1:19" ht="14.25" customHeight="1" x14ac:dyDescent="0.2">
      <c r="A1807" s="1" t="s">
        <v>24</v>
      </c>
      <c r="B1807" s="7">
        <v>46097.879849537036</v>
      </c>
      <c r="C1807" s="7">
        <v>46097.892777777779</v>
      </c>
      <c r="D1807" s="8">
        <v>46097</v>
      </c>
      <c r="E1807" s="9">
        <v>0.89277777777897427</v>
      </c>
      <c r="F1807" s="10" t="s">
        <v>2056</v>
      </c>
      <c r="G1807" s="10" t="s">
        <v>21</v>
      </c>
      <c r="H1807" s="10" t="s">
        <v>268</v>
      </c>
      <c r="I1807" s="10" t="s">
        <v>23</v>
      </c>
      <c r="J1807" s="11">
        <v>1.35</v>
      </c>
      <c r="K1807" s="12"/>
      <c r="L1807" s="12"/>
      <c r="M1807" s="12"/>
      <c r="N1807" s="12"/>
      <c r="O1807" s="12"/>
      <c r="P1807" s="12"/>
      <c r="Q1807" s="12"/>
      <c r="R1807" s="12"/>
      <c r="S1807" s="12"/>
    </row>
    <row r="1808" spans="1:19" ht="14.25" customHeight="1" x14ac:dyDescent="0.2">
      <c r="A1808" s="1" t="s">
        <v>230</v>
      </c>
      <c r="B1808" s="19">
        <v>46097.878854166665</v>
      </c>
      <c r="C1808" s="19">
        <v>46097.894062500003</v>
      </c>
      <c r="D1808" s="20">
        <v>46097</v>
      </c>
      <c r="E1808" s="21">
        <v>0.89406250000320142</v>
      </c>
      <c r="F1808" s="1" t="s">
        <v>2057</v>
      </c>
      <c r="G1808" s="1" t="s">
        <v>21</v>
      </c>
      <c r="H1808" s="1" t="s">
        <v>232</v>
      </c>
      <c r="I1808" s="1" t="s">
        <v>166</v>
      </c>
      <c r="J1808" s="12">
        <v>1.7</v>
      </c>
      <c r="K1808" s="12"/>
      <c r="L1808" s="12"/>
      <c r="M1808" s="12"/>
      <c r="N1808" s="12"/>
      <c r="O1808" s="12"/>
      <c r="P1808" s="12"/>
      <c r="Q1808" s="12"/>
      <c r="R1808" s="12"/>
      <c r="S1808" s="12"/>
    </row>
    <row r="1809" spans="1:19" ht="14.25" customHeight="1" x14ac:dyDescent="0.2">
      <c r="A1809" s="1" t="s">
        <v>24</v>
      </c>
      <c r="B1809" s="19">
        <v>46097.862083333333</v>
      </c>
      <c r="C1809" s="19">
        <v>46097.894976851851</v>
      </c>
      <c r="D1809" s="20">
        <v>46097</v>
      </c>
      <c r="E1809" s="21">
        <v>0.89497685185051523</v>
      </c>
      <c r="F1809" s="1" t="s">
        <v>2058</v>
      </c>
      <c r="G1809" s="1" t="s">
        <v>26</v>
      </c>
      <c r="H1809" s="1" t="s">
        <v>1133</v>
      </c>
      <c r="I1809" s="1" t="s">
        <v>166</v>
      </c>
      <c r="J1809" s="12">
        <v>0.44</v>
      </c>
      <c r="K1809" s="12"/>
      <c r="L1809" s="12"/>
      <c r="M1809" s="12"/>
      <c r="N1809" s="12"/>
      <c r="O1809" s="12"/>
      <c r="P1809" s="12"/>
      <c r="Q1809" s="12"/>
      <c r="R1809" s="12"/>
      <c r="S1809" s="12"/>
    </row>
    <row r="1810" spans="1:19" ht="14.25" customHeight="1" x14ac:dyDescent="0.2">
      <c r="A1810" s="1" t="s">
        <v>19</v>
      </c>
      <c r="B1810" s="7">
        <v>46097.884513888886</v>
      </c>
      <c r="C1810" s="7">
        <v>46097.895983796298</v>
      </c>
      <c r="D1810" s="8">
        <v>46097</v>
      </c>
      <c r="E1810" s="9">
        <v>0.89598379629751435</v>
      </c>
      <c r="F1810" s="10" t="s">
        <v>2059</v>
      </c>
      <c r="G1810" s="10" t="s">
        <v>21</v>
      </c>
      <c r="H1810" s="10" t="s">
        <v>22</v>
      </c>
      <c r="I1810" s="10" t="s">
        <v>23</v>
      </c>
      <c r="J1810" s="11">
        <v>0.83</v>
      </c>
      <c r="K1810" s="12"/>
      <c r="L1810" s="12"/>
      <c r="M1810" s="12"/>
      <c r="N1810" s="12"/>
      <c r="O1810" s="12"/>
      <c r="P1810" s="12"/>
      <c r="Q1810" s="12"/>
      <c r="R1810" s="12"/>
      <c r="S1810" s="12"/>
    </row>
    <row r="1811" spans="1:19" ht="14.25" customHeight="1" x14ac:dyDescent="0.2">
      <c r="A1811" s="1" t="s">
        <v>24</v>
      </c>
      <c r="B1811" s="7">
        <v>46097.878657407404</v>
      </c>
      <c r="C1811" s="7">
        <v>46097.89644675926</v>
      </c>
      <c r="D1811" s="8">
        <v>46097</v>
      </c>
      <c r="E1811" s="9">
        <v>0.89644675925956108</v>
      </c>
      <c r="F1811" s="10" t="s">
        <v>2060</v>
      </c>
      <c r="G1811" s="10" t="s">
        <v>26</v>
      </c>
      <c r="H1811" s="10" t="s">
        <v>1019</v>
      </c>
      <c r="I1811" s="10" t="s">
        <v>23</v>
      </c>
      <c r="J1811" s="11">
        <v>0.67</v>
      </c>
      <c r="K1811" s="12"/>
      <c r="L1811" s="12"/>
      <c r="M1811" s="12"/>
      <c r="N1811" s="12"/>
      <c r="O1811" s="12"/>
      <c r="P1811" s="12"/>
      <c r="Q1811" s="12"/>
      <c r="R1811" s="12"/>
      <c r="S1811" s="12"/>
    </row>
    <row r="1812" spans="1:19" ht="14.25" customHeight="1" x14ac:dyDescent="0.2">
      <c r="A1812" s="1" t="s">
        <v>19</v>
      </c>
      <c r="B1812" s="19">
        <v>46097.879965277774</v>
      </c>
      <c r="C1812" s="19">
        <v>46097.897337962961</v>
      </c>
      <c r="D1812" s="20">
        <v>46097</v>
      </c>
      <c r="E1812" s="21">
        <v>0.89733796296059154</v>
      </c>
      <c r="F1812" s="1" t="s">
        <v>2061</v>
      </c>
      <c r="G1812" s="1" t="s">
        <v>21</v>
      </c>
      <c r="H1812" s="1" t="s">
        <v>435</v>
      </c>
      <c r="I1812" s="1" t="s">
        <v>166</v>
      </c>
      <c r="J1812" s="12">
        <v>1.1299999999999999</v>
      </c>
      <c r="K1812" s="12"/>
      <c r="L1812" s="12"/>
      <c r="M1812" s="12"/>
      <c r="N1812" s="12"/>
      <c r="O1812" s="12"/>
      <c r="P1812" s="12"/>
      <c r="Q1812" s="12"/>
      <c r="R1812" s="12"/>
      <c r="S1812" s="12"/>
    </row>
    <row r="1813" spans="1:19" ht="14.25" customHeight="1" x14ac:dyDescent="0.2">
      <c r="A1813" s="1" t="s">
        <v>24</v>
      </c>
      <c r="B1813" s="19">
        <v>46097.883958333332</v>
      </c>
      <c r="C1813" s="19">
        <v>46097.900810185187</v>
      </c>
      <c r="D1813" s="20">
        <v>46097</v>
      </c>
      <c r="E1813" s="21">
        <v>0.90081018518685596</v>
      </c>
      <c r="F1813" s="1" t="s">
        <v>2062</v>
      </c>
      <c r="G1813" s="1" t="s">
        <v>21</v>
      </c>
      <c r="H1813" s="1" t="s">
        <v>22</v>
      </c>
      <c r="I1813" s="1" t="s">
        <v>166</v>
      </c>
      <c r="J1813" s="12">
        <v>0.83</v>
      </c>
      <c r="K1813" s="12"/>
      <c r="L1813" s="12"/>
      <c r="M1813" s="12"/>
      <c r="N1813" s="12"/>
      <c r="O1813" s="12"/>
      <c r="P1813" s="12"/>
      <c r="Q1813" s="12"/>
      <c r="R1813" s="12"/>
      <c r="S1813" s="12"/>
    </row>
    <row r="1814" spans="1:19" ht="14.25" customHeight="1" x14ac:dyDescent="0.2">
      <c r="A1814" s="1" t="s">
        <v>28</v>
      </c>
      <c r="B1814" s="7">
        <v>46097.891747685186</v>
      </c>
      <c r="C1814" s="7">
        <v>46097.901678240742</v>
      </c>
      <c r="D1814" s="8">
        <v>46097</v>
      </c>
      <c r="E1814" s="9">
        <v>0.90167824074160308</v>
      </c>
      <c r="F1814" s="10" t="s">
        <v>2063</v>
      </c>
      <c r="G1814" s="10" t="s">
        <v>21</v>
      </c>
      <c r="H1814" s="10" t="s">
        <v>41</v>
      </c>
      <c r="I1814" s="10" t="s">
        <v>23</v>
      </c>
      <c r="J1814" s="11">
        <v>1.77</v>
      </c>
      <c r="K1814" s="12"/>
      <c r="L1814" s="12"/>
      <c r="M1814" s="12"/>
      <c r="N1814" s="12"/>
      <c r="O1814" s="12"/>
      <c r="P1814" s="12"/>
      <c r="Q1814" s="12"/>
      <c r="R1814" s="12"/>
      <c r="S1814" s="12"/>
    </row>
    <row r="1815" spans="1:19" ht="14.25" customHeight="1" x14ac:dyDescent="0.2">
      <c r="A1815" s="1" t="s">
        <v>33</v>
      </c>
      <c r="B1815" s="7">
        <v>46097.875902777778</v>
      </c>
      <c r="C1815" s="7">
        <v>46097.902141203704</v>
      </c>
      <c r="D1815" s="8">
        <v>46097</v>
      </c>
      <c r="E1815" s="9">
        <v>0.90214120370364981</v>
      </c>
      <c r="F1815" s="10" t="s">
        <v>2064</v>
      </c>
      <c r="G1815" s="10" t="s">
        <v>44</v>
      </c>
      <c r="H1815" s="10" t="s">
        <v>185</v>
      </c>
      <c r="I1815" s="10" t="s">
        <v>23</v>
      </c>
      <c r="J1815" s="11">
        <v>0.18</v>
      </c>
      <c r="K1815" s="12"/>
      <c r="L1815" s="12"/>
      <c r="M1815" s="12"/>
      <c r="N1815" s="12"/>
      <c r="O1815" s="12"/>
      <c r="P1815" s="12"/>
      <c r="Q1815" s="12"/>
      <c r="R1815" s="12"/>
      <c r="S1815" s="12"/>
    </row>
    <row r="1816" spans="1:19" ht="14.25" customHeight="1" x14ac:dyDescent="0.2">
      <c r="A1816" s="1" t="s">
        <v>33</v>
      </c>
      <c r="B1816" s="7">
        <v>46097.875902777778</v>
      </c>
      <c r="C1816" s="7">
        <v>46097.902418981481</v>
      </c>
      <c r="D1816" s="8">
        <v>46097</v>
      </c>
      <c r="E1816" s="9">
        <v>0.90241898148087785</v>
      </c>
      <c r="F1816" s="10" t="s">
        <v>2065</v>
      </c>
      <c r="G1816" s="10" t="s">
        <v>44</v>
      </c>
      <c r="H1816" s="10" t="s">
        <v>185</v>
      </c>
      <c r="I1816" s="10" t="s">
        <v>23</v>
      </c>
      <c r="J1816" s="11">
        <v>0.18</v>
      </c>
      <c r="K1816" s="12"/>
      <c r="L1816" s="12"/>
      <c r="M1816" s="12"/>
      <c r="N1816" s="12"/>
      <c r="O1816" s="12"/>
      <c r="P1816" s="12"/>
      <c r="Q1816" s="12"/>
      <c r="R1816" s="12"/>
      <c r="S1816" s="12"/>
    </row>
    <row r="1817" spans="1:19" ht="14.25" customHeight="1" x14ac:dyDescent="0.2">
      <c r="A1817" s="1" t="s">
        <v>57</v>
      </c>
      <c r="B1817" s="7">
        <v>46097.896666666667</v>
      </c>
      <c r="C1817" s="7">
        <v>46097.905659722222</v>
      </c>
      <c r="D1817" s="8">
        <v>46097</v>
      </c>
      <c r="E1817" s="9">
        <v>0.90565972222248092</v>
      </c>
      <c r="F1817" s="10" t="s">
        <v>2066</v>
      </c>
      <c r="G1817" s="10" t="s">
        <v>21</v>
      </c>
      <c r="H1817" s="10" t="s">
        <v>59</v>
      </c>
      <c r="I1817" s="10" t="s">
        <v>23</v>
      </c>
      <c r="J1817" s="11">
        <v>0.83</v>
      </c>
      <c r="K1817" s="12"/>
      <c r="L1817" s="12"/>
      <c r="M1817" s="12"/>
      <c r="N1817" s="12"/>
      <c r="O1817" s="12"/>
      <c r="P1817" s="12"/>
      <c r="Q1817" s="12"/>
      <c r="R1817" s="12"/>
      <c r="S1817" s="12"/>
    </row>
    <row r="1818" spans="1:19" ht="14.25" customHeight="1" x14ac:dyDescent="0.2">
      <c r="A1818" s="1" t="s">
        <v>57</v>
      </c>
      <c r="B1818" s="7">
        <v>46097.897986111115</v>
      </c>
      <c r="C1818" s="7">
        <v>46097.905844907407</v>
      </c>
      <c r="D1818" s="8">
        <v>46097</v>
      </c>
      <c r="E1818" s="9">
        <v>0.90584490740729962</v>
      </c>
      <c r="F1818" s="10" t="s">
        <v>2067</v>
      </c>
      <c r="G1818" s="10" t="s">
        <v>21</v>
      </c>
      <c r="H1818" s="10" t="s">
        <v>710</v>
      </c>
      <c r="I1818" s="10" t="s">
        <v>23</v>
      </c>
      <c r="J1818" s="11">
        <v>0.98</v>
      </c>
      <c r="K1818" s="12"/>
      <c r="L1818" s="12"/>
      <c r="M1818" s="12"/>
      <c r="N1818" s="12"/>
      <c r="O1818" s="12"/>
      <c r="P1818" s="12"/>
      <c r="Q1818" s="12"/>
      <c r="R1818" s="12"/>
      <c r="S1818" s="12"/>
    </row>
    <row r="1819" spans="1:19" ht="14.25" customHeight="1" x14ac:dyDescent="0.2">
      <c r="A1819" s="1" t="s">
        <v>33</v>
      </c>
      <c r="B1819" s="7">
        <v>46097.899687500001</v>
      </c>
      <c r="C1819" s="7">
        <v>46097.906030092592</v>
      </c>
      <c r="D1819" s="8">
        <v>46097</v>
      </c>
      <c r="E1819" s="9">
        <v>0.90603009259211831</v>
      </c>
      <c r="F1819" s="10" t="s">
        <v>2068</v>
      </c>
      <c r="G1819" s="10" t="s">
        <v>44</v>
      </c>
      <c r="H1819" s="10" t="s">
        <v>185</v>
      </c>
      <c r="I1819" s="10" t="s">
        <v>23</v>
      </c>
      <c r="J1819" s="11">
        <v>0.18</v>
      </c>
      <c r="K1819" s="12"/>
      <c r="L1819" s="12"/>
      <c r="M1819" s="12"/>
      <c r="N1819" s="12"/>
      <c r="O1819" s="12"/>
      <c r="P1819" s="12"/>
      <c r="Q1819" s="12"/>
      <c r="R1819" s="12"/>
      <c r="S1819" s="12"/>
    </row>
    <row r="1820" spans="1:19" ht="14.25" customHeight="1" x14ac:dyDescent="0.2">
      <c r="A1820" s="1" t="s">
        <v>33</v>
      </c>
      <c r="B1820" s="7">
        <v>46097.889710648145</v>
      </c>
      <c r="C1820" s="7">
        <v>46097.910763888889</v>
      </c>
      <c r="D1820" s="8">
        <v>46097</v>
      </c>
      <c r="E1820" s="9">
        <v>0.91076388888905058</v>
      </c>
      <c r="F1820" s="10" t="s">
        <v>2069</v>
      </c>
      <c r="G1820" s="10" t="s">
        <v>21</v>
      </c>
      <c r="H1820" s="10" t="s">
        <v>54</v>
      </c>
      <c r="I1820" s="10" t="s">
        <v>23</v>
      </c>
      <c r="J1820" s="11">
        <v>0.83</v>
      </c>
      <c r="K1820" s="12"/>
      <c r="L1820" s="12"/>
      <c r="M1820" s="12"/>
      <c r="N1820" s="12"/>
      <c r="O1820" s="12"/>
      <c r="P1820" s="12"/>
      <c r="Q1820" s="12"/>
      <c r="R1820" s="12"/>
      <c r="S1820" s="12"/>
    </row>
    <row r="1821" spans="1:19" ht="14.25" customHeight="1" x14ac:dyDescent="0.2">
      <c r="A1821" s="1" t="s">
        <v>24</v>
      </c>
      <c r="B1821" s="7">
        <v>46097.892164351855</v>
      </c>
      <c r="C1821" s="7">
        <v>46097.911435185182</v>
      </c>
      <c r="D1821" s="8">
        <v>46097</v>
      </c>
      <c r="E1821" s="9">
        <v>0.91143518518219935</v>
      </c>
      <c r="F1821" s="10" t="s">
        <v>2070</v>
      </c>
      <c r="G1821" s="10" t="s">
        <v>21</v>
      </c>
      <c r="H1821" s="10" t="s">
        <v>41</v>
      </c>
      <c r="I1821" s="10" t="s">
        <v>23</v>
      </c>
      <c r="J1821" s="11">
        <v>1.77</v>
      </c>
      <c r="K1821" s="12"/>
      <c r="L1821" s="12"/>
      <c r="M1821" s="12"/>
      <c r="N1821" s="12"/>
      <c r="O1821" s="12"/>
      <c r="P1821" s="12"/>
      <c r="Q1821" s="12"/>
      <c r="R1821" s="12"/>
      <c r="S1821" s="12"/>
    </row>
    <row r="1822" spans="1:19" ht="14.25" customHeight="1" x14ac:dyDescent="0.2">
      <c r="A1822" s="1" t="s">
        <v>57</v>
      </c>
      <c r="B1822" s="19">
        <v>46097.899571759262</v>
      </c>
      <c r="C1822" s="19">
        <v>46097.91300925926</v>
      </c>
      <c r="D1822" s="20">
        <v>46097</v>
      </c>
      <c r="E1822" s="21">
        <v>0.91300925926043419</v>
      </c>
      <c r="F1822" s="1" t="s">
        <v>2071</v>
      </c>
      <c r="G1822" s="1" t="s">
        <v>21</v>
      </c>
      <c r="H1822" s="1" t="s">
        <v>2072</v>
      </c>
      <c r="I1822" s="1" t="s">
        <v>166</v>
      </c>
      <c r="J1822" s="12">
        <v>1.1299999999999999</v>
      </c>
      <c r="K1822" s="12"/>
      <c r="L1822" s="12"/>
      <c r="M1822" s="12"/>
      <c r="N1822" s="12"/>
      <c r="O1822" s="12"/>
      <c r="P1822" s="12"/>
      <c r="Q1822" s="12"/>
      <c r="R1822" s="12"/>
      <c r="S1822" s="12"/>
    </row>
    <row r="1823" spans="1:19" ht="14.25" customHeight="1" x14ac:dyDescent="0.2">
      <c r="A1823" s="1" t="s">
        <v>33</v>
      </c>
      <c r="B1823" s="7">
        <v>46097.889710648145</v>
      </c>
      <c r="C1823" s="7">
        <v>46097.914826388886</v>
      </c>
      <c r="D1823" s="8">
        <v>46097</v>
      </c>
      <c r="E1823" s="9">
        <v>0.91482638888555812</v>
      </c>
      <c r="F1823" s="10" t="s">
        <v>2073</v>
      </c>
      <c r="G1823" s="10" t="s">
        <v>21</v>
      </c>
      <c r="H1823" s="10" t="s">
        <v>61</v>
      </c>
      <c r="I1823" s="10" t="s">
        <v>23</v>
      </c>
      <c r="J1823" s="11">
        <v>2.5</v>
      </c>
      <c r="K1823" s="12"/>
      <c r="L1823" s="12"/>
      <c r="M1823" s="12"/>
      <c r="N1823" s="12"/>
      <c r="O1823" s="12"/>
      <c r="P1823" s="12"/>
      <c r="Q1823" s="12"/>
      <c r="R1823" s="12"/>
      <c r="S1823" s="12"/>
    </row>
    <row r="1824" spans="1:19" ht="14.25" customHeight="1" x14ac:dyDescent="0.2">
      <c r="A1824" s="1" t="s">
        <v>24</v>
      </c>
      <c r="B1824" s="7">
        <v>46097.897106481483</v>
      </c>
      <c r="C1824" s="7">
        <v>46097.915162037039</v>
      </c>
      <c r="D1824" s="8">
        <v>46097</v>
      </c>
      <c r="E1824" s="9">
        <v>0.91516203703940846</v>
      </c>
      <c r="F1824" s="10" t="s">
        <v>2074</v>
      </c>
      <c r="G1824" s="10" t="s">
        <v>26</v>
      </c>
      <c r="H1824" s="10" t="s">
        <v>86</v>
      </c>
      <c r="I1824" s="10" t="s">
        <v>23</v>
      </c>
      <c r="J1824" s="11">
        <v>0.88</v>
      </c>
      <c r="K1824" s="12"/>
      <c r="L1824" s="12"/>
      <c r="M1824" s="12"/>
      <c r="N1824" s="12"/>
      <c r="O1824" s="12"/>
      <c r="P1824" s="12"/>
      <c r="Q1824" s="12"/>
      <c r="R1824" s="12"/>
      <c r="S1824" s="12"/>
    </row>
    <row r="1825" spans="1:19" ht="14.25" customHeight="1" x14ac:dyDescent="0.2">
      <c r="A1825" s="1" t="s">
        <v>24</v>
      </c>
      <c r="B1825" s="19">
        <v>46097.900972222225</v>
      </c>
      <c r="C1825" s="19">
        <v>46097.917754629627</v>
      </c>
      <c r="D1825" s="20">
        <v>46097</v>
      </c>
      <c r="E1825" s="21">
        <v>0.91775462962687016</v>
      </c>
      <c r="F1825" s="1" t="s">
        <v>2075</v>
      </c>
      <c r="G1825" s="1" t="s">
        <v>21</v>
      </c>
      <c r="H1825" s="1" t="s">
        <v>216</v>
      </c>
      <c r="I1825" s="1" t="s">
        <v>166</v>
      </c>
      <c r="J1825" s="12">
        <v>0.98</v>
      </c>
      <c r="K1825" s="12"/>
      <c r="L1825" s="12">
        <f>SUM(J1825:J1836)</f>
        <v>16.659999999999997</v>
      </c>
      <c r="M1825" s="13">
        <f>L1825*65</f>
        <v>1082.8999999999999</v>
      </c>
      <c r="N1825" s="14">
        <f>MAX(500,M1825)</f>
        <v>1082.8999999999999</v>
      </c>
      <c r="O1825" s="12"/>
      <c r="P1825" s="12"/>
      <c r="Q1825" s="12"/>
      <c r="R1825" s="12"/>
      <c r="S1825" s="12"/>
    </row>
    <row r="1826" spans="1:19" ht="14.25" customHeight="1" x14ac:dyDescent="0.2">
      <c r="A1826" s="1" t="s">
        <v>19</v>
      </c>
      <c r="B1826" s="7">
        <v>46097.884780092594</v>
      </c>
      <c r="C1826" s="7">
        <v>46097.924803240741</v>
      </c>
      <c r="D1826" s="8">
        <v>46097</v>
      </c>
      <c r="E1826" s="9">
        <v>0.92480324074131204</v>
      </c>
      <c r="F1826" s="10" t="s">
        <v>2076</v>
      </c>
      <c r="G1826" s="10" t="s">
        <v>21</v>
      </c>
      <c r="H1826" s="10" t="s">
        <v>409</v>
      </c>
      <c r="I1826" s="10" t="s">
        <v>23</v>
      </c>
      <c r="J1826" s="11">
        <v>2.9</v>
      </c>
      <c r="K1826" s="12"/>
      <c r="L1826" s="12"/>
      <c r="M1826" s="12"/>
      <c r="N1826" s="12"/>
      <c r="O1826" s="12"/>
      <c r="P1826" s="12"/>
      <c r="Q1826" s="12"/>
      <c r="R1826" s="12"/>
      <c r="S1826" s="12"/>
    </row>
    <row r="1827" spans="1:19" ht="14.25" customHeight="1" x14ac:dyDescent="0.2">
      <c r="A1827" s="1" t="s">
        <v>19</v>
      </c>
      <c r="B1827" s="7">
        <v>46097.897615740738</v>
      </c>
      <c r="C1827" s="7">
        <v>46097.926365740743</v>
      </c>
      <c r="D1827" s="8">
        <v>46097</v>
      </c>
      <c r="E1827" s="9">
        <v>0.92636574074276723</v>
      </c>
      <c r="F1827" s="10" t="s">
        <v>2077</v>
      </c>
      <c r="G1827" s="10" t="s">
        <v>21</v>
      </c>
      <c r="H1827" s="10" t="s">
        <v>101</v>
      </c>
      <c r="I1827" s="10" t="s">
        <v>23</v>
      </c>
      <c r="J1827" s="11">
        <v>1.7</v>
      </c>
      <c r="K1827" s="12"/>
      <c r="L1827" s="12"/>
      <c r="M1827" s="12"/>
      <c r="N1827" s="12"/>
      <c r="O1827" s="12"/>
      <c r="P1827" s="12"/>
      <c r="Q1827" s="12"/>
      <c r="R1827" s="12"/>
      <c r="S1827" s="12"/>
    </row>
    <row r="1828" spans="1:19" ht="14.25" customHeight="1" x14ac:dyDescent="0.2">
      <c r="A1828" s="1" t="s">
        <v>33</v>
      </c>
      <c r="B1828" s="7">
        <v>46097.917326388888</v>
      </c>
      <c r="C1828" s="7">
        <v>46097.933379629627</v>
      </c>
      <c r="D1828" s="8">
        <v>46097</v>
      </c>
      <c r="E1828" s="9">
        <v>0.93337962962687016</v>
      </c>
      <c r="F1828" s="10" t="s">
        <v>2078</v>
      </c>
      <c r="G1828" s="10" t="s">
        <v>21</v>
      </c>
      <c r="H1828" s="10" t="s">
        <v>41</v>
      </c>
      <c r="I1828" s="10" t="s">
        <v>23</v>
      </c>
      <c r="J1828" s="11">
        <v>1.77</v>
      </c>
      <c r="K1828" s="12"/>
      <c r="L1828" s="12"/>
      <c r="M1828" s="12"/>
      <c r="N1828" s="12"/>
      <c r="O1828" s="12"/>
      <c r="P1828" s="12"/>
      <c r="Q1828" s="12"/>
      <c r="R1828" s="12"/>
      <c r="S1828" s="12"/>
    </row>
    <row r="1829" spans="1:19" ht="14.25" customHeight="1" x14ac:dyDescent="0.2">
      <c r="A1829" s="1" t="s">
        <v>28</v>
      </c>
      <c r="B1829" s="19">
        <v>46097.907025462962</v>
      </c>
      <c r="C1829" s="19">
        <v>46097.934282407405</v>
      </c>
      <c r="D1829" s="20">
        <v>46097</v>
      </c>
      <c r="E1829" s="21">
        <v>0.93428240740468027</v>
      </c>
      <c r="F1829" s="1" t="s">
        <v>2079</v>
      </c>
      <c r="G1829" s="1" t="s">
        <v>21</v>
      </c>
      <c r="H1829" s="1" t="s">
        <v>41</v>
      </c>
      <c r="I1829" s="1" t="s">
        <v>166</v>
      </c>
      <c r="J1829" s="12">
        <v>1.77</v>
      </c>
      <c r="K1829" s="12"/>
      <c r="L1829" s="12"/>
      <c r="M1829" s="12"/>
      <c r="N1829" s="12"/>
      <c r="O1829" s="12"/>
      <c r="P1829" s="12"/>
      <c r="Q1829" s="12"/>
      <c r="R1829" s="12"/>
      <c r="S1829" s="12"/>
    </row>
    <row r="1830" spans="1:19" ht="14.25" customHeight="1" x14ac:dyDescent="0.2">
      <c r="A1830" s="1" t="s">
        <v>42</v>
      </c>
      <c r="B1830" s="7">
        <v>46097.906597222223</v>
      </c>
      <c r="C1830" s="7">
        <v>46097.940509259257</v>
      </c>
      <c r="D1830" s="8">
        <v>46097</v>
      </c>
      <c r="E1830" s="9">
        <v>0.94050925925694173</v>
      </c>
      <c r="F1830" s="10" t="s">
        <v>2080</v>
      </c>
      <c r="G1830" s="10" t="s">
        <v>26</v>
      </c>
      <c r="H1830" s="10" t="s">
        <v>56</v>
      </c>
      <c r="I1830" s="10" t="s">
        <v>23</v>
      </c>
      <c r="J1830" s="11">
        <v>0.73</v>
      </c>
      <c r="K1830" s="12"/>
      <c r="L1830" s="12"/>
      <c r="M1830" s="12"/>
      <c r="N1830" s="12"/>
      <c r="O1830" s="12"/>
      <c r="P1830" s="12"/>
      <c r="Q1830" s="12"/>
      <c r="R1830" s="12"/>
      <c r="S1830" s="12"/>
    </row>
    <row r="1831" spans="1:19" ht="14.25" customHeight="1" x14ac:dyDescent="0.2">
      <c r="A1831" s="1" t="s">
        <v>57</v>
      </c>
      <c r="B1831" s="7">
        <v>46097.93167824074</v>
      </c>
      <c r="C1831" s="7">
        <v>46097.940740740742</v>
      </c>
      <c r="D1831" s="8">
        <v>46097</v>
      </c>
      <c r="E1831" s="9">
        <v>0.94074074074160308</v>
      </c>
      <c r="F1831" s="10" t="s">
        <v>2081</v>
      </c>
      <c r="G1831" s="10" t="s">
        <v>21</v>
      </c>
      <c r="H1831" s="10" t="s">
        <v>710</v>
      </c>
      <c r="I1831" s="10" t="s">
        <v>23</v>
      </c>
      <c r="J1831" s="11">
        <v>0.98</v>
      </c>
      <c r="K1831" s="12"/>
      <c r="L1831" s="12"/>
      <c r="M1831" s="12"/>
      <c r="N1831" s="12"/>
      <c r="O1831" s="12"/>
      <c r="P1831" s="12"/>
      <c r="Q1831" s="12"/>
      <c r="R1831" s="12"/>
      <c r="S1831" s="12"/>
    </row>
    <row r="1832" spans="1:19" ht="14.25" customHeight="1" x14ac:dyDescent="0.2">
      <c r="A1832" s="1" t="s">
        <v>57</v>
      </c>
      <c r="B1832" s="7">
        <v>46097.930347222224</v>
      </c>
      <c r="C1832" s="7">
        <v>46097.94091435185</v>
      </c>
      <c r="D1832" s="8">
        <v>46097</v>
      </c>
      <c r="E1832" s="9">
        <v>0.94091435184964212</v>
      </c>
      <c r="F1832" s="10" t="s">
        <v>2082</v>
      </c>
      <c r="G1832" s="10" t="s">
        <v>21</v>
      </c>
      <c r="H1832" s="10" t="s">
        <v>59</v>
      </c>
      <c r="I1832" s="10" t="s">
        <v>23</v>
      </c>
      <c r="J1832" s="11">
        <v>0.83</v>
      </c>
      <c r="K1832" s="12"/>
      <c r="L1832" s="12"/>
      <c r="M1832" s="12"/>
      <c r="N1832" s="12"/>
      <c r="O1832" s="12"/>
      <c r="P1832" s="12"/>
      <c r="Q1832" s="12"/>
      <c r="R1832" s="12"/>
      <c r="S1832" s="12"/>
    </row>
    <row r="1833" spans="1:19" ht="14.25" customHeight="1" x14ac:dyDescent="0.2">
      <c r="A1833" s="1" t="s">
        <v>42</v>
      </c>
      <c r="B1833" s="19">
        <v>46097.922106481485</v>
      </c>
      <c r="C1833" s="19">
        <v>46097.941423611112</v>
      </c>
      <c r="D1833" s="20">
        <v>46097</v>
      </c>
      <c r="E1833" s="21">
        <v>0.9414236111115315</v>
      </c>
      <c r="F1833" s="1" t="s">
        <v>2083</v>
      </c>
      <c r="G1833" s="1" t="s">
        <v>21</v>
      </c>
      <c r="H1833" s="1" t="s">
        <v>97</v>
      </c>
      <c r="I1833" s="1" t="s">
        <v>166</v>
      </c>
      <c r="J1833" s="12">
        <v>1.77</v>
      </c>
      <c r="K1833" s="12"/>
      <c r="L1833" s="12"/>
      <c r="M1833" s="12"/>
      <c r="N1833" s="12"/>
      <c r="O1833" s="12"/>
      <c r="P1833" s="12"/>
      <c r="Q1833" s="12"/>
      <c r="R1833" s="12"/>
      <c r="S1833" s="12"/>
    </row>
    <row r="1834" spans="1:19" ht="14.25" customHeight="1" x14ac:dyDescent="0.2">
      <c r="A1834" s="1" t="s">
        <v>24</v>
      </c>
      <c r="B1834" s="7">
        <v>46097.928437499999</v>
      </c>
      <c r="C1834" s="7">
        <v>46097.948333333334</v>
      </c>
      <c r="D1834" s="8">
        <v>46097</v>
      </c>
      <c r="E1834" s="9">
        <v>0.94833333333372138</v>
      </c>
      <c r="F1834" s="10" t="s">
        <v>2084</v>
      </c>
      <c r="G1834" s="10" t="s">
        <v>21</v>
      </c>
      <c r="H1834" s="10" t="s">
        <v>39</v>
      </c>
      <c r="I1834" s="10" t="s">
        <v>23</v>
      </c>
      <c r="J1834" s="11">
        <v>1.77</v>
      </c>
      <c r="K1834" s="12"/>
      <c r="L1834" s="12"/>
      <c r="M1834" s="12"/>
      <c r="N1834" s="12"/>
      <c r="O1834" s="12"/>
      <c r="P1834" s="12"/>
      <c r="Q1834" s="12"/>
      <c r="R1834" s="12"/>
      <c r="S1834" s="12"/>
    </row>
    <row r="1835" spans="1:19" ht="14.25" customHeight="1" x14ac:dyDescent="0.2">
      <c r="A1835" s="1" t="s">
        <v>24</v>
      </c>
      <c r="B1835" s="7">
        <v>46097.936944444446</v>
      </c>
      <c r="C1835" s="7">
        <v>46097.948622685188</v>
      </c>
      <c r="D1835" s="8">
        <v>46097</v>
      </c>
      <c r="E1835" s="9">
        <v>0.94862268518772908</v>
      </c>
      <c r="F1835" s="10" t="s">
        <v>2085</v>
      </c>
      <c r="G1835" s="10" t="s">
        <v>21</v>
      </c>
      <c r="H1835" s="10" t="s">
        <v>22</v>
      </c>
      <c r="I1835" s="10" t="s">
        <v>23</v>
      </c>
      <c r="J1835" s="11">
        <v>0.83</v>
      </c>
      <c r="K1835" s="12"/>
      <c r="L1835" s="12"/>
      <c r="M1835" s="12"/>
      <c r="N1835" s="12"/>
      <c r="O1835" s="12"/>
      <c r="P1835" s="12"/>
      <c r="Q1835" s="12"/>
      <c r="R1835" s="12"/>
      <c r="S1835" s="12"/>
    </row>
    <row r="1836" spans="1:19" ht="14.25" customHeight="1" x14ac:dyDescent="0.2">
      <c r="A1836" s="1" t="s">
        <v>28</v>
      </c>
      <c r="B1836" s="7">
        <v>46097.913321759261</v>
      </c>
      <c r="C1836" s="7">
        <v>46097.949687499997</v>
      </c>
      <c r="D1836" s="8">
        <v>46097</v>
      </c>
      <c r="E1836" s="9">
        <v>0.94968749999679858</v>
      </c>
      <c r="F1836" s="10" t="s">
        <v>2086</v>
      </c>
      <c r="G1836" s="10" t="s">
        <v>26</v>
      </c>
      <c r="H1836" s="10" t="s">
        <v>92</v>
      </c>
      <c r="I1836" s="10" t="s">
        <v>23</v>
      </c>
      <c r="J1836" s="11">
        <v>0.63</v>
      </c>
      <c r="K1836" s="12"/>
      <c r="L1836" s="12"/>
      <c r="M1836" s="12"/>
      <c r="N1836" s="12"/>
      <c r="O1836" s="12"/>
      <c r="P1836" s="12"/>
      <c r="Q1836" s="12"/>
      <c r="R1836" s="12"/>
      <c r="S1836" s="12"/>
    </row>
    <row r="1837" spans="1:19" ht="14.25" customHeight="1" x14ac:dyDescent="0.2">
      <c r="A1837" s="1" t="s">
        <v>19</v>
      </c>
      <c r="B1837" s="7">
        <v>46097.938171296293</v>
      </c>
      <c r="C1837" s="7">
        <v>46097.959247685183</v>
      </c>
      <c r="D1837" s="8">
        <v>46097</v>
      </c>
      <c r="E1837" s="9">
        <v>0.95924768518307246</v>
      </c>
      <c r="F1837" s="10" t="s">
        <v>2087</v>
      </c>
      <c r="G1837" s="10" t="s">
        <v>21</v>
      </c>
      <c r="H1837" s="10" t="s">
        <v>101</v>
      </c>
      <c r="I1837" s="10" t="s">
        <v>23</v>
      </c>
      <c r="J1837" s="11">
        <v>1.7</v>
      </c>
      <c r="K1837" s="12"/>
      <c r="L1837" s="12">
        <f>SUM(J1837:J1857)</f>
        <v>24.179999999999996</v>
      </c>
      <c r="M1837" s="13">
        <f>L1837*65</f>
        <v>1571.6999999999998</v>
      </c>
      <c r="N1837" s="14">
        <f>MAX(500,M1837)</f>
        <v>1571.6999999999998</v>
      </c>
      <c r="O1837" s="12"/>
      <c r="P1837" s="12"/>
      <c r="Q1837" s="12"/>
      <c r="R1837" s="12"/>
      <c r="S1837" s="12"/>
    </row>
    <row r="1838" spans="1:19" ht="14.25" customHeight="1" x14ac:dyDescent="0.2">
      <c r="A1838" s="1" t="s">
        <v>24</v>
      </c>
      <c r="B1838" s="7">
        <v>46097.944861111115</v>
      </c>
      <c r="C1838" s="7">
        <v>46097.959444444445</v>
      </c>
      <c r="D1838" s="8">
        <v>46097</v>
      </c>
      <c r="E1838" s="9">
        <v>0.95944444444467081</v>
      </c>
      <c r="F1838" s="10" t="s">
        <v>2088</v>
      </c>
      <c r="G1838" s="10" t="s">
        <v>21</v>
      </c>
      <c r="H1838" s="10" t="s">
        <v>22</v>
      </c>
      <c r="I1838" s="10" t="s">
        <v>23</v>
      </c>
      <c r="J1838" s="11">
        <v>0.83</v>
      </c>
      <c r="K1838" s="12"/>
      <c r="L1838" s="12"/>
      <c r="M1838" s="12"/>
      <c r="N1838" s="12"/>
      <c r="O1838" s="12"/>
      <c r="P1838" s="12"/>
      <c r="Q1838" s="12"/>
      <c r="R1838" s="12"/>
      <c r="S1838" s="12"/>
    </row>
    <row r="1839" spans="1:19" ht="14.25" customHeight="1" x14ac:dyDescent="0.2">
      <c r="A1839" s="1" t="s">
        <v>19</v>
      </c>
      <c r="B1839" s="19">
        <v>46097.928854166668</v>
      </c>
      <c r="C1839" s="19">
        <v>46097.96130787037</v>
      </c>
      <c r="D1839" s="20">
        <v>46097</v>
      </c>
      <c r="E1839" s="21">
        <v>0.96130787036963739</v>
      </c>
      <c r="F1839" s="1" t="s">
        <v>2089</v>
      </c>
      <c r="G1839" s="1" t="s">
        <v>21</v>
      </c>
      <c r="H1839" s="1" t="s">
        <v>409</v>
      </c>
      <c r="I1839" s="1" t="s">
        <v>166</v>
      </c>
      <c r="J1839" s="12">
        <v>2.9</v>
      </c>
      <c r="K1839" s="12"/>
      <c r="L1839" s="12"/>
      <c r="M1839" s="12"/>
      <c r="N1839" s="12"/>
      <c r="O1839" s="12"/>
      <c r="P1839" s="12"/>
      <c r="Q1839" s="12"/>
      <c r="R1839" s="12"/>
      <c r="S1839" s="12"/>
    </row>
    <row r="1840" spans="1:19" ht="14.25" customHeight="1" x14ac:dyDescent="0.2">
      <c r="A1840" s="1" t="s">
        <v>95</v>
      </c>
      <c r="B1840" s="7">
        <v>46097.95548611111</v>
      </c>
      <c r="C1840" s="7">
        <v>46097.964270833334</v>
      </c>
      <c r="D1840" s="8">
        <v>46097</v>
      </c>
      <c r="E1840" s="9">
        <v>0.96427083333401242</v>
      </c>
      <c r="F1840" s="10" t="s">
        <v>2090</v>
      </c>
      <c r="G1840" s="10" t="s">
        <v>21</v>
      </c>
      <c r="H1840" s="10" t="s">
        <v>110</v>
      </c>
      <c r="I1840" s="10" t="s">
        <v>23</v>
      </c>
      <c r="J1840" s="11">
        <v>0.83</v>
      </c>
      <c r="K1840" s="12"/>
      <c r="L1840" s="12"/>
      <c r="M1840" s="12"/>
      <c r="N1840" s="12"/>
      <c r="O1840" s="12"/>
      <c r="P1840" s="12"/>
      <c r="Q1840" s="12"/>
      <c r="R1840" s="12"/>
      <c r="S1840" s="12"/>
    </row>
    <row r="1841" spans="1:19" ht="14.25" customHeight="1" x14ac:dyDescent="0.2">
      <c r="A1841" s="1" t="s">
        <v>24</v>
      </c>
      <c r="B1841" s="7">
        <v>46097.910555555558</v>
      </c>
      <c r="C1841" s="7">
        <v>46097.968564814815</v>
      </c>
      <c r="D1841" s="8">
        <v>46097</v>
      </c>
      <c r="E1841" s="9">
        <v>0.96856481481518131</v>
      </c>
      <c r="F1841" s="10" t="s">
        <v>2091</v>
      </c>
      <c r="G1841" s="10" t="s">
        <v>26</v>
      </c>
      <c r="H1841" s="10" t="s">
        <v>1614</v>
      </c>
      <c r="I1841" s="10" t="s">
        <v>23</v>
      </c>
      <c r="J1841" s="11">
        <v>0.62</v>
      </c>
      <c r="K1841" s="12"/>
      <c r="L1841" s="12"/>
      <c r="M1841" s="12"/>
      <c r="N1841" s="12"/>
      <c r="O1841" s="12"/>
      <c r="P1841" s="12"/>
      <c r="Q1841" s="12"/>
      <c r="R1841" s="12"/>
      <c r="S1841" s="12"/>
    </row>
    <row r="1842" spans="1:19" ht="14.25" customHeight="1" x14ac:dyDescent="0.2">
      <c r="A1842" s="1" t="s">
        <v>24</v>
      </c>
      <c r="B1842" s="7">
        <v>46097.937060185184</v>
      </c>
      <c r="C1842" s="7">
        <v>46097.968981481485</v>
      </c>
      <c r="D1842" s="8">
        <v>46097</v>
      </c>
      <c r="E1842" s="9">
        <v>0.96898148148466134</v>
      </c>
      <c r="F1842" s="10" t="s">
        <v>2092</v>
      </c>
      <c r="G1842" s="10" t="s">
        <v>26</v>
      </c>
      <c r="H1842" s="10" t="s">
        <v>948</v>
      </c>
      <c r="I1842" s="10" t="s">
        <v>23</v>
      </c>
      <c r="J1842" s="11">
        <v>0.75</v>
      </c>
      <c r="K1842" s="12"/>
      <c r="L1842" s="12"/>
      <c r="M1842" s="12"/>
      <c r="N1842" s="12"/>
      <c r="O1842" s="12"/>
      <c r="P1842" s="12"/>
      <c r="Q1842" s="12"/>
      <c r="R1842" s="12"/>
      <c r="S1842" s="12"/>
    </row>
    <row r="1843" spans="1:19" ht="14.25" customHeight="1" x14ac:dyDescent="0.2">
      <c r="A1843" s="1" t="s">
        <v>19</v>
      </c>
      <c r="B1843" s="19">
        <v>46097.953449074077</v>
      </c>
      <c r="C1843" s="19">
        <v>46097.972881944443</v>
      </c>
      <c r="D1843" s="20">
        <v>46097</v>
      </c>
      <c r="E1843" s="21">
        <v>0.97288194444263354</v>
      </c>
      <c r="F1843" s="1" t="s">
        <v>2093</v>
      </c>
      <c r="G1843" s="1" t="s">
        <v>21</v>
      </c>
      <c r="H1843" s="1" t="s">
        <v>101</v>
      </c>
      <c r="I1843" s="1" t="s">
        <v>166</v>
      </c>
      <c r="J1843" s="12">
        <v>1.7</v>
      </c>
      <c r="K1843" s="12"/>
      <c r="L1843" s="12"/>
      <c r="M1843" s="12"/>
      <c r="N1843" s="12"/>
      <c r="O1843" s="12"/>
      <c r="P1843" s="12"/>
      <c r="Q1843" s="12"/>
      <c r="R1843" s="12"/>
      <c r="S1843" s="12"/>
    </row>
    <row r="1844" spans="1:19" ht="14.25" customHeight="1" x14ac:dyDescent="0.2">
      <c r="A1844" s="1" t="s">
        <v>95</v>
      </c>
      <c r="B1844" s="7">
        <v>46097.9690625</v>
      </c>
      <c r="C1844" s="7">
        <v>46097.977870370371</v>
      </c>
      <c r="D1844" s="8">
        <v>46097</v>
      </c>
      <c r="E1844" s="9">
        <v>0.9778703703705105</v>
      </c>
      <c r="F1844" s="10" t="s">
        <v>2094</v>
      </c>
      <c r="G1844" s="10" t="s">
        <v>21</v>
      </c>
      <c r="H1844" s="10" t="s">
        <v>110</v>
      </c>
      <c r="I1844" s="10" t="s">
        <v>23</v>
      </c>
      <c r="J1844" s="11">
        <v>0.83</v>
      </c>
      <c r="K1844" s="12"/>
      <c r="L1844" s="12"/>
      <c r="M1844" s="12"/>
      <c r="N1844" s="12"/>
      <c r="O1844" s="12"/>
      <c r="P1844" s="12"/>
      <c r="Q1844" s="12"/>
      <c r="R1844" s="12"/>
      <c r="S1844" s="12"/>
    </row>
    <row r="1845" spans="1:19" ht="14.25" customHeight="1" x14ac:dyDescent="0.2">
      <c r="A1845" s="1" t="s">
        <v>24</v>
      </c>
      <c r="B1845" s="7">
        <v>46097.951979166668</v>
      </c>
      <c r="C1845" s="7">
        <v>46097.979513888888</v>
      </c>
      <c r="D1845" s="8">
        <v>46097</v>
      </c>
      <c r="E1845" s="9">
        <v>0.97951388888759539</v>
      </c>
      <c r="F1845" s="10" t="s">
        <v>2095</v>
      </c>
      <c r="G1845" s="10" t="s">
        <v>21</v>
      </c>
      <c r="H1845" s="10" t="s">
        <v>142</v>
      </c>
      <c r="I1845" s="10" t="s">
        <v>23</v>
      </c>
      <c r="J1845" s="11">
        <v>0.83</v>
      </c>
      <c r="K1845" s="12"/>
      <c r="L1845" s="12"/>
      <c r="M1845" s="12"/>
      <c r="N1845" s="12"/>
      <c r="O1845" s="12"/>
      <c r="P1845" s="12"/>
      <c r="Q1845" s="12"/>
      <c r="R1845" s="12"/>
      <c r="S1845" s="12"/>
    </row>
    <row r="1846" spans="1:19" ht="14.25" customHeight="1" x14ac:dyDescent="0.2">
      <c r="A1846" s="1" t="s">
        <v>24</v>
      </c>
      <c r="B1846" s="7">
        <v>46097.959374999999</v>
      </c>
      <c r="C1846" s="7">
        <v>46097.980324074073</v>
      </c>
      <c r="D1846" s="8">
        <v>46097</v>
      </c>
      <c r="E1846" s="9">
        <v>0.98032407407299615</v>
      </c>
      <c r="F1846" s="10" t="s">
        <v>2096</v>
      </c>
      <c r="G1846" s="10" t="s">
        <v>21</v>
      </c>
      <c r="H1846" s="10" t="s">
        <v>39</v>
      </c>
      <c r="I1846" s="10" t="s">
        <v>23</v>
      </c>
      <c r="J1846" s="11">
        <v>1.77</v>
      </c>
      <c r="K1846" s="12"/>
      <c r="L1846" s="12"/>
      <c r="M1846" s="12"/>
      <c r="N1846" s="12"/>
      <c r="O1846" s="12"/>
      <c r="P1846" s="12"/>
      <c r="Q1846" s="12"/>
      <c r="R1846" s="12"/>
      <c r="S1846" s="12"/>
    </row>
    <row r="1847" spans="1:19" ht="14.25" customHeight="1" x14ac:dyDescent="0.2">
      <c r="A1847" s="1" t="s">
        <v>24</v>
      </c>
      <c r="B1847" s="7">
        <v>46097.968217592592</v>
      </c>
      <c r="C1847" s="7">
        <v>46097.981064814812</v>
      </c>
      <c r="D1847" s="8">
        <v>46097</v>
      </c>
      <c r="E1847" s="9">
        <v>0.98106481481227092</v>
      </c>
      <c r="F1847" s="10" t="s">
        <v>2097</v>
      </c>
      <c r="G1847" s="10" t="s">
        <v>21</v>
      </c>
      <c r="H1847" s="10" t="s">
        <v>39</v>
      </c>
      <c r="I1847" s="10" t="s">
        <v>23</v>
      </c>
      <c r="J1847" s="11">
        <v>1.77</v>
      </c>
      <c r="K1847" s="12"/>
      <c r="L1847" s="12"/>
      <c r="M1847" s="12"/>
      <c r="N1847" s="12"/>
      <c r="O1847" s="12"/>
      <c r="P1847" s="12"/>
      <c r="Q1847" s="12"/>
      <c r="R1847" s="12"/>
      <c r="S1847" s="12"/>
    </row>
    <row r="1848" spans="1:19" ht="14.25" customHeight="1" x14ac:dyDescent="0.2">
      <c r="A1848" s="1" t="s">
        <v>42</v>
      </c>
      <c r="B1848" s="7">
        <v>46097.953738425924</v>
      </c>
      <c r="C1848" s="7">
        <v>46097.981481481482</v>
      </c>
      <c r="D1848" s="8">
        <v>46097</v>
      </c>
      <c r="E1848" s="9">
        <v>0.98148148148175096</v>
      </c>
      <c r="F1848" s="10" t="s">
        <v>2098</v>
      </c>
      <c r="G1848" s="10" t="s">
        <v>26</v>
      </c>
      <c r="H1848" s="10" t="s">
        <v>172</v>
      </c>
      <c r="I1848" s="10" t="s">
        <v>23</v>
      </c>
      <c r="J1848" s="11">
        <v>0.67</v>
      </c>
      <c r="K1848" s="12"/>
      <c r="L1848" s="12"/>
      <c r="M1848" s="12"/>
      <c r="N1848" s="12"/>
      <c r="O1848" s="12"/>
      <c r="P1848" s="12"/>
      <c r="Q1848" s="12"/>
      <c r="R1848" s="12"/>
      <c r="S1848" s="12"/>
    </row>
    <row r="1849" spans="1:19" ht="14.25" customHeight="1" x14ac:dyDescent="0.2">
      <c r="A1849" s="1" t="s">
        <v>19</v>
      </c>
      <c r="B1849" s="19">
        <v>46097.970358796294</v>
      </c>
      <c r="C1849" s="19">
        <v>46097.985868055555</v>
      </c>
      <c r="D1849" s="20">
        <v>46097</v>
      </c>
      <c r="E1849" s="21">
        <v>0.98586805555532919</v>
      </c>
      <c r="F1849" s="1" t="s">
        <v>2099</v>
      </c>
      <c r="G1849" s="1" t="s">
        <v>21</v>
      </c>
      <c r="H1849" s="1" t="s">
        <v>22</v>
      </c>
      <c r="I1849" s="1" t="s">
        <v>166</v>
      </c>
      <c r="J1849" s="12">
        <v>0.83</v>
      </c>
      <c r="K1849" s="12"/>
      <c r="L1849" s="12"/>
      <c r="M1849" s="12"/>
      <c r="N1849" s="12"/>
      <c r="O1849" s="12"/>
      <c r="P1849" s="12"/>
      <c r="Q1849" s="12"/>
      <c r="R1849" s="12"/>
      <c r="S1849" s="12"/>
    </row>
    <row r="1850" spans="1:19" ht="14.25" customHeight="1" x14ac:dyDescent="0.2">
      <c r="A1850" s="1" t="s">
        <v>19</v>
      </c>
      <c r="B1850" s="7">
        <v>46097.960729166669</v>
      </c>
      <c r="C1850" s="7">
        <v>46097.987129629626</v>
      </c>
      <c r="D1850" s="8">
        <v>46097</v>
      </c>
      <c r="E1850" s="9">
        <v>0.98712962962599704</v>
      </c>
      <c r="F1850" s="10" t="s">
        <v>2100</v>
      </c>
      <c r="G1850" s="10" t="s">
        <v>21</v>
      </c>
      <c r="H1850" s="10" t="s">
        <v>22</v>
      </c>
      <c r="I1850" s="10" t="s">
        <v>23</v>
      </c>
      <c r="J1850" s="11">
        <v>0.83</v>
      </c>
      <c r="K1850" s="12"/>
      <c r="L1850" s="12"/>
      <c r="M1850" s="12"/>
      <c r="N1850" s="12"/>
      <c r="O1850" s="12"/>
      <c r="P1850" s="12"/>
      <c r="Q1850" s="12"/>
      <c r="R1850" s="12"/>
      <c r="S1850" s="12"/>
    </row>
    <row r="1851" spans="1:19" ht="14.25" customHeight="1" x14ac:dyDescent="0.2">
      <c r="A1851" s="1" t="s">
        <v>19</v>
      </c>
      <c r="B1851" s="19">
        <v>46097.961956018517</v>
      </c>
      <c r="C1851" s="19">
        <v>46097.990474537037</v>
      </c>
      <c r="D1851" s="20">
        <v>46097</v>
      </c>
      <c r="E1851" s="21">
        <v>0.99047453703678912</v>
      </c>
      <c r="F1851" s="1" t="s">
        <v>2101</v>
      </c>
      <c r="G1851" s="1" t="s">
        <v>21</v>
      </c>
      <c r="H1851" s="1" t="s">
        <v>52</v>
      </c>
      <c r="I1851" s="1" t="s">
        <v>166</v>
      </c>
      <c r="J1851" s="12">
        <v>0.98</v>
      </c>
      <c r="K1851" s="12"/>
      <c r="L1851" s="12"/>
      <c r="M1851" s="12"/>
      <c r="N1851" s="12"/>
      <c r="O1851" s="12"/>
      <c r="P1851" s="12"/>
      <c r="Q1851" s="12"/>
      <c r="R1851" s="12"/>
      <c r="S1851" s="12"/>
    </row>
    <row r="1852" spans="1:19" ht="14.25" customHeight="1" x14ac:dyDescent="0.2">
      <c r="A1852" s="1" t="s">
        <v>33</v>
      </c>
      <c r="B1852" s="7">
        <v>46097.972685185188</v>
      </c>
      <c r="C1852" s="7">
        <v>46097.991840277777</v>
      </c>
      <c r="D1852" s="8">
        <v>46097</v>
      </c>
      <c r="E1852" s="9">
        <v>0.99184027777664596</v>
      </c>
      <c r="F1852" s="10" t="s">
        <v>2102</v>
      </c>
      <c r="G1852" s="10" t="s">
        <v>21</v>
      </c>
      <c r="H1852" s="10" t="s">
        <v>101</v>
      </c>
      <c r="I1852" s="10" t="s">
        <v>23</v>
      </c>
      <c r="J1852" s="11">
        <v>1.7</v>
      </c>
      <c r="K1852" s="12"/>
      <c r="L1852" s="12"/>
      <c r="M1852" s="12"/>
      <c r="N1852" s="12"/>
      <c r="O1852" s="12"/>
      <c r="P1852" s="12"/>
      <c r="Q1852" s="12"/>
      <c r="R1852" s="12"/>
      <c r="S1852" s="12"/>
    </row>
    <row r="1853" spans="1:19" ht="14.25" customHeight="1" x14ac:dyDescent="0.2">
      <c r="A1853" s="1" t="s">
        <v>42</v>
      </c>
      <c r="B1853" s="7">
        <v>46097.981793981482</v>
      </c>
      <c r="C1853" s="7">
        <v>46097.992060185185</v>
      </c>
      <c r="D1853" s="8">
        <v>46097</v>
      </c>
      <c r="E1853" s="9">
        <v>0.99206018518452765</v>
      </c>
      <c r="F1853" s="10" t="s">
        <v>2103</v>
      </c>
      <c r="G1853" s="10" t="s">
        <v>44</v>
      </c>
      <c r="H1853" s="10" t="s">
        <v>45</v>
      </c>
      <c r="I1853" s="10" t="s">
        <v>23</v>
      </c>
      <c r="J1853" s="11">
        <v>0.18</v>
      </c>
      <c r="K1853" s="12"/>
      <c r="L1853" s="12"/>
      <c r="M1853" s="12"/>
      <c r="N1853" s="12"/>
      <c r="O1853" s="12"/>
      <c r="P1853" s="12"/>
      <c r="Q1853" s="12"/>
      <c r="R1853" s="12"/>
      <c r="S1853" s="12"/>
    </row>
    <row r="1854" spans="1:19" ht="14.25" customHeight="1" x14ac:dyDescent="0.2">
      <c r="A1854" s="1" t="s">
        <v>42</v>
      </c>
      <c r="B1854" s="7">
        <v>46097.956921296296</v>
      </c>
      <c r="C1854" s="7">
        <v>46097.997476851851</v>
      </c>
      <c r="D1854" s="8">
        <v>46097</v>
      </c>
      <c r="E1854" s="9">
        <v>0.99747685185138835</v>
      </c>
      <c r="F1854" s="10" t="s">
        <v>2104</v>
      </c>
      <c r="G1854" s="10" t="s">
        <v>26</v>
      </c>
      <c r="H1854" s="10" t="s">
        <v>172</v>
      </c>
      <c r="I1854" s="10" t="s">
        <v>23</v>
      </c>
      <c r="J1854" s="11">
        <v>0.67</v>
      </c>
      <c r="K1854" s="12"/>
      <c r="L1854" s="12"/>
      <c r="M1854" s="12"/>
      <c r="N1854" s="12"/>
      <c r="O1854" s="12"/>
      <c r="P1854" s="12"/>
      <c r="Q1854" s="12"/>
      <c r="R1854" s="12"/>
      <c r="S1854" s="12"/>
    </row>
    <row r="1855" spans="1:19" ht="14.25" customHeight="1" x14ac:dyDescent="0.2">
      <c r="A1855" s="1" t="s">
        <v>33</v>
      </c>
      <c r="B1855" s="19">
        <v>46097.946828703702</v>
      </c>
      <c r="C1855" s="19">
        <v>46097.997673611113</v>
      </c>
      <c r="D1855" s="20">
        <v>46097</v>
      </c>
      <c r="E1855" s="21">
        <v>0.99767361111298669</v>
      </c>
      <c r="F1855" s="1" t="s">
        <v>2105</v>
      </c>
      <c r="G1855" s="1" t="s">
        <v>21</v>
      </c>
      <c r="H1855" s="1" t="s">
        <v>71</v>
      </c>
      <c r="I1855" s="1" t="s">
        <v>166</v>
      </c>
      <c r="J1855" s="12">
        <v>1.05</v>
      </c>
      <c r="K1855" s="12"/>
      <c r="L1855" s="12"/>
      <c r="M1855" s="12"/>
      <c r="N1855" s="12"/>
      <c r="O1855" s="12"/>
      <c r="P1855" s="12"/>
      <c r="Q1855" s="12"/>
      <c r="R1855" s="12"/>
      <c r="S1855" s="12"/>
    </row>
    <row r="1856" spans="1:19" ht="14.25" customHeight="1" x14ac:dyDescent="0.2">
      <c r="A1856" s="1" t="s">
        <v>28</v>
      </c>
      <c r="B1856" s="19">
        <v>46097.973935185182</v>
      </c>
      <c r="C1856" s="19">
        <v>46097.999699074076</v>
      </c>
      <c r="D1856" s="20">
        <v>46097</v>
      </c>
      <c r="E1856" s="21">
        <v>0.99969907407648861</v>
      </c>
      <c r="F1856" s="1" t="s">
        <v>2106</v>
      </c>
      <c r="G1856" s="1" t="s">
        <v>26</v>
      </c>
      <c r="H1856" s="1" t="s">
        <v>128</v>
      </c>
      <c r="I1856" s="1" t="s">
        <v>166</v>
      </c>
      <c r="J1856" s="12">
        <v>0.97</v>
      </c>
      <c r="K1856" s="12"/>
      <c r="L1856" s="12"/>
      <c r="M1856" s="12"/>
      <c r="N1856" s="12"/>
      <c r="O1856" s="12"/>
      <c r="P1856" s="12"/>
      <c r="Q1856" s="12"/>
      <c r="R1856" s="12"/>
      <c r="S1856" s="12"/>
    </row>
    <row r="1857" spans="1:19" ht="14.25" customHeight="1" x14ac:dyDescent="0.2">
      <c r="A1857" s="1" t="s">
        <v>95</v>
      </c>
      <c r="B1857" s="7">
        <v>46097.990370370368</v>
      </c>
      <c r="C1857" s="7">
        <v>46097.999837962961</v>
      </c>
      <c r="D1857" s="8">
        <v>46097</v>
      </c>
      <c r="E1857" s="9">
        <v>0.99983796296146465</v>
      </c>
      <c r="F1857" s="10" t="s">
        <v>2107</v>
      </c>
      <c r="G1857" s="10" t="s">
        <v>21</v>
      </c>
      <c r="H1857" s="10" t="s">
        <v>97</v>
      </c>
      <c r="I1857" s="10" t="s">
        <v>23</v>
      </c>
      <c r="J1857" s="11">
        <v>1.77</v>
      </c>
      <c r="K1857" s="12"/>
      <c r="L1857" s="12"/>
      <c r="M1857" s="12"/>
      <c r="N1857" s="12"/>
      <c r="O1857" s="12"/>
      <c r="P1857" s="12"/>
      <c r="Q1857" s="12"/>
      <c r="R1857" s="12"/>
      <c r="S1857" s="12"/>
    </row>
    <row r="1858" spans="1:19" ht="14.25" customHeight="1" x14ac:dyDescent="0.2">
      <c r="A1858" s="1" t="s">
        <v>28</v>
      </c>
      <c r="B1858" s="7">
        <v>46097.988958333335</v>
      </c>
      <c r="C1858" s="7">
        <v>46098.000509259262</v>
      </c>
      <c r="D1858" s="8">
        <v>46098</v>
      </c>
      <c r="E1858" s="9">
        <v>5.092592618893832E-4</v>
      </c>
      <c r="F1858" s="10" t="s">
        <v>2108</v>
      </c>
      <c r="G1858" s="10" t="s">
        <v>21</v>
      </c>
      <c r="H1858" s="10" t="s">
        <v>41</v>
      </c>
      <c r="I1858" s="10" t="s">
        <v>23</v>
      </c>
      <c r="J1858" s="11">
        <v>1.77</v>
      </c>
      <c r="K1858" s="12"/>
      <c r="L1858" s="12">
        <f>SUM(J1858:J1872)</f>
        <v>21.32</v>
      </c>
      <c r="M1858" s="13">
        <f>L1858*65</f>
        <v>1385.8</v>
      </c>
      <c r="N1858" s="14">
        <f>MAX(500,M1858)</f>
        <v>1385.8</v>
      </c>
      <c r="O1858" s="12"/>
      <c r="P1858" s="12"/>
      <c r="Q1858" s="12"/>
      <c r="R1858" s="12"/>
      <c r="S1858" s="12"/>
    </row>
    <row r="1859" spans="1:19" ht="14.25" customHeight="1" x14ac:dyDescent="0.2">
      <c r="A1859" s="1" t="s">
        <v>19</v>
      </c>
      <c r="B1859" s="7">
        <v>46097.982361111113</v>
      </c>
      <c r="C1859" s="7">
        <v>46098.000752314816</v>
      </c>
      <c r="D1859" s="8">
        <v>46098</v>
      </c>
      <c r="E1859" s="9">
        <v>7.5231481605442241E-4</v>
      </c>
      <c r="F1859" s="10" t="s">
        <v>2109</v>
      </c>
      <c r="G1859" s="10" t="s">
        <v>26</v>
      </c>
      <c r="H1859" s="10" t="s">
        <v>37</v>
      </c>
      <c r="I1859" s="10" t="s">
        <v>23</v>
      </c>
      <c r="J1859" s="11">
        <v>0.88</v>
      </c>
      <c r="K1859" s="12"/>
      <c r="L1859" s="12"/>
      <c r="M1859" s="12"/>
      <c r="N1859" s="12"/>
      <c r="O1859" s="12"/>
      <c r="P1859" s="12"/>
      <c r="Q1859" s="12"/>
      <c r="R1859" s="12"/>
      <c r="S1859" s="12"/>
    </row>
    <row r="1860" spans="1:19" ht="14.25" customHeight="1" x14ac:dyDescent="0.2">
      <c r="A1860" s="1" t="s">
        <v>95</v>
      </c>
      <c r="B1860" s="7">
        <v>46097.976018518515</v>
      </c>
      <c r="C1860" s="7">
        <v>46098.014953703707</v>
      </c>
      <c r="D1860" s="8">
        <v>46098</v>
      </c>
      <c r="E1860" s="9">
        <v>1.4953703706851229E-2</v>
      </c>
      <c r="F1860" s="10" t="s">
        <v>2110</v>
      </c>
      <c r="G1860" s="10" t="s">
        <v>21</v>
      </c>
      <c r="H1860" s="10" t="s">
        <v>236</v>
      </c>
      <c r="I1860" s="10" t="s">
        <v>23</v>
      </c>
      <c r="J1860" s="11">
        <v>1.96</v>
      </c>
      <c r="K1860" s="12"/>
      <c r="L1860" s="12"/>
      <c r="M1860" s="12"/>
      <c r="N1860" s="12"/>
      <c r="O1860" s="12"/>
      <c r="P1860" s="12"/>
      <c r="Q1860" s="12"/>
      <c r="R1860" s="12"/>
      <c r="S1860" s="12"/>
    </row>
    <row r="1861" spans="1:19" ht="14.25" customHeight="1" x14ac:dyDescent="0.2">
      <c r="A1861" s="1" t="s">
        <v>95</v>
      </c>
      <c r="B1861" s="7">
        <v>46097.989652777775</v>
      </c>
      <c r="C1861" s="7">
        <v>46098.015752314815</v>
      </c>
      <c r="D1861" s="8">
        <v>46098</v>
      </c>
      <c r="E1861" s="9">
        <v>1.5752314815472346E-2</v>
      </c>
      <c r="F1861" s="10" t="s">
        <v>2111</v>
      </c>
      <c r="G1861" s="10" t="s">
        <v>21</v>
      </c>
      <c r="H1861" s="10" t="s">
        <v>97</v>
      </c>
      <c r="I1861" s="10" t="s">
        <v>23</v>
      </c>
      <c r="J1861" s="11">
        <v>1.77</v>
      </c>
      <c r="K1861" s="12"/>
      <c r="L1861" s="12"/>
      <c r="M1861" s="12"/>
      <c r="N1861" s="12"/>
      <c r="O1861" s="12"/>
      <c r="P1861" s="12"/>
      <c r="Q1861" s="12"/>
      <c r="R1861" s="12"/>
      <c r="S1861" s="12"/>
    </row>
    <row r="1862" spans="1:19" ht="14.25" customHeight="1" x14ac:dyDescent="0.2">
      <c r="A1862" s="1" t="s">
        <v>95</v>
      </c>
      <c r="B1862" s="7">
        <v>46097.999421296299</v>
      </c>
      <c r="C1862" s="7">
        <v>46098.01599537037</v>
      </c>
      <c r="D1862" s="8">
        <v>46098</v>
      </c>
      <c r="E1862" s="9">
        <v>1.5995370369637385E-2</v>
      </c>
      <c r="F1862" s="10" t="s">
        <v>2112</v>
      </c>
      <c r="G1862" s="10" t="s">
        <v>21</v>
      </c>
      <c r="H1862" s="10" t="s">
        <v>52</v>
      </c>
      <c r="I1862" s="10" t="s">
        <v>23</v>
      </c>
      <c r="J1862" s="11">
        <v>0.98</v>
      </c>
      <c r="K1862" s="12"/>
      <c r="L1862" s="12"/>
      <c r="M1862" s="12"/>
      <c r="N1862" s="12"/>
      <c r="O1862" s="12"/>
      <c r="P1862" s="12"/>
      <c r="Q1862" s="12"/>
      <c r="R1862" s="12"/>
      <c r="S1862" s="12"/>
    </row>
    <row r="1863" spans="1:19" ht="14.25" customHeight="1" x14ac:dyDescent="0.2">
      <c r="A1863" s="1" t="s">
        <v>19</v>
      </c>
      <c r="B1863" s="7">
        <v>46097.964525462965</v>
      </c>
      <c r="C1863" s="7">
        <v>46098.017627314817</v>
      </c>
      <c r="D1863" s="8">
        <v>46098</v>
      </c>
      <c r="E1863" s="9">
        <v>1.7627314817218576E-2</v>
      </c>
      <c r="F1863" s="10" t="s">
        <v>2113</v>
      </c>
      <c r="G1863" s="10" t="s">
        <v>21</v>
      </c>
      <c r="H1863" s="10" t="s">
        <v>35</v>
      </c>
      <c r="I1863" s="10" t="s">
        <v>23</v>
      </c>
      <c r="J1863" s="11">
        <v>2.5</v>
      </c>
      <c r="K1863" s="12"/>
      <c r="L1863" s="12"/>
      <c r="M1863" s="12"/>
      <c r="N1863" s="12"/>
      <c r="O1863" s="12"/>
      <c r="P1863" s="12"/>
      <c r="Q1863" s="12"/>
      <c r="R1863" s="12"/>
      <c r="S1863" s="12"/>
    </row>
    <row r="1864" spans="1:19" ht="14.25" customHeight="1" x14ac:dyDescent="0.2">
      <c r="A1864" s="1" t="s">
        <v>95</v>
      </c>
      <c r="B1864" s="19">
        <v>46098.008483796293</v>
      </c>
      <c r="C1864" s="19">
        <v>46098.01766203704</v>
      </c>
      <c r="D1864" s="20">
        <v>46098</v>
      </c>
      <c r="E1864" s="21">
        <v>1.7662037040281575E-2</v>
      </c>
      <c r="F1864" s="1" t="s">
        <v>2114</v>
      </c>
      <c r="G1864" s="1" t="s">
        <v>21</v>
      </c>
      <c r="H1864" s="1" t="s">
        <v>110</v>
      </c>
      <c r="I1864" s="1" t="s">
        <v>166</v>
      </c>
      <c r="J1864" s="12">
        <v>0.83</v>
      </c>
      <c r="K1864" s="12"/>
      <c r="L1864" s="12"/>
      <c r="M1864" s="12"/>
      <c r="N1864" s="12"/>
      <c r="O1864" s="12"/>
      <c r="P1864" s="12"/>
      <c r="Q1864" s="12"/>
      <c r="R1864" s="12"/>
      <c r="S1864" s="12"/>
    </row>
    <row r="1865" spans="1:19" ht="14.25" customHeight="1" x14ac:dyDescent="0.2">
      <c r="A1865" s="1" t="s">
        <v>19</v>
      </c>
      <c r="B1865" s="7">
        <v>46097.948796296296</v>
      </c>
      <c r="C1865" s="7">
        <v>46098.017951388887</v>
      </c>
      <c r="D1865" s="8">
        <v>46098</v>
      </c>
      <c r="E1865" s="9">
        <v>1.7951388887013309E-2</v>
      </c>
      <c r="F1865" s="10" t="s">
        <v>2115</v>
      </c>
      <c r="G1865" s="10" t="s">
        <v>21</v>
      </c>
      <c r="H1865" s="10" t="s">
        <v>54</v>
      </c>
      <c r="I1865" s="10" t="s">
        <v>23</v>
      </c>
      <c r="J1865" s="11">
        <v>0.83</v>
      </c>
      <c r="K1865" s="12"/>
      <c r="L1865" s="12"/>
      <c r="M1865" s="12"/>
      <c r="N1865" s="12"/>
      <c r="O1865" s="12"/>
      <c r="P1865" s="12"/>
      <c r="Q1865" s="12"/>
      <c r="R1865" s="12"/>
      <c r="S1865" s="12"/>
    </row>
    <row r="1866" spans="1:19" ht="14.25" customHeight="1" x14ac:dyDescent="0.2">
      <c r="A1866" s="1" t="s">
        <v>19</v>
      </c>
      <c r="B1866" s="7">
        <v>46097.963460648149</v>
      </c>
      <c r="C1866" s="7">
        <v>46098.018229166664</v>
      </c>
      <c r="D1866" s="8">
        <v>46098</v>
      </c>
      <c r="E1866" s="9">
        <v>1.8229166664241347E-2</v>
      </c>
      <c r="F1866" s="10" t="s">
        <v>2116</v>
      </c>
      <c r="G1866" s="10" t="s">
        <v>21</v>
      </c>
      <c r="H1866" s="10" t="s">
        <v>22</v>
      </c>
      <c r="I1866" s="10" t="s">
        <v>23</v>
      </c>
      <c r="J1866" s="11">
        <v>0.83</v>
      </c>
      <c r="K1866" s="12"/>
      <c r="L1866" s="12"/>
      <c r="M1866" s="12"/>
      <c r="N1866" s="12"/>
      <c r="O1866" s="12"/>
      <c r="P1866" s="12"/>
      <c r="Q1866" s="12"/>
      <c r="R1866" s="12"/>
      <c r="S1866" s="12"/>
    </row>
    <row r="1867" spans="1:19" ht="14.25" customHeight="1" x14ac:dyDescent="0.2">
      <c r="A1867" s="1" t="s">
        <v>19</v>
      </c>
      <c r="B1867" s="7">
        <v>46097.984571759262</v>
      </c>
      <c r="C1867" s="7">
        <v>46098.018680555557</v>
      </c>
      <c r="D1867" s="8">
        <v>46098</v>
      </c>
      <c r="E1867" s="9">
        <v>1.8680555556784384E-2</v>
      </c>
      <c r="F1867" s="10" t="s">
        <v>2117</v>
      </c>
      <c r="G1867" s="10" t="s">
        <v>21</v>
      </c>
      <c r="H1867" s="10" t="s">
        <v>71</v>
      </c>
      <c r="I1867" s="10" t="s">
        <v>23</v>
      </c>
      <c r="J1867" s="11">
        <v>1.05</v>
      </c>
      <c r="K1867" s="12"/>
      <c r="L1867" s="12"/>
      <c r="M1867" s="12"/>
      <c r="N1867" s="12"/>
      <c r="O1867" s="12"/>
      <c r="P1867" s="12"/>
      <c r="Q1867" s="12"/>
      <c r="R1867" s="12"/>
      <c r="S1867" s="12"/>
    </row>
    <row r="1868" spans="1:19" ht="14.25" customHeight="1" x14ac:dyDescent="0.2">
      <c r="A1868" s="1" t="s">
        <v>19</v>
      </c>
      <c r="B1868" s="19">
        <v>46097.990659722222</v>
      </c>
      <c r="C1868" s="19">
        <v>46098.019097222219</v>
      </c>
      <c r="D1868" s="20">
        <v>46098</v>
      </c>
      <c r="E1868" s="21">
        <v>1.9097222218988463E-2</v>
      </c>
      <c r="F1868" s="1" t="s">
        <v>2118</v>
      </c>
      <c r="G1868" s="1" t="s">
        <v>21</v>
      </c>
      <c r="H1868" s="1" t="s">
        <v>54</v>
      </c>
      <c r="I1868" s="1" t="s">
        <v>166</v>
      </c>
      <c r="J1868" s="12">
        <v>0.83</v>
      </c>
      <c r="K1868" s="12"/>
      <c r="L1868" s="12"/>
      <c r="M1868" s="12"/>
      <c r="N1868" s="12"/>
      <c r="O1868" s="12"/>
      <c r="P1868" s="12"/>
      <c r="Q1868" s="12"/>
      <c r="R1868" s="12"/>
      <c r="S1868" s="12"/>
    </row>
    <row r="1869" spans="1:19" ht="14.25" customHeight="1" x14ac:dyDescent="0.2">
      <c r="A1869" s="1" t="s">
        <v>19</v>
      </c>
      <c r="B1869" s="7">
        <v>46097.996840277781</v>
      </c>
      <c r="C1869" s="7">
        <v>46098.01966435185</v>
      </c>
      <c r="D1869" s="8">
        <v>46098</v>
      </c>
      <c r="E1869" s="9">
        <v>1.9664351850224193E-2</v>
      </c>
      <c r="F1869" s="10" t="s">
        <v>2119</v>
      </c>
      <c r="G1869" s="10" t="s">
        <v>21</v>
      </c>
      <c r="H1869" s="10" t="s">
        <v>41</v>
      </c>
      <c r="I1869" s="10" t="s">
        <v>23</v>
      </c>
      <c r="J1869" s="11">
        <v>1.77</v>
      </c>
      <c r="K1869" s="12"/>
      <c r="L1869" s="12"/>
      <c r="M1869" s="12"/>
      <c r="N1869" s="12"/>
      <c r="O1869" s="12"/>
      <c r="P1869" s="12"/>
      <c r="Q1869" s="12"/>
      <c r="R1869" s="12"/>
      <c r="S1869" s="12"/>
    </row>
    <row r="1870" spans="1:19" ht="14.25" customHeight="1" x14ac:dyDescent="0.2">
      <c r="A1870" s="1" t="s">
        <v>19</v>
      </c>
      <c r="B1870" s="7">
        <v>46097.995937500003</v>
      </c>
      <c r="C1870" s="7">
        <v>46098.020624999997</v>
      </c>
      <c r="D1870" s="8">
        <v>46098</v>
      </c>
      <c r="E1870" s="9">
        <v>2.0624999997380655E-2</v>
      </c>
      <c r="F1870" s="10" t="s">
        <v>2120</v>
      </c>
      <c r="G1870" s="10" t="s">
        <v>21</v>
      </c>
      <c r="H1870" s="10" t="s">
        <v>35</v>
      </c>
      <c r="I1870" s="10" t="s">
        <v>23</v>
      </c>
      <c r="J1870" s="11">
        <v>2.5</v>
      </c>
      <c r="K1870" s="12"/>
      <c r="L1870" s="12"/>
      <c r="M1870" s="12"/>
      <c r="N1870" s="12"/>
      <c r="O1870" s="12"/>
      <c r="P1870" s="12"/>
      <c r="Q1870" s="12"/>
      <c r="R1870" s="12"/>
      <c r="S1870" s="12"/>
    </row>
    <row r="1871" spans="1:19" ht="14.25" customHeight="1" x14ac:dyDescent="0.2">
      <c r="A1871" s="1" t="s">
        <v>19</v>
      </c>
      <c r="B1871" s="7">
        <v>46098.013773148145</v>
      </c>
      <c r="C1871" s="7">
        <v>46098.021168981482</v>
      </c>
      <c r="D1871" s="8">
        <v>46098</v>
      </c>
      <c r="E1871" s="9">
        <v>2.1168981482333038E-2</v>
      </c>
      <c r="F1871" s="10" t="s">
        <v>2121</v>
      </c>
      <c r="G1871" s="10" t="s">
        <v>21</v>
      </c>
      <c r="H1871" s="10" t="s">
        <v>71</v>
      </c>
      <c r="I1871" s="10" t="s">
        <v>23</v>
      </c>
      <c r="J1871" s="11">
        <v>1.05</v>
      </c>
      <c r="K1871" s="12"/>
      <c r="L1871" s="12"/>
      <c r="M1871" s="12"/>
      <c r="N1871" s="12"/>
      <c r="O1871" s="12"/>
      <c r="P1871" s="12"/>
      <c r="Q1871" s="12"/>
      <c r="R1871" s="12"/>
      <c r="S1871" s="12"/>
    </row>
    <row r="1872" spans="1:19" ht="14.25" customHeight="1" x14ac:dyDescent="0.2">
      <c r="A1872" s="1" t="s">
        <v>28</v>
      </c>
      <c r="B1872" s="19">
        <v>46098.003553240742</v>
      </c>
      <c r="C1872" s="19">
        <v>46098.030219907407</v>
      </c>
      <c r="D1872" s="20">
        <v>46098</v>
      </c>
      <c r="E1872" s="21">
        <v>3.0219907406717539E-2</v>
      </c>
      <c r="F1872" s="1" t="s">
        <v>2122</v>
      </c>
      <c r="G1872" s="1" t="s">
        <v>21</v>
      </c>
      <c r="H1872" s="1" t="s">
        <v>41</v>
      </c>
      <c r="I1872" s="1" t="s">
        <v>166</v>
      </c>
      <c r="J1872" s="12">
        <v>1.77</v>
      </c>
      <c r="K1872" s="12"/>
      <c r="L1872" s="12"/>
      <c r="M1872" s="12"/>
      <c r="N1872" s="12"/>
      <c r="O1872" s="12"/>
      <c r="P1872" s="12"/>
      <c r="Q1872" s="12"/>
      <c r="R1872" s="12"/>
      <c r="S1872" s="12"/>
    </row>
    <row r="1873" spans="1:19" ht="14.25" customHeight="1" x14ac:dyDescent="0.2">
      <c r="A1873" s="1" t="s">
        <v>95</v>
      </c>
      <c r="B1873" s="7">
        <v>46098.033634259256</v>
      </c>
      <c r="C1873" s="7">
        <v>46098.047442129631</v>
      </c>
      <c r="D1873" s="8">
        <v>46098</v>
      </c>
      <c r="E1873" s="9">
        <v>4.744212963123573E-2</v>
      </c>
      <c r="F1873" s="10" t="s">
        <v>2123</v>
      </c>
      <c r="G1873" s="10" t="s">
        <v>21</v>
      </c>
      <c r="H1873" s="10" t="s">
        <v>435</v>
      </c>
      <c r="I1873" s="10" t="s">
        <v>23</v>
      </c>
      <c r="J1873" s="11">
        <v>1.1299999999999999</v>
      </c>
      <c r="K1873" s="12"/>
      <c r="L1873" s="12">
        <f>SUM(J1873:J1888)</f>
        <v>20.409999999999997</v>
      </c>
      <c r="M1873" s="13">
        <f>L1873*65</f>
        <v>1326.6499999999999</v>
      </c>
      <c r="N1873" s="14">
        <f>MAX(500,M1873)</f>
        <v>1326.6499999999999</v>
      </c>
      <c r="O1873" s="12"/>
      <c r="P1873" s="12"/>
      <c r="Q1873" s="12"/>
      <c r="R1873" s="12"/>
      <c r="S1873" s="12"/>
    </row>
    <row r="1874" spans="1:19" ht="14.25" customHeight="1" x14ac:dyDescent="0.2">
      <c r="A1874" s="1" t="s">
        <v>95</v>
      </c>
      <c r="B1874" s="7">
        <v>46098.032638888886</v>
      </c>
      <c r="C1874" s="7">
        <v>46098.047962962963</v>
      </c>
      <c r="D1874" s="8">
        <v>46098</v>
      </c>
      <c r="E1874" s="9">
        <v>4.7962962962628808E-2</v>
      </c>
      <c r="F1874" s="10" t="s">
        <v>2124</v>
      </c>
      <c r="G1874" s="10" t="s">
        <v>21</v>
      </c>
      <c r="H1874" s="10" t="s">
        <v>97</v>
      </c>
      <c r="I1874" s="10" t="s">
        <v>23</v>
      </c>
      <c r="J1874" s="11">
        <v>1.77</v>
      </c>
      <c r="K1874" s="12"/>
      <c r="L1874" s="12"/>
      <c r="M1874" s="12"/>
      <c r="N1874" s="12"/>
      <c r="O1874" s="12"/>
      <c r="P1874" s="12"/>
      <c r="Q1874" s="12"/>
      <c r="R1874" s="12"/>
      <c r="S1874" s="12"/>
    </row>
    <row r="1875" spans="1:19" ht="14.25" customHeight="1" x14ac:dyDescent="0.2">
      <c r="A1875" s="1" t="s">
        <v>19</v>
      </c>
      <c r="B1875" s="7">
        <v>46098.020694444444</v>
      </c>
      <c r="C1875" s="7">
        <v>46098.048576388886</v>
      </c>
      <c r="D1875" s="8">
        <v>46098</v>
      </c>
      <c r="E1875" s="9">
        <v>4.8576388886431232E-2</v>
      </c>
      <c r="F1875" s="10" t="s">
        <v>2125</v>
      </c>
      <c r="G1875" s="10" t="s">
        <v>21</v>
      </c>
      <c r="H1875" s="10" t="s">
        <v>22</v>
      </c>
      <c r="I1875" s="10" t="s">
        <v>23</v>
      </c>
      <c r="J1875" s="11">
        <v>0.83</v>
      </c>
      <c r="K1875" s="12"/>
      <c r="L1875" s="12"/>
      <c r="M1875" s="12"/>
      <c r="N1875" s="12"/>
      <c r="O1875" s="12"/>
      <c r="P1875" s="12"/>
      <c r="Q1875" s="12"/>
      <c r="R1875" s="12"/>
      <c r="S1875" s="12"/>
    </row>
    <row r="1876" spans="1:19" ht="14.25" customHeight="1" x14ac:dyDescent="0.2">
      <c r="A1876" s="1" t="s">
        <v>19</v>
      </c>
      <c r="B1876" s="7">
        <v>46098.030775462961</v>
      </c>
      <c r="C1876" s="7">
        <v>46098.049004629633</v>
      </c>
      <c r="D1876" s="8">
        <v>46098</v>
      </c>
      <c r="E1876" s="9">
        <v>4.9004629632690921E-2</v>
      </c>
      <c r="F1876" s="10" t="s">
        <v>2126</v>
      </c>
      <c r="G1876" s="10" t="s">
        <v>21</v>
      </c>
      <c r="H1876" s="10" t="s">
        <v>39</v>
      </c>
      <c r="I1876" s="10" t="s">
        <v>23</v>
      </c>
      <c r="J1876" s="11">
        <v>1.77</v>
      </c>
      <c r="K1876" s="12"/>
      <c r="L1876" s="12"/>
      <c r="M1876" s="12"/>
      <c r="N1876" s="12"/>
      <c r="O1876" s="12"/>
      <c r="P1876" s="12"/>
      <c r="Q1876" s="12"/>
      <c r="R1876" s="12"/>
      <c r="S1876" s="12"/>
    </row>
    <row r="1877" spans="1:19" ht="14.25" customHeight="1" x14ac:dyDescent="0.2">
      <c r="A1877" s="1" t="s">
        <v>24</v>
      </c>
      <c r="B1877" s="7">
        <v>46098.007465277777</v>
      </c>
      <c r="C1877" s="7">
        <v>46098.049826388888</v>
      </c>
      <c r="D1877" s="8">
        <v>46098</v>
      </c>
      <c r="E1877" s="9">
        <v>4.9826388887595385E-2</v>
      </c>
      <c r="F1877" s="10" t="s">
        <v>2127</v>
      </c>
      <c r="G1877" s="10" t="s">
        <v>26</v>
      </c>
      <c r="H1877" s="10" t="s">
        <v>27</v>
      </c>
      <c r="I1877" s="10" t="s">
        <v>23</v>
      </c>
      <c r="J1877" s="11">
        <v>0.68</v>
      </c>
      <c r="K1877" s="12"/>
      <c r="L1877" s="12"/>
      <c r="M1877" s="12"/>
      <c r="N1877" s="12"/>
      <c r="O1877" s="12"/>
      <c r="P1877" s="12"/>
      <c r="Q1877" s="12"/>
      <c r="R1877" s="12"/>
      <c r="S1877" s="12"/>
    </row>
    <row r="1878" spans="1:19" ht="14.25" customHeight="1" x14ac:dyDescent="0.2">
      <c r="A1878" s="1" t="s">
        <v>95</v>
      </c>
      <c r="B1878" s="7">
        <v>46096.21947916667</v>
      </c>
      <c r="C1878" s="7">
        <v>46098.050162037034</v>
      </c>
      <c r="D1878" s="8">
        <v>46098</v>
      </c>
      <c r="E1878" s="9">
        <v>5.0162037034169771E-2</v>
      </c>
      <c r="F1878" s="10" t="s">
        <v>2128</v>
      </c>
      <c r="G1878" s="10" t="s">
        <v>21</v>
      </c>
      <c r="H1878" s="10" t="s">
        <v>110</v>
      </c>
      <c r="I1878" s="10" t="s">
        <v>23</v>
      </c>
      <c r="J1878" s="11">
        <v>0.83</v>
      </c>
      <c r="K1878" s="12"/>
      <c r="L1878" s="12"/>
      <c r="M1878" s="12"/>
      <c r="N1878" s="12"/>
      <c r="O1878" s="12"/>
      <c r="P1878" s="12"/>
      <c r="Q1878" s="12"/>
      <c r="R1878" s="12"/>
      <c r="S1878" s="12"/>
    </row>
    <row r="1879" spans="1:19" ht="14.25" customHeight="1" x14ac:dyDescent="0.2">
      <c r="A1879" s="1" t="s">
        <v>95</v>
      </c>
      <c r="B1879" s="7">
        <v>46098.039722222224</v>
      </c>
      <c r="C1879" s="7">
        <v>46098.050844907404</v>
      </c>
      <c r="D1879" s="8">
        <v>46098</v>
      </c>
      <c r="E1879" s="9">
        <v>5.0844907404098194E-2</v>
      </c>
      <c r="F1879" s="10" t="s">
        <v>2129</v>
      </c>
      <c r="G1879" s="10" t="s">
        <v>21</v>
      </c>
      <c r="H1879" s="10" t="s">
        <v>108</v>
      </c>
      <c r="I1879" s="10" t="s">
        <v>23</v>
      </c>
      <c r="J1879" s="11">
        <v>1.7</v>
      </c>
      <c r="K1879" s="12"/>
      <c r="L1879" s="12"/>
      <c r="M1879" s="12"/>
      <c r="N1879" s="12"/>
      <c r="O1879" s="12"/>
      <c r="P1879" s="12"/>
      <c r="Q1879" s="12"/>
      <c r="R1879" s="12"/>
      <c r="S1879" s="12"/>
    </row>
    <row r="1880" spans="1:19" ht="14.25" customHeight="1" x14ac:dyDescent="0.2">
      <c r="A1880" s="1" t="s">
        <v>95</v>
      </c>
      <c r="B1880" s="7">
        <v>46097.999421296299</v>
      </c>
      <c r="C1880" s="7">
        <v>46098.051180555558</v>
      </c>
      <c r="D1880" s="8">
        <v>46098</v>
      </c>
      <c r="E1880" s="9">
        <v>5.1180555557948537E-2</v>
      </c>
      <c r="F1880" s="10" t="s">
        <v>2130</v>
      </c>
      <c r="G1880" s="10" t="s">
        <v>21</v>
      </c>
      <c r="H1880" s="10" t="s">
        <v>110</v>
      </c>
      <c r="I1880" s="10" t="s">
        <v>23</v>
      </c>
      <c r="J1880" s="11">
        <v>0.83</v>
      </c>
      <c r="K1880" s="12"/>
      <c r="L1880" s="12"/>
      <c r="M1880" s="12"/>
      <c r="N1880" s="12"/>
      <c r="O1880" s="12"/>
      <c r="P1880" s="12"/>
      <c r="Q1880" s="12"/>
      <c r="R1880" s="12"/>
      <c r="S1880" s="12"/>
    </row>
    <row r="1881" spans="1:19" ht="14.25" customHeight="1" x14ac:dyDescent="0.2">
      <c r="A1881" s="1" t="s">
        <v>24</v>
      </c>
      <c r="B1881" s="7">
        <v>46098.04109953704</v>
      </c>
      <c r="C1881" s="7">
        <v>46098.051539351851</v>
      </c>
      <c r="D1881" s="8">
        <v>46098</v>
      </c>
      <c r="E1881" s="9">
        <v>5.153935185080627E-2</v>
      </c>
      <c r="F1881" s="10" t="s">
        <v>2131</v>
      </c>
      <c r="G1881" s="10" t="s">
        <v>21</v>
      </c>
      <c r="H1881" s="10" t="s">
        <v>39</v>
      </c>
      <c r="I1881" s="10" t="s">
        <v>23</v>
      </c>
      <c r="J1881" s="11">
        <v>1.77</v>
      </c>
      <c r="K1881" s="12"/>
      <c r="L1881" s="12"/>
      <c r="M1881" s="12"/>
      <c r="N1881" s="12"/>
      <c r="O1881" s="12"/>
      <c r="P1881" s="12"/>
      <c r="Q1881" s="12"/>
      <c r="R1881" s="12"/>
      <c r="S1881" s="12"/>
    </row>
    <row r="1882" spans="1:19" ht="14.25" customHeight="1" x14ac:dyDescent="0.2">
      <c r="A1882" s="1" t="s">
        <v>230</v>
      </c>
      <c r="B1882" s="19">
        <v>46098.029976851853</v>
      </c>
      <c r="C1882" s="19">
        <v>46098.05395833333</v>
      </c>
      <c r="D1882" s="20">
        <v>46098</v>
      </c>
      <c r="E1882" s="21">
        <v>5.3958333330228925E-2</v>
      </c>
      <c r="F1882" s="1" t="s">
        <v>2132</v>
      </c>
      <c r="G1882" s="1" t="s">
        <v>21</v>
      </c>
      <c r="H1882" s="1" t="s">
        <v>1431</v>
      </c>
      <c r="I1882" s="1" t="s">
        <v>166</v>
      </c>
      <c r="J1882" s="12">
        <v>1.77</v>
      </c>
      <c r="K1882" s="12"/>
      <c r="L1882" s="12"/>
      <c r="M1882" s="12"/>
      <c r="N1882" s="12"/>
      <c r="O1882" s="12"/>
      <c r="P1882" s="12"/>
      <c r="Q1882" s="12"/>
      <c r="R1882" s="12"/>
      <c r="S1882" s="12"/>
    </row>
    <row r="1883" spans="1:19" ht="14.25" customHeight="1" x14ac:dyDescent="0.2">
      <c r="A1883" s="1" t="s">
        <v>24</v>
      </c>
      <c r="B1883" s="19">
        <v>46098.030659722222</v>
      </c>
      <c r="C1883" s="19">
        <v>46098.056041666663</v>
      </c>
      <c r="D1883" s="20">
        <v>46098</v>
      </c>
      <c r="E1883" s="21">
        <v>5.6041666663077194E-2</v>
      </c>
      <c r="F1883" s="1" t="s">
        <v>2133</v>
      </c>
      <c r="G1883" s="1" t="s">
        <v>26</v>
      </c>
      <c r="H1883" s="1" t="s">
        <v>1260</v>
      </c>
      <c r="I1883" s="1" t="s">
        <v>166</v>
      </c>
      <c r="J1883" s="12">
        <v>0.57999999999999996</v>
      </c>
      <c r="K1883" s="12"/>
      <c r="L1883" s="12"/>
      <c r="M1883" s="12"/>
      <c r="N1883" s="12"/>
      <c r="O1883" s="12"/>
      <c r="P1883" s="12"/>
      <c r="Q1883" s="12"/>
      <c r="R1883" s="12"/>
      <c r="S1883" s="12"/>
    </row>
    <row r="1884" spans="1:19" ht="14.25" customHeight="1" x14ac:dyDescent="0.2">
      <c r="A1884" s="1" t="s">
        <v>230</v>
      </c>
      <c r="B1884" s="7">
        <v>46098.04928240741</v>
      </c>
      <c r="C1884" s="7">
        <v>46098.060752314814</v>
      </c>
      <c r="D1884" s="8">
        <v>46098</v>
      </c>
      <c r="E1884" s="9">
        <v>6.0752314813726116E-2</v>
      </c>
      <c r="F1884" s="10" t="s">
        <v>2134</v>
      </c>
      <c r="G1884" s="10" t="s">
        <v>21</v>
      </c>
      <c r="H1884" s="10" t="s">
        <v>1431</v>
      </c>
      <c r="I1884" s="10" t="s">
        <v>23</v>
      </c>
      <c r="J1884" s="11">
        <v>1.77</v>
      </c>
      <c r="K1884" s="12"/>
      <c r="L1884" s="12"/>
      <c r="M1884" s="12"/>
      <c r="N1884" s="12"/>
      <c r="O1884" s="12"/>
      <c r="P1884" s="12"/>
      <c r="Q1884" s="12"/>
      <c r="R1884" s="12"/>
      <c r="S1884" s="12"/>
    </row>
    <row r="1885" spans="1:19" ht="14.25" customHeight="1" x14ac:dyDescent="0.2">
      <c r="A1885" s="1" t="s">
        <v>24</v>
      </c>
      <c r="B1885" s="7">
        <v>46098.066840277781</v>
      </c>
      <c r="C1885" s="7">
        <v>46098.077164351853</v>
      </c>
      <c r="D1885" s="8">
        <v>46098</v>
      </c>
      <c r="E1885" s="9">
        <v>7.7164351852843538E-2</v>
      </c>
      <c r="F1885" s="10" t="s">
        <v>2135</v>
      </c>
      <c r="G1885" s="10" t="s">
        <v>21</v>
      </c>
      <c r="H1885" s="10" t="s">
        <v>101</v>
      </c>
      <c r="I1885" s="10" t="s">
        <v>23</v>
      </c>
      <c r="J1885" s="11">
        <v>1.7</v>
      </c>
      <c r="K1885" s="12"/>
      <c r="L1885" s="12"/>
      <c r="M1885" s="12"/>
      <c r="N1885" s="12"/>
      <c r="O1885" s="12"/>
      <c r="P1885" s="12"/>
      <c r="Q1885" s="12"/>
      <c r="R1885" s="12"/>
      <c r="S1885" s="12"/>
    </row>
    <row r="1886" spans="1:19" ht="14.25" customHeight="1" x14ac:dyDescent="0.2">
      <c r="A1886" s="1" t="s">
        <v>24</v>
      </c>
      <c r="B1886" s="7">
        <v>46097.983993055554</v>
      </c>
      <c r="C1886" s="7">
        <v>46098.077696759261</v>
      </c>
      <c r="D1886" s="8">
        <v>46098</v>
      </c>
      <c r="E1886" s="9">
        <v>7.7696759261016268E-2</v>
      </c>
      <c r="F1886" s="10" t="s">
        <v>2136</v>
      </c>
      <c r="G1886" s="10" t="s">
        <v>26</v>
      </c>
      <c r="H1886" s="10" t="s">
        <v>27</v>
      </c>
      <c r="I1886" s="10" t="s">
        <v>23</v>
      </c>
      <c r="J1886" s="11">
        <v>0.68</v>
      </c>
      <c r="K1886" s="12"/>
      <c r="L1886" s="12"/>
      <c r="M1886" s="12"/>
      <c r="N1886" s="12"/>
      <c r="O1886" s="12"/>
      <c r="P1886" s="12"/>
      <c r="Q1886" s="12"/>
      <c r="R1886" s="12"/>
      <c r="S1886" s="12"/>
    </row>
    <row r="1887" spans="1:19" ht="14.25" customHeight="1" x14ac:dyDescent="0.2">
      <c r="A1887" s="1" t="s">
        <v>95</v>
      </c>
      <c r="B1887" s="7">
        <v>46098.073807870373</v>
      </c>
      <c r="C1887" s="7">
        <v>46098.078622685185</v>
      </c>
      <c r="D1887" s="8">
        <v>46098</v>
      </c>
      <c r="E1887" s="9">
        <v>7.8622685185109731E-2</v>
      </c>
      <c r="F1887" s="10" t="s">
        <v>2137</v>
      </c>
      <c r="G1887" s="10" t="s">
        <v>21</v>
      </c>
      <c r="H1887" s="10" t="s">
        <v>97</v>
      </c>
      <c r="I1887" s="10" t="s">
        <v>23</v>
      </c>
      <c r="J1887" s="11">
        <v>1.77</v>
      </c>
      <c r="K1887" s="12"/>
      <c r="L1887" s="12"/>
      <c r="M1887" s="12"/>
      <c r="N1887" s="12"/>
      <c r="O1887" s="12"/>
      <c r="P1887" s="12"/>
      <c r="Q1887" s="12"/>
      <c r="R1887" s="12"/>
      <c r="S1887" s="12"/>
    </row>
    <row r="1888" spans="1:19" ht="14.25" customHeight="1" x14ac:dyDescent="0.2">
      <c r="A1888" s="1" t="s">
        <v>112</v>
      </c>
      <c r="B1888" s="7">
        <v>46098.067233796297</v>
      </c>
      <c r="C1888" s="7">
        <v>46098.079108796293</v>
      </c>
      <c r="D1888" s="8">
        <v>46098</v>
      </c>
      <c r="E1888" s="9">
        <v>7.9108796293439809E-2</v>
      </c>
      <c r="F1888" s="10" t="s">
        <v>2138</v>
      </c>
      <c r="G1888" s="10" t="s">
        <v>21</v>
      </c>
      <c r="H1888" s="10" t="s">
        <v>117</v>
      </c>
      <c r="I1888" s="10" t="s">
        <v>23</v>
      </c>
      <c r="J1888" s="11">
        <v>0.83</v>
      </c>
      <c r="K1888" s="12"/>
      <c r="L1888" s="12"/>
      <c r="M1888" s="12"/>
      <c r="N1888" s="12"/>
      <c r="O1888" s="12"/>
      <c r="P1888" s="12"/>
      <c r="Q1888" s="12"/>
      <c r="R1888" s="12"/>
      <c r="S1888" s="12"/>
    </row>
    <row r="1889" spans="1:19" ht="14.25" customHeight="1" x14ac:dyDescent="0.2">
      <c r="A1889" s="1" t="s">
        <v>19</v>
      </c>
      <c r="B1889" s="7">
        <v>46098.060613425929</v>
      </c>
      <c r="C1889" s="7">
        <v>46098.102986111109</v>
      </c>
      <c r="D1889" s="8">
        <v>46098</v>
      </c>
      <c r="E1889" s="9">
        <v>0.10298611110920319</v>
      </c>
      <c r="F1889" s="10" t="s">
        <v>2139</v>
      </c>
      <c r="G1889" s="10" t="s">
        <v>21</v>
      </c>
      <c r="H1889" s="10" t="s">
        <v>54</v>
      </c>
      <c r="I1889" s="10" t="s">
        <v>23</v>
      </c>
      <c r="J1889" s="11">
        <v>0.83</v>
      </c>
      <c r="K1889" s="12"/>
      <c r="L1889" s="12">
        <f>SUM(J1889:J1891)</f>
        <v>3.77</v>
      </c>
      <c r="M1889" s="13">
        <f>L1889*65</f>
        <v>245.05</v>
      </c>
      <c r="N1889" s="14">
        <f>MAX(500,M1889)</f>
        <v>500</v>
      </c>
      <c r="O1889" s="12"/>
      <c r="P1889" s="12"/>
      <c r="Q1889" s="12"/>
      <c r="R1889" s="12"/>
      <c r="S1889" s="12"/>
    </row>
    <row r="1890" spans="1:19" ht="14.25" customHeight="1" x14ac:dyDescent="0.2">
      <c r="A1890" s="1" t="s">
        <v>95</v>
      </c>
      <c r="B1890" s="7">
        <v>46098.070567129631</v>
      </c>
      <c r="C1890" s="7">
        <v>46098.108483796299</v>
      </c>
      <c r="D1890" s="8">
        <v>46098</v>
      </c>
      <c r="E1890" s="9">
        <v>0.10848379629896954</v>
      </c>
      <c r="F1890" s="10" t="s">
        <v>2140</v>
      </c>
      <c r="G1890" s="10" t="s">
        <v>21</v>
      </c>
      <c r="H1890" s="10" t="s">
        <v>216</v>
      </c>
      <c r="I1890" s="10" t="s">
        <v>23</v>
      </c>
      <c r="J1890" s="11">
        <v>0.98</v>
      </c>
      <c r="K1890" s="12"/>
      <c r="L1890" s="12"/>
      <c r="M1890" s="12"/>
      <c r="N1890" s="12"/>
      <c r="O1890" s="12"/>
      <c r="P1890" s="12"/>
      <c r="Q1890" s="12"/>
      <c r="R1890" s="12"/>
      <c r="S1890" s="12"/>
    </row>
    <row r="1891" spans="1:19" ht="14.25" customHeight="1" x14ac:dyDescent="0.2">
      <c r="A1891" s="1" t="s">
        <v>95</v>
      </c>
      <c r="B1891" s="19">
        <v>46098.089467592596</v>
      </c>
      <c r="C1891" s="19">
        <v>46098.124710648146</v>
      </c>
      <c r="D1891" s="20">
        <v>46098</v>
      </c>
      <c r="E1891" s="21">
        <v>0.12471064814599231</v>
      </c>
      <c r="F1891" s="1" t="s">
        <v>2141</v>
      </c>
      <c r="G1891" s="1" t="s">
        <v>21</v>
      </c>
      <c r="H1891" s="1" t="s">
        <v>236</v>
      </c>
      <c r="I1891" s="1" t="s">
        <v>166</v>
      </c>
      <c r="J1891" s="12">
        <v>1.96</v>
      </c>
      <c r="K1891" s="12"/>
      <c r="L1891" s="12"/>
      <c r="M1891" s="12"/>
      <c r="N1891" s="12"/>
      <c r="O1891" s="12"/>
      <c r="P1891" s="12"/>
      <c r="Q1891" s="12"/>
      <c r="R1891" s="12"/>
      <c r="S1891" s="12"/>
    </row>
    <row r="1892" spans="1:19" ht="14.25" customHeight="1" x14ac:dyDescent="0.2">
      <c r="A1892" s="1" t="s">
        <v>33</v>
      </c>
      <c r="B1892" s="7">
        <v>46098.096087962964</v>
      </c>
      <c r="C1892" s="7">
        <v>46098.125763888886</v>
      </c>
      <c r="D1892" s="8">
        <v>46098</v>
      </c>
      <c r="E1892" s="9">
        <v>0.12576388888555812</v>
      </c>
      <c r="F1892" s="10" t="s">
        <v>2142</v>
      </c>
      <c r="G1892" s="10" t="s">
        <v>21</v>
      </c>
      <c r="H1892" s="10" t="s">
        <v>399</v>
      </c>
      <c r="I1892" s="10" t="s">
        <v>23</v>
      </c>
      <c r="J1892" s="11">
        <v>3.92</v>
      </c>
      <c r="K1892" s="12">
        <f>SUM(J1892:J1917)</f>
        <v>35.619999999999997</v>
      </c>
      <c r="L1892" s="12">
        <f>SUM(J1892:J1897)</f>
        <v>9.3699999999999992</v>
      </c>
      <c r="M1892" s="13">
        <f>L1892*65</f>
        <v>609.04999999999995</v>
      </c>
      <c r="N1892" s="14">
        <f>MAX(500,M1892)</f>
        <v>609.04999999999995</v>
      </c>
      <c r="O1892" s="12"/>
      <c r="P1892" s="12"/>
      <c r="Q1892" s="12"/>
      <c r="R1892" s="12"/>
      <c r="S1892" s="12"/>
    </row>
    <row r="1893" spans="1:19" ht="14.25" customHeight="1" x14ac:dyDescent="0.2">
      <c r="A1893" s="1" t="s">
        <v>95</v>
      </c>
      <c r="B1893" s="7">
        <v>46098.098391203705</v>
      </c>
      <c r="C1893" s="7">
        <v>46098.126388888886</v>
      </c>
      <c r="D1893" s="8">
        <v>46098</v>
      </c>
      <c r="E1893" s="9">
        <v>0.12638888888614019</v>
      </c>
      <c r="F1893" s="10" t="s">
        <v>2143</v>
      </c>
      <c r="G1893" s="10" t="s">
        <v>26</v>
      </c>
      <c r="H1893" s="10" t="s">
        <v>1019</v>
      </c>
      <c r="I1893" s="10" t="s">
        <v>23</v>
      </c>
      <c r="J1893" s="11">
        <v>0.67</v>
      </c>
      <c r="K1893" s="12"/>
      <c r="L1893" s="12"/>
      <c r="M1893" s="12"/>
      <c r="N1893" s="12"/>
      <c r="O1893" s="12"/>
      <c r="P1893" s="12"/>
      <c r="Q1893" s="12"/>
      <c r="R1893" s="12"/>
      <c r="S1893" s="12"/>
    </row>
    <row r="1894" spans="1:19" ht="14.25" customHeight="1" x14ac:dyDescent="0.2">
      <c r="A1894" s="1" t="s">
        <v>24</v>
      </c>
      <c r="B1894" s="7">
        <v>46098.121296296296</v>
      </c>
      <c r="C1894" s="7">
        <v>46098.133148148147</v>
      </c>
      <c r="D1894" s="8">
        <v>46098</v>
      </c>
      <c r="E1894" s="9">
        <v>0.13314814814657439</v>
      </c>
      <c r="F1894" s="10" t="s">
        <v>2144</v>
      </c>
      <c r="G1894" s="10" t="s">
        <v>21</v>
      </c>
      <c r="H1894" s="10" t="s">
        <v>22</v>
      </c>
      <c r="I1894" s="10" t="s">
        <v>23</v>
      </c>
      <c r="J1894" s="11">
        <v>0.83</v>
      </c>
      <c r="K1894" s="12"/>
      <c r="L1894" s="12"/>
      <c r="M1894" s="12"/>
      <c r="N1894" s="12"/>
      <c r="O1894" s="12"/>
      <c r="P1894" s="12"/>
      <c r="Q1894" s="12"/>
      <c r="R1894" s="12"/>
      <c r="S1894" s="12"/>
    </row>
    <row r="1895" spans="1:19" ht="14.25" customHeight="1" x14ac:dyDescent="0.2">
      <c r="A1895" s="1" t="s">
        <v>95</v>
      </c>
      <c r="B1895" s="7">
        <v>46098.125092592592</v>
      </c>
      <c r="C1895" s="7">
        <v>46098.137546296297</v>
      </c>
      <c r="D1895" s="8">
        <v>46098</v>
      </c>
      <c r="E1895" s="9">
        <v>0.13754629629693227</v>
      </c>
      <c r="F1895" s="10" t="s">
        <v>2145</v>
      </c>
      <c r="G1895" s="10" t="s">
        <v>21</v>
      </c>
      <c r="H1895" s="10" t="s">
        <v>71</v>
      </c>
      <c r="I1895" s="10" t="s">
        <v>23</v>
      </c>
      <c r="J1895" s="11">
        <v>1.05</v>
      </c>
      <c r="K1895" s="12"/>
      <c r="L1895" s="12"/>
      <c r="M1895" s="12"/>
      <c r="N1895" s="12"/>
      <c r="O1895" s="12"/>
      <c r="P1895" s="12"/>
      <c r="Q1895" s="12"/>
      <c r="R1895" s="12"/>
      <c r="S1895" s="12"/>
    </row>
    <row r="1896" spans="1:19" ht="14.25" customHeight="1" x14ac:dyDescent="0.2">
      <c r="A1896" s="1" t="s">
        <v>95</v>
      </c>
      <c r="B1896" s="7">
        <v>46098.137708333335</v>
      </c>
      <c r="C1896" s="7">
        <v>46098.142627314817</v>
      </c>
      <c r="D1896" s="8">
        <v>46098</v>
      </c>
      <c r="E1896" s="9">
        <v>0.14262731481721858</v>
      </c>
      <c r="F1896" s="10" t="s">
        <v>2146</v>
      </c>
      <c r="G1896" s="10" t="s">
        <v>21</v>
      </c>
      <c r="H1896" s="10" t="s">
        <v>435</v>
      </c>
      <c r="I1896" s="10" t="s">
        <v>23</v>
      </c>
      <c r="J1896" s="11">
        <v>1.1299999999999999</v>
      </c>
      <c r="K1896" s="12"/>
      <c r="L1896" s="12"/>
      <c r="M1896" s="12"/>
      <c r="N1896" s="12"/>
      <c r="O1896" s="12"/>
      <c r="P1896" s="12"/>
      <c r="Q1896" s="12"/>
      <c r="R1896" s="12"/>
      <c r="S1896" s="12"/>
    </row>
    <row r="1897" spans="1:19" ht="14.25" customHeight="1" x14ac:dyDescent="0.2">
      <c r="A1897" s="1" t="s">
        <v>95</v>
      </c>
      <c r="B1897" s="7">
        <v>46098.138796296298</v>
      </c>
      <c r="C1897" s="7">
        <v>46098.152800925927</v>
      </c>
      <c r="D1897" s="8">
        <v>46098</v>
      </c>
      <c r="E1897" s="9">
        <v>0.15280092592729488</v>
      </c>
      <c r="F1897" s="10" t="s">
        <v>2147</v>
      </c>
      <c r="G1897" s="10" t="s">
        <v>21</v>
      </c>
      <c r="H1897" s="10" t="s">
        <v>97</v>
      </c>
      <c r="I1897" s="10" t="s">
        <v>23</v>
      </c>
      <c r="J1897" s="11">
        <v>1.77</v>
      </c>
      <c r="K1897" s="12"/>
      <c r="L1897" s="12"/>
      <c r="M1897" s="12"/>
      <c r="N1897" s="12"/>
      <c r="O1897" s="12"/>
      <c r="P1897" s="12"/>
      <c r="Q1897" s="12"/>
      <c r="R1897" s="12"/>
      <c r="S1897" s="12"/>
    </row>
    <row r="1898" spans="1:19" ht="14.25" customHeight="1" x14ac:dyDescent="0.2">
      <c r="A1898" s="1" t="s">
        <v>24</v>
      </c>
      <c r="B1898" s="7">
        <v>46098.157719907409</v>
      </c>
      <c r="C1898" s="7">
        <v>46098.179143518515</v>
      </c>
      <c r="D1898" s="8">
        <v>46098</v>
      </c>
      <c r="E1898" s="9">
        <v>0.17914351851504762</v>
      </c>
      <c r="F1898" s="10" t="s">
        <v>2148</v>
      </c>
      <c r="G1898" s="10" t="s">
        <v>21</v>
      </c>
      <c r="H1898" s="10" t="s">
        <v>41</v>
      </c>
      <c r="I1898" s="10" t="s">
        <v>23</v>
      </c>
      <c r="J1898" s="11">
        <v>1.77</v>
      </c>
      <c r="K1898" s="12"/>
      <c r="L1898" s="12">
        <f>SUM(J1898:J1906)</f>
        <v>11.17</v>
      </c>
      <c r="M1898" s="13">
        <f>L1898*65</f>
        <v>726.05</v>
      </c>
      <c r="N1898" s="14">
        <f>MAX(500,M1898)</f>
        <v>726.05</v>
      </c>
      <c r="O1898" s="12"/>
      <c r="P1898" s="12"/>
      <c r="Q1898" s="12"/>
      <c r="R1898" s="12"/>
      <c r="S1898" s="12"/>
    </row>
    <row r="1899" spans="1:19" ht="14.25" customHeight="1" x14ac:dyDescent="0.2">
      <c r="A1899" s="1" t="s">
        <v>24</v>
      </c>
      <c r="B1899" s="7">
        <v>46098.169895833336</v>
      </c>
      <c r="C1899" s="7">
        <v>46098.185219907406</v>
      </c>
      <c r="D1899" s="8">
        <v>46098</v>
      </c>
      <c r="E1899" s="9">
        <v>0.18521990740555339</v>
      </c>
      <c r="F1899" s="10" t="s">
        <v>2149</v>
      </c>
      <c r="G1899" s="10" t="s">
        <v>21</v>
      </c>
      <c r="H1899" s="10" t="s">
        <v>22</v>
      </c>
      <c r="I1899" s="10" t="s">
        <v>23</v>
      </c>
      <c r="J1899" s="11">
        <v>0.83</v>
      </c>
      <c r="K1899" s="12"/>
      <c r="L1899" s="12"/>
      <c r="M1899" s="12"/>
      <c r="N1899" s="12"/>
      <c r="O1899" s="12"/>
      <c r="P1899" s="12"/>
      <c r="Q1899" s="12"/>
      <c r="R1899" s="12"/>
      <c r="S1899" s="12"/>
    </row>
    <row r="1900" spans="1:19" ht="14.25" customHeight="1" x14ac:dyDescent="0.2">
      <c r="A1900" s="1" t="s">
        <v>33</v>
      </c>
      <c r="B1900" s="7">
        <v>46098.176053240742</v>
      </c>
      <c r="C1900" s="7">
        <v>46098.190243055556</v>
      </c>
      <c r="D1900" s="8">
        <v>46098</v>
      </c>
      <c r="E1900" s="9">
        <v>0.19024305555649335</v>
      </c>
      <c r="F1900" s="10" t="s">
        <v>2150</v>
      </c>
      <c r="G1900" s="10" t="s">
        <v>21</v>
      </c>
      <c r="H1900" s="10" t="s">
        <v>22</v>
      </c>
      <c r="I1900" s="10" t="s">
        <v>23</v>
      </c>
      <c r="J1900" s="11">
        <v>0.83</v>
      </c>
      <c r="K1900" s="12"/>
      <c r="L1900" s="12"/>
      <c r="M1900" s="12"/>
      <c r="N1900" s="12"/>
      <c r="O1900" s="12"/>
      <c r="P1900" s="12"/>
      <c r="Q1900" s="12"/>
      <c r="R1900" s="12"/>
      <c r="S1900" s="12"/>
    </row>
    <row r="1901" spans="1:19" ht="14.25" customHeight="1" x14ac:dyDescent="0.2">
      <c r="A1901" s="1" t="s">
        <v>33</v>
      </c>
      <c r="B1901" s="7">
        <v>46098.176053240742</v>
      </c>
      <c r="C1901" s="7">
        <v>46098.190601851849</v>
      </c>
      <c r="D1901" s="8">
        <v>46098</v>
      </c>
      <c r="E1901" s="9">
        <v>0.19060185184935108</v>
      </c>
      <c r="F1901" s="10" t="s">
        <v>2151</v>
      </c>
      <c r="G1901" s="10" t="s">
        <v>21</v>
      </c>
      <c r="H1901" s="10" t="s">
        <v>142</v>
      </c>
      <c r="I1901" s="10" t="s">
        <v>23</v>
      </c>
      <c r="J1901" s="11">
        <v>0.83</v>
      </c>
      <c r="K1901" s="12"/>
      <c r="L1901" s="12"/>
      <c r="M1901" s="12"/>
      <c r="N1901" s="12"/>
      <c r="O1901" s="12"/>
      <c r="P1901" s="12"/>
      <c r="Q1901" s="12"/>
      <c r="R1901" s="12"/>
      <c r="S1901" s="12"/>
    </row>
    <row r="1902" spans="1:19" ht="14.25" customHeight="1" x14ac:dyDescent="0.2">
      <c r="A1902" s="1" t="s">
        <v>19</v>
      </c>
      <c r="B1902" s="7">
        <v>46098.070115740738</v>
      </c>
      <c r="C1902" s="7">
        <v>46098.191099537034</v>
      </c>
      <c r="D1902" s="8">
        <v>46098</v>
      </c>
      <c r="E1902" s="9">
        <v>0.19109953703446081</v>
      </c>
      <c r="F1902" s="10" t="s">
        <v>2152</v>
      </c>
      <c r="G1902" s="10" t="s">
        <v>21</v>
      </c>
      <c r="H1902" s="10" t="s">
        <v>61</v>
      </c>
      <c r="I1902" s="10" t="s">
        <v>23</v>
      </c>
      <c r="J1902" s="11">
        <v>2.5</v>
      </c>
      <c r="K1902" s="12"/>
      <c r="L1902" s="12"/>
      <c r="M1902" s="12"/>
      <c r="N1902" s="12"/>
      <c r="O1902" s="12"/>
      <c r="P1902" s="12"/>
      <c r="Q1902" s="12"/>
      <c r="R1902" s="12"/>
      <c r="S1902" s="12"/>
    </row>
    <row r="1903" spans="1:19" ht="14.25" customHeight="1" x14ac:dyDescent="0.2">
      <c r="A1903" s="1" t="s">
        <v>19</v>
      </c>
      <c r="B1903" s="7">
        <v>46098.174571759257</v>
      </c>
      <c r="C1903" s="7">
        <v>46098.191840277781</v>
      </c>
      <c r="D1903" s="8">
        <v>46098</v>
      </c>
      <c r="E1903" s="9">
        <v>0.19184027778101154</v>
      </c>
      <c r="F1903" s="10" t="s">
        <v>2153</v>
      </c>
      <c r="G1903" s="10" t="s">
        <v>21</v>
      </c>
      <c r="H1903" s="10" t="s">
        <v>464</v>
      </c>
      <c r="I1903" s="10" t="s">
        <v>23</v>
      </c>
      <c r="J1903" s="11">
        <v>0.98</v>
      </c>
      <c r="K1903" s="12"/>
      <c r="L1903" s="12"/>
      <c r="M1903" s="12"/>
      <c r="N1903" s="12"/>
      <c r="O1903" s="12"/>
      <c r="P1903" s="12"/>
      <c r="Q1903" s="12"/>
      <c r="R1903" s="12"/>
      <c r="S1903" s="12"/>
    </row>
    <row r="1904" spans="1:19" ht="14.25" customHeight="1" x14ac:dyDescent="0.2">
      <c r="A1904" s="1" t="s">
        <v>95</v>
      </c>
      <c r="B1904" s="7">
        <v>46098.187974537039</v>
      </c>
      <c r="C1904" s="7">
        <v>46098.195543981485</v>
      </c>
      <c r="D1904" s="8">
        <v>46098</v>
      </c>
      <c r="E1904" s="9">
        <v>0.19554398148466134</v>
      </c>
      <c r="F1904" s="10" t="s">
        <v>2154</v>
      </c>
      <c r="G1904" s="10" t="s">
        <v>21</v>
      </c>
      <c r="H1904" s="10" t="s">
        <v>110</v>
      </c>
      <c r="I1904" s="10" t="s">
        <v>23</v>
      </c>
      <c r="J1904" s="11">
        <v>0.83</v>
      </c>
      <c r="K1904" s="12"/>
      <c r="L1904" s="12"/>
      <c r="M1904" s="12"/>
      <c r="N1904" s="12"/>
      <c r="O1904" s="12"/>
      <c r="P1904" s="12"/>
      <c r="Q1904" s="12"/>
      <c r="R1904" s="12"/>
      <c r="S1904" s="12"/>
    </row>
    <row r="1905" spans="1:19" ht="14.25" customHeight="1" x14ac:dyDescent="0.2">
      <c r="A1905" s="1" t="s">
        <v>95</v>
      </c>
      <c r="B1905" s="7">
        <v>46098.189120370371</v>
      </c>
      <c r="C1905" s="7">
        <v>46098.195879629631</v>
      </c>
      <c r="D1905" s="8">
        <v>46098</v>
      </c>
      <c r="E1905" s="9">
        <v>0.19587962963123573</v>
      </c>
      <c r="F1905" s="10" t="s">
        <v>2155</v>
      </c>
      <c r="G1905" s="10" t="s">
        <v>21</v>
      </c>
      <c r="H1905" s="10" t="s">
        <v>1610</v>
      </c>
      <c r="I1905" s="10" t="s">
        <v>23</v>
      </c>
      <c r="J1905" s="11">
        <v>0.83</v>
      </c>
      <c r="K1905" s="12"/>
      <c r="L1905" s="12"/>
      <c r="M1905" s="12"/>
      <c r="N1905" s="12"/>
      <c r="O1905" s="12"/>
      <c r="P1905" s="12"/>
      <c r="Q1905" s="12"/>
      <c r="R1905" s="12"/>
      <c r="S1905" s="12"/>
    </row>
    <row r="1906" spans="1:19" ht="14.25" customHeight="1" x14ac:dyDescent="0.2">
      <c r="A1906" s="1" t="s">
        <v>95</v>
      </c>
      <c r="B1906" s="7">
        <v>46098.183807870373</v>
      </c>
      <c r="C1906" s="7">
        <v>46098.204293981478</v>
      </c>
      <c r="D1906" s="8">
        <v>46098</v>
      </c>
      <c r="E1906" s="9">
        <v>0.2042939814782585</v>
      </c>
      <c r="F1906" s="10" t="s">
        <v>2156</v>
      </c>
      <c r="G1906" s="10" t="s">
        <v>21</v>
      </c>
      <c r="H1906" s="10" t="s">
        <v>97</v>
      </c>
      <c r="I1906" s="10" t="s">
        <v>23</v>
      </c>
      <c r="J1906" s="11">
        <v>1.77</v>
      </c>
      <c r="K1906" s="12"/>
      <c r="L1906" s="12"/>
      <c r="M1906" s="12"/>
      <c r="N1906" s="12"/>
      <c r="O1906" s="12"/>
      <c r="P1906" s="12"/>
      <c r="Q1906" s="12"/>
      <c r="R1906" s="12"/>
      <c r="S1906" s="12"/>
    </row>
    <row r="1907" spans="1:19" ht="14.25" customHeight="1" x14ac:dyDescent="0.2">
      <c r="A1907" s="1" t="s">
        <v>19</v>
      </c>
      <c r="B1907" s="7">
        <v>46098.201192129629</v>
      </c>
      <c r="C1907" s="7">
        <v>46098.215775462966</v>
      </c>
      <c r="D1907" s="8">
        <v>46098</v>
      </c>
      <c r="E1907" s="9">
        <v>0.21577546296612127</v>
      </c>
      <c r="F1907" s="10" t="s">
        <v>2157</v>
      </c>
      <c r="G1907" s="10" t="s">
        <v>21</v>
      </c>
      <c r="H1907" s="10" t="s">
        <v>101</v>
      </c>
      <c r="I1907" s="10" t="s">
        <v>23</v>
      </c>
      <c r="J1907" s="11">
        <v>1.7</v>
      </c>
      <c r="K1907" s="12"/>
      <c r="L1907" s="12">
        <f>SUM(J1907:J1917)</f>
        <v>15.08</v>
      </c>
      <c r="M1907" s="13">
        <f>L1907*65</f>
        <v>980.2</v>
      </c>
      <c r="N1907" s="14">
        <f>MAX(500,M1907)</f>
        <v>980.2</v>
      </c>
      <c r="O1907" s="12"/>
      <c r="P1907" s="12"/>
      <c r="Q1907" s="12"/>
      <c r="R1907" s="12"/>
      <c r="S1907" s="12"/>
    </row>
    <row r="1908" spans="1:19" ht="14.25" customHeight="1" x14ac:dyDescent="0.2">
      <c r="A1908" s="1" t="s">
        <v>95</v>
      </c>
      <c r="B1908" s="7">
        <v>46098.194074074076</v>
      </c>
      <c r="C1908" s="7">
        <v>46098.216400462959</v>
      </c>
      <c r="D1908" s="8">
        <v>46098</v>
      </c>
      <c r="E1908" s="9">
        <v>0.21640046295942739</v>
      </c>
      <c r="F1908" s="10" t="s">
        <v>2158</v>
      </c>
      <c r="G1908" s="10" t="s">
        <v>21</v>
      </c>
      <c r="H1908" s="10" t="s">
        <v>108</v>
      </c>
      <c r="I1908" s="10" t="s">
        <v>23</v>
      </c>
      <c r="J1908" s="11">
        <v>1.7</v>
      </c>
      <c r="K1908" s="12"/>
      <c r="L1908" s="12"/>
      <c r="M1908" s="12"/>
      <c r="N1908" s="12"/>
      <c r="O1908" s="12"/>
      <c r="P1908" s="12"/>
      <c r="Q1908" s="12"/>
      <c r="R1908" s="12"/>
      <c r="S1908" s="12"/>
    </row>
    <row r="1909" spans="1:19" ht="14.25" customHeight="1" x14ac:dyDescent="0.2">
      <c r="A1909" s="1" t="s">
        <v>95</v>
      </c>
      <c r="B1909" s="7">
        <v>46098.206365740742</v>
      </c>
      <c r="C1909" s="7">
        <v>46098.219328703701</v>
      </c>
      <c r="D1909" s="8">
        <v>46098</v>
      </c>
      <c r="E1909" s="9">
        <v>0.21932870370073942</v>
      </c>
      <c r="F1909" s="10" t="s">
        <v>2159</v>
      </c>
      <c r="G1909" s="10" t="s">
        <v>21</v>
      </c>
      <c r="H1909" s="10" t="s">
        <v>97</v>
      </c>
      <c r="I1909" s="10" t="s">
        <v>23</v>
      </c>
      <c r="J1909" s="11">
        <v>1.77</v>
      </c>
      <c r="K1909" s="12"/>
      <c r="L1909" s="12"/>
      <c r="M1909" s="12"/>
      <c r="N1909" s="12"/>
      <c r="O1909" s="12"/>
      <c r="P1909" s="12"/>
      <c r="Q1909" s="12"/>
      <c r="R1909" s="12"/>
      <c r="S1909" s="12"/>
    </row>
    <row r="1910" spans="1:19" ht="14.25" customHeight="1" x14ac:dyDescent="0.2">
      <c r="A1910" s="1" t="s">
        <v>95</v>
      </c>
      <c r="B1910" s="7">
        <v>46098.195914351854</v>
      </c>
      <c r="C1910" s="7">
        <v>46098.228032407409</v>
      </c>
      <c r="D1910" s="8">
        <v>46098</v>
      </c>
      <c r="E1910" s="9">
        <v>0.22803240740904585</v>
      </c>
      <c r="F1910" s="10" t="s">
        <v>2160</v>
      </c>
      <c r="G1910" s="10" t="s">
        <v>21</v>
      </c>
      <c r="H1910" s="10" t="s">
        <v>97</v>
      </c>
      <c r="I1910" s="10" t="s">
        <v>23</v>
      </c>
      <c r="J1910" s="11">
        <v>1.77</v>
      </c>
      <c r="K1910" s="12"/>
      <c r="L1910" s="12"/>
      <c r="M1910" s="12"/>
      <c r="N1910" s="12"/>
      <c r="O1910" s="12"/>
      <c r="P1910" s="12"/>
      <c r="Q1910" s="12"/>
      <c r="R1910" s="12"/>
      <c r="S1910" s="12"/>
    </row>
    <row r="1911" spans="1:19" ht="14.25" customHeight="1" x14ac:dyDescent="0.2">
      <c r="A1911" s="1" t="s">
        <v>95</v>
      </c>
      <c r="B1911" s="7">
        <v>46098.195914351854</v>
      </c>
      <c r="C1911" s="7">
        <v>46098.228032407409</v>
      </c>
      <c r="D1911" s="8">
        <v>46098</v>
      </c>
      <c r="E1911" s="9">
        <v>0.22803240740904585</v>
      </c>
      <c r="F1911" s="10" t="s">
        <v>2161</v>
      </c>
      <c r="G1911" s="10" t="s">
        <v>21</v>
      </c>
      <c r="H1911" s="10" t="s">
        <v>435</v>
      </c>
      <c r="I1911" s="10" t="s">
        <v>23</v>
      </c>
      <c r="J1911" s="11">
        <v>1.1299999999999999</v>
      </c>
      <c r="K1911" s="12"/>
      <c r="L1911" s="12"/>
      <c r="M1911" s="12"/>
      <c r="N1911" s="12"/>
      <c r="O1911" s="12"/>
      <c r="P1911" s="12"/>
      <c r="Q1911" s="12"/>
      <c r="R1911" s="12"/>
      <c r="S1911" s="12"/>
    </row>
    <row r="1912" spans="1:19" ht="14.25" customHeight="1" x14ac:dyDescent="0.2">
      <c r="A1912" s="1" t="s">
        <v>57</v>
      </c>
      <c r="B1912" s="7">
        <v>46098.218854166669</v>
      </c>
      <c r="C1912" s="7">
        <v>46098.234664351854</v>
      </c>
      <c r="D1912" s="8">
        <v>46098</v>
      </c>
      <c r="E1912" s="9">
        <v>0.23466435185400769</v>
      </c>
      <c r="F1912" s="10" t="s">
        <v>2162</v>
      </c>
      <c r="G1912" s="10" t="s">
        <v>21</v>
      </c>
      <c r="H1912" s="10" t="s">
        <v>59</v>
      </c>
      <c r="I1912" s="10" t="s">
        <v>23</v>
      </c>
      <c r="J1912" s="11">
        <v>0.83</v>
      </c>
      <c r="K1912" s="12"/>
      <c r="L1912" s="12"/>
      <c r="M1912" s="12"/>
      <c r="N1912" s="12"/>
      <c r="O1912" s="12"/>
      <c r="P1912" s="12"/>
      <c r="Q1912" s="12"/>
      <c r="R1912" s="12"/>
      <c r="S1912" s="12"/>
    </row>
    <row r="1913" spans="1:19" ht="14.25" customHeight="1" x14ac:dyDescent="0.2">
      <c r="A1913" s="1" t="s">
        <v>57</v>
      </c>
      <c r="B1913" s="7">
        <v>46098.225138888891</v>
      </c>
      <c r="C1913" s="7">
        <v>46098.237442129626</v>
      </c>
      <c r="D1913" s="8">
        <v>46098</v>
      </c>
      <c r="E1913" s="9">
        <v>0.23744212962628808</v>
      </c>
      <c r="F1913" s="10" t="s">
        <v>2163</v>
      </c>
      <c r="G1913" s="10" t="s">
        <v>21</v>
      </c>
      <c r="H1913" s="10" t="s">
        <v>710</v>
      </c>
      <c r="I1913" s="10" t="s">
        <v>23</v>
      </c>
      <c r="J1913" s="11">
        <v>0.98</v>
      </c>
      <c r="K1913" s="12"/>
      <c r="L1913" s="12"/>
      <c r="M1913" s="12"/>
      <c r="N1913" s="12"/>
      <c r="O1913" s="12"/>
      <c r="P1913" s="12"/>
      <c r="Q1913" s="12"/>
      <c r="R1913" s="12"/>
      <c r="S1913" s="12"/>
    </row>
    <row r="1914" spans="1:19" ht="14.25" customHeight="1" x14ac:dyDescent="0.2">
      <c r="A1914" s="1" t="s">
        <v>57</v>
      </c>
      <c r="B1914" s="7">
        <v>46098.221666666665</v>
      </c>
      <c r="C1914" s="7">
        <v>46098.237754629627</v>
      </c>
      <c r="D1914" s="8">
        <v>46098</v>
      </c>
      <c r="E1914" s="9">
        <v>0.23775462962657912</v>
      </c>
      <c r="F1914" s="10" t="s">
        <v>2164</v>
      </c>
      <c r="G1914" s="10" t="s">
        <v>21</v>
      </c>
      <c r="H1914" s="10" t="s">
        <v>2165</v>
      </c>
      <c r="I1914" s="10" t="s">
        <v>23</v>
      </c>
      <c r="J1914" s="11">
        <v>0.83</v>
      </c>
      <c r="K1914" s="12"/>
      <c r="L1914" s="12"/>
      <c r="M1914" s="12"/>
      <c r="N1914" s="12"/>
      <c r="O1914" s="12"/>
      <c r="P1914" s="12"/>
      <c r="Q1914" s="12"/>
      <c r="R1914" s="12"/>
      <c r="S1914" s="12"/>
    </row>
    <row r="1915" spans="1:19" ht="14.25" customHeight="1" x14ac:dyDescent="0.2">
      <c r="A1915" s="1" t="s">
        <v>95</v>
      </c>
      <c r="B1915" s="7">
        <v>46098.231168981481</v>
      </c>
      <c r="C1915" s="7">
        <v>46098.240497685183</v>
      </c>
      <c r="D1915" s="8">
        <v>46098</v>
      </c>
      <c r="E1915" s="9">
        <v>0.24049768518307246</v>
      </c>
      <c r="F1915" s="10" t="s">
        <v>2166</v>
      </c>
      <c r="G1915" s="10" t="s">
        <v>21</v>
      </c>
      <c r="H1915" s="10" t="s">
        <v>110</v>
      </c>
      <c r="I1915" s="10" t="s">
        <v>23</v>
      </c>
      <c r="J1915" s="11">
        <v>0.83</v>
      </c>
      <c r="K1915" s="12"/>
      <c r="L1915" s="12"/>
      <c r="M1915" s="12"/>
      <c r="N1915" s="12"/>
      <c r="O1915" s="12"/>
      <c r="P1915" s="12"/>
      <c r="Q1915" s="12"/>
      <c r="R1915" s="12"/>
      <c r="S1915" s="12"/>
    </row>
    <row r="1916" spans="1:19" ht="14.25" customHeight="1" x14ac:dyDescent="0.2">
      <c r="A1916" s="1" t="s">
        <v>95</v>
      </c>
      <c r="B1916" s="7">
        <v>46098.24077546296</v>
      </c>
      <c r="C1916" s="7">
        <v>46098.249745370369</v>
      </c>
      <c r="D1916" s="8">
        <v>46098</v>
      </c>
      <c r="E1916" s="9">
        <v>0.24974537036905531</v>
      </c>
      <c r="F1916" s="10" t="s">
        <v>2167</v>
      </c>
      <c r="G1916" s="10" t="s">
        <v>21</v>
      </c>
      <c r="H1916" s="10" t="s">
        <v>97</v>
      </c>
      <c r="I1916" s="10" t="s">
        <v>23</v>
      </c>
      <c r="J1916" s="11">
        <v>1.77</v>
      </c>
      <c r="K1916" s="12"/>
      <c r="L1916" s="12"/>
      <c r="M1916" s="12"/>
      <c r="N1916" s="12"/>
      <c r="O1916" s="12"/>
      <c r="P1916" s="12"/>
      <c r="Q1916" s="12"/>
      <c r="R1916" s="12"/>
      <c r="S1916" s="12"/>
    </row>
    <row r="1917" spans="1:19" ht="14.25" customHeight="1" x14ac:dyDescent="0.2">
      <c r="A1917" s="1" t="s">
        <v>28</v>
      </c>
      <c r="B1917" s="7">
        <v>46098.240231481483</v>
      </c>
      <c r="C1917" s="7">
        <v>46098.250104166669</v>
      </c>
      <c r="D1917" s="8">
        <v>46098</v>
      </c>
      <c r="E1917" s="9">
        <v>0.250104166669189</v>
      </c>
      <c r="F1917" s="10" t="s">
        <v>2168</v>
      </c>
      <c r="G1917" s="10" t="s">
        <v>21</v>
      </c>
      <c r="H1917" s="10" t="s">
        <v>41</v>
      </c>
      <c r="I1917" s="10" t="s">
        <v>23</v>
      </c>
      <c r="J1917" s="11">
        <v>1.77</v>
      </c>
      <c r="K1917" s="12"/>
      <c r="L1917" s="12"/>
      <c r="M1917" s="12"/>
      <c r="N1917" s="12"/>
      <c r="O1917" s="12"/>
      <c r="P1917" s="12"/>
      <c r="Q1917" s="12"/>
      <c r="R1917" s="12"/>
      <c r="S1917" s="12"/>
    </row>
    <row r="1918" spans="1:19" ht="14.25" customHeight="1" x14ac:dyDescent="0.2">
      <c r="A1918" s="1" t="s">
        <v>42</v>
      </c>
      <c r="B1918" s="7">
        <v>46098.854803240742</v>
      </c>
      <c r="C1918" s="7">
        <v>46098.87976851852</v>
      </c>
      <c r="D1918" s="8">
        <v>46098</v>
      </c>
      <c r="E1918" s="9">
        <v>0.87976851851999527</v>
      </c>
      <c r="F1918" s="10" t="s">
        <v>2169</v>
      </c>
      <c r="G1918" s="10" t="s">
        <v>26</v>
      </c>
      <c r="H1918" s="10" t="s">
        <v>56</v>
      </c>
      <c r="I1918" s="10" t="s">
        <v>23</v>
      </c>
      <c r="J1918" s="11">
        <v>0.73</v>
      </c>
      <c r="K1918" s="11">
        <f>SUM(J1918,J1919,J1921,J1923:J1924,J1926,J1928:J1931,J1933,J1934,J1936:J1938,J1940:J1944,J1946:J1949,J1951,J1952,J1955,J1956,J1961:J1965,J1967:J1969,J1971,J1972,J1975:J1981,J1983:J1985,J1987:J1989,J1991,J1992,J1994:J1996,J1998:J2000,J2002,J2004)</f>
        <v>71.47</v>
      </c>
      <c r="L1918" s="12">
        <f>SUM(J1918:J1930)</f>
        <v>15.569999999999999</v>
      </c>
      <c r="M1918" s="13">
        <f>L1918*65</f>
        <v>1012.05</v>
      </c>
      <c r="N1918" s="14">
        <f>MAX(500,M1918)</f>
        <v>1012.05</v>
      </c>
      <c r="O1918" s="12"/>
      <c r="P1918" s="12"/>
      <c r="Q1918" s="12"/>
      <c r="R1918" s="12"/>
      <c r="S1918" s="12"/>
    </row>
    <row r="1919" spans="1:19" ht="14.25" customHeight="1" x14ac:dyDescent="0.2">
      <c r="A1919" s="1" t="s">
        <v>42</v>
      </c>
      <c r="B1919" s="7">
        <v>46098.854074074072</v>
      </c>
      <c r="C1919" s="7">
        <v>46098.880636574075</v>
      </c>
      <c r="D1919" s="8">
        <v>46098</v>
      </c>
      <c r="E1919" s="9">
        <v>0.88063657407474238</v>
      </c>
      <c r="F1919" s="10" t="s">
        <v>2170</v>
      </c>
      <c r="G1919" s="10" t="s">
        <v>21</v>
      </c>
      <c r="H1919" s="10" t="s">
        <v>97</v>
      </c>
      <c r="I1919" s="10" t="s">
        <v>23</v>
      </c>
      <c r="J1919" s="11">
        <v>1.77</v>
      </c>
      <c r="K1919" s="12">
        <f>SUM(J1920,J1922,J1925,J1927,J1932,J1935,J1939,J1945,J1950,J1953,J1954,J1957:J1960,J1966,J1970,J1973,J1974,J1982,J1986,J1990,J1993,J1997,J2001,J2003)</f>
        <v>26.909999999999997</v>
      </c>
      <c r="L1919" s="12"/>
      <c r="M1919" s="12"/>
      <c r="N1919" s="12"/>
      <c r="O1919" s="12"/>
      <c r="P1919" s="12"/>
      <c r="Q1919" s="12"/>
      <c r="R1919" s="12"/>
      <c r="S1919" s="12"/>
    </row>
    <row r="1920" spans="1:19" ht="14.25" customHeight="1" x14ac:dyDescent="0.2">
      <c r="A1920" s="1" t="s">
        <v>42</v>
      </c>
      <c r="B1920" s="19">
        <v>46098.825740740744</v>
      </c>
      <c r="C1920" s="19">
        <v>46098.885069444441</v>
      </c>
      <c r="D1920" s="20">
        <v>46098</v>
      </c>
      <c r="E1920" s="21">
        <v>0.88506944444088731</v>
      </c>
      <c r="F1920" s="1" t="s">
        <v>2171</v>
      </c>
      <c r="G1920" s="1" t="s">
        <v>26</v>
      </c>
      <c r="H1920" s="1" t="s">
        <v>56</v>
      </c>
      <c r="I1920" s="1" t="s">
        <v>166</v>
      </c>
      <c r="J1920" s="12">
        <v>0.73</v>
      </c>
      <c r="K1920" s="12"/>
      <c r="L1920" s="12"/>
      <c r="M1920" s="12"/>
      <c r="N1920" s="12"/>
      <c r="O1920" s="12"/>
      <c r="P1920" s="12"/>
      <c r="Q1920" s="12"/>
      <c r="R1920" s="12"/>
      <c r="S1920" s="12"/>
    </row>
    <row r="1921" spans="1:19" ht="14.25" customHeight="1" x14ac:dyDescent="0.2">
      <c r="A1921" s="1" t="s">
        <v>24</v>
      </c>
      <c r="B1921" s="7">
        <v>46098.870659722219</v>
      </c>
      <c r="C1921" s="7">
        <v>46098.885162037041</v>
      </c>
      <c r="D1921" s="8">
        <v>46098</v>
      </c>
      <c r="E1921" s="9">
        <v>0.88516203704057261</v>
      </c>
      <c r="F1921" s="10" t="s">
        <v>2172</v>
      </c>
      <c r="G1921" s="10" t="s">
        <v>21</v>
      </c>
      <c r="H1921" s="10" t="s">
        <v>41</v>
      </c>
      <c r="I1921" s="10" t="s">
        <v>23</v>
      </c>
      <c r="J1921" s="11">
        <v>1.77</v>
      </c>
      <c r="K1921" s="12"/>
      <c r="L1921" s="12"/>
      <c r="M1921" s="12"/>
      <c r="N1921" s="12"/>
      <c r="O1921" s="12"/>
      <c r="P1921" s="12"/>
      <c r="Q1921" s="12"/>
      <c r="R1921" s="12"/>
      <c r="S1921" s="12"/>
    </row>
    <row r="1922" spans="1:19" ht="14.25" customHeight="1" x14ac:dyDescent="0.2">
      <c r="A1922" s="1" t="s">
        <v>19</v>
      </c>
      <c r="B1922" s="19">
        <v>46098.831678240742</v>
      </c>
      <c r="C1922" s="19">
        <v>46098.888495370367</v>
      </c>
      <c r="D1922" s="20">
        <v>46098</v>
      </c>
      <c r="E1922" s="21">
        <v>0.88849537036730908</v>
      </c>
      <c r="F1922" s="1" t="s">
        <v>2173</v>
      </c>
      <c r="G1922" s="1" t="s">
        <v>180</v>
      </c>
      <c r="H1922" s="1" t="s">
        <v>504</v>
      </c>
      <c r="I1922" s="1" t="s">
        <v>166</v>
      </c>
      <c r="J1922" s="12">
        <v>1.44</v>
      </c>
      <c r="K1922" s="12"/>
      <c r="L1922" s="12"/>
      <c r="M1922" s="12"/>
      <c r="N1922" s="12"/>
      <c r="O1922" s="12"/>
      <c r="P1922" s="12"/>
      <c r="Q1922" s="12"/>
      <c r="R1922" s="12"/>
      <c r="S1922" s="12"/>
    </row>
    <row r="1923" spans="1:19" ht="14.25" customHeight="1" x14ac:dyDescent="0.2">
      <c r="A1923" s="1" t="s">
        <v>24</v>
      </c>
      <c r="B1923" s="7">
        <v>46098.850902777776</v>
      </c>
      <c r="C1923" s="7">
        <v>46098.89234953704</v>
      </c>
      <c r="D1923" s="8">
        <v>46098</v>
      </c>
      <c r="E1923" s="9">
        <v>0.89234953703999054</v>
      </c>
      <c r="F1923" s="10" t="s">
        <v>2174</v>
      </c>
      <c r="G1923" s="10" t="s">
        <v>26</v>
      </c>
      <c r="H1923" s="10" t="s">
        <v>315</v>
      </c>
      <c r="I1923" s="10" t="s">
        <v>23</v>
      </c>
      <c r="J1923" s="11">
        <v>0.88</v>
      </c>
      <c r="K1923" s="12"/>
      <c r="L1923" s="12"/>
      <c r="M1923" s="12"/>
      <c r="N1923" s="12"/>
      <c r="O1923" s="12"/>
      <c r="P1923" s="12"/>
      <c r="Q1923" s="12"/>
      <c r="R1923" s="12"/>
      <c r="S1923" s="12"/>
    </row>
    <row r="1924" spans="1:19" ht="14.25" customHeight="1" x14ac:dyDescent="0.2">
      <c r="A1924" s="1" t="s">
        <v>28</v>
      </c>
      <c r="B1924" s="7">
        <v>46098.875543981485</v>
      </c>
      <c r="C1924" s="7">
        <v>46098.893784722219</v>
      </c>
      <c r="D1924" s="8">
        <v>46098</v>
      </c>
      <c r="E1924" s="9">
        <v>0.89378472221869742</v>
      </c>
      <c r="F1924" s="10" t="s">
        <v>2175</v>
      </c>
      <c r="G1924" s="10" t="s">
        <v>21</v>
      </c>
      <c r="H1924" s="10" t="s">
        <v>39</v>
      </c>
      <c r="I1924" s="10" t="s">
        <v>23</v>
      </c>
      <c r="J1924" s="11">
        <v>1.77</v>
      </c>
      <c r="K1924" s="12"/>
      <c r="L1924" s="12"/>
      <c r="M1924" s="12"/>
      <c r="N1924" s="12"/>
      <c r="O1924" s="12"/>
      <c r="P1924" s="12"/>
      <c r="Q1924" s="12"/>
      <c r="R1924" s="12"/>
      <c r="S1924" s="12"/>
    </row>
    <row r="1925" spans="1:19" ht="14.25" customHeight="1" x14ac:dyDescent="0.2">
      <c r="A1925" s="1" t="s">
        <v>19</v>
      </c>
      <c r="B1925" s="19">
        <v>46098.831678240742</v>
      </c>
      <c r="C1925" s="19">
        <v>46098.895509259259</v>
      </c>
      <c r="D1925" s="20">
        <v>46098</v>
      </c>
      <c r="E1925" s="21">
        <v>0.89550925925868796</v>
      </c>
      <c r="F1925" s="1" t="s">
        <v>2176</v>
      </c>
      <c r="G1925" s="1" t="s">
        <v>180</v>
      </c>
      <c r="H1925" s="1" t="s">
        <v>506</v>
      </c>
      <c r="I1925" s="1" t="s">
        <v>166</v>
      </c>
      <c r="J1925" s="12">
        <v>1.44</v>
      </c>
      <c r="K1925" s="12"/>
      <c r="L1925" s="12"/>
      <c r="M1925" s="12"/>
      <c r="N1925" s="12"/>
      <c r="O1925" s="12"/>
      <c r="P1925" s="12"/>
      <c r="Q1925" s="12"/>
      <c r="R1925" s="12"/>
      <c r="S1925" s="12"/>
    </row>
    <row r="1926" spans="1:19" ht="14.25" customHeight="1" x14ac:dyDescent="0.2">
      <c r="A1926" s="1" t="s">
        <v>57</v>
      </c>
      <c r="B1926" s="7">
        <v>46098.891192129631</v>
      </c>
      <c r="C1926" s="7">
        <v>46098.901423611111</v>
      </c>
      <c r="D1926" s="8">
        <v>46098</v>
      </c>
      <c r="E1926" s="9">
        <v>0.90142361111065838</v>
      </c>
      <c r="F1926" s="10" t="s">
        <v>2177</v>
      </c>
      <c r="G1926" s="10" t="s">
        <v>21</v>
      </c>
      <c r="H1926" s="10" t="s">
        <v>687</v>
      </c>
      <c r="I1926" s="10" t="s">
        <v>23</v>
      </c>
      <c r="J1926" s="11">
        <v>1.7</v>
      </c>
      <c r="K1926" s="12"/>
      <c r="L1926" s="12"/>
      <c r="M1926" s="12"/>
      <c r="N1926" s="12"/>
      <c r="O1926" s="12"/>
      <c r="P1926" s="12"/>
      <c r="Q1926" s="12"/>
      <c r="R1926" s="12"/>
      <c r="S1926" s="12"/>
    </row>
    <row r="1927" spans="1:19" ht="14.25" customHeight="1" x14ac:dyDescent="0.2">
      <c r="A1927" s="1" t="s">
        <v>42</v>
      </c>
      <c r="B1927" s="19">
        <v>46098.864571759259</v>
      </c>
      <c r="C1927" s="19">
        <v>46098.911030092589</v>
      </c>
      <c r="D1927" s="20">
        <v>46098</v>
      </c>
      <c r="E1927" s="21">
        <v>0.91103009258949896</v>
      </c>
      <c r="F1927" s="1" t="s">
        <v>2178</v>
      </c>
      <c r="G1927" s="1" t="s">
        <v>26</v>
      </c>
      <c r="H1927" s="1" t="s">
        <v>172</v>
      </c>
      <c r="I1927" s="1" t="s">
        <v>166</v>
      </c>
      <c r="J1927" s="12">
        <v>0.67</v>
      </c>
      <c r="K1927" s="12"/>
      <c r="L1927" s="12"/>
      <c r="M1927" s="12"/>
      <c r="N1927" s="12"/>
      <c r="O1927" s="12"/>
      <c r="P1927" s="12"/>
      <c r="Q1927" s="12"/>
      <c r="R1927" s="12"/>
      <c r="S1927" s="12"/>
    </row>
    <row r="1928" spans="1:19" ht="14.25" customHeight="1" x14ac:dyDescent="0.2">
      <c r="A1928" s="1" t="s">
        <v>42</v>
      </c>
      <c r="B1928" s="7">
        <v>46098.861712962964</v>
      </c>
      <c r="C1928" s="7">
        <v>46098.912777777776</v>
      </c>
      <c r="D1928" s="8">
        <v>46098</v>
      </c>
      <c r="E1928" s="9">
        <v>0.91277777777577285</v>
      </c>
      <c r="F1928" s="10" t="s">
        <v>2179</v>
      </c>
      <c r="G1928" s="10" t="s">
        <v>26</v>
      </c>
      <c r="H1928" s="10" t="s">
        <v>56</v>
      </c>
      <c r="I1928" s="10" t="s">
        <v>23</v>
      </c>
      <c r="J1928" s="11">
        <v>0.73</v>
      </c>
      <c r="K1928" s="12"/>
      <c r="L1928" s="12"/>
      <c r="M1928" s="12"/>
      <c r="N1928" s="12"/>
      <c r="O1928" s="12"/>
      <c r="P1928" s="12"/>
      <c r="Q1928" s="12"/>
      <c r="R1928" s="12"/>
      <c r="S1928" s="12"/>
    </row>
    <row r="1929" spans="1:19" ht="14.25" customHeight="1" x14ac:dyDescent="0.2">
      <c r="A1929" s="1" t="s">
        <v>42</v>
      </c>
      <c r="B1929" s="7">
        <v>46098.901284722226</v>
      </c>
      <c r="C1929" s="7">
        <v>46098.913136574076</v>
      </c>
      <c r="D1929" s="8">
        <v>46098</v>
      </c>
      <c r="E1929" s="9">
        <v>0.91313657407590654</v>
      </c>
      <c r="F1929" s="10" t="s">
        <v>2180</v>
      </c>
      <c r="G1929" s="10" t="s">
        <v>44</v>
      </c>
      <c r="H1929" s="10" t="s">
        <v>2181</v>
      </c>
      <c r="I1929" s="10" t="s">
        <v>23</v>
      </c>
      <c r="J1929" s="11">
        <v>0.17</v>
      </c>
      <c r="K1929" s="12"/>
      <c r="L1929" s="12"/>
      <c r="M1929" s="12"/>
      <c r="N1929" s="12"/>
      <c r="O1929" s="12"/>
      <c r="P1929" s="12"/>
      <c r="Q1929" s="12"/>
      <c r="R1929" s="12"/>
      <c r="S1929" s="12"/>
    </row>
    <row r="1930" spans="1:19" ht="14.25" customHeight="1" x14ac:dyDescent="0.2">
      <c r="A1930" s="1" t="s">
        <v>57</v>
      </c>
      <c r="B1930" s="7">
        <v>46098.906018518515</v>
      </c>
      <c r="C1930" s="7">
        <v>46098.913657407407</v>
      </c>
      <c r="D1930" s="8">
        <v>46098</v>
      </c>
      <c r="E1930" s="9">
        <v>0.91365740740729962</v>
      </c>
      <c r="F1930" s="10" t="s">
        <v>2182</v>
      </c>
      <c r="G1930" s="10" t="s">
        <v>21</v>
      </c>
      <c r="H1930" s="10" t="s">
        <v>303</v>
      </c>
      <c r="I1930" s="10" t="s">
        <v>23</v>
      </c>
      <c r="J1930" s="11">
        <v>1.77</v>
      </c>
      <c r="K1930" s="12"/>
      <c r="L1930" s="12"/>
      <c r="M1930" s="12"/>
      <c r="N1930" s="12"/>
      <c r="O1930" s="12"/>
      <c r="P1930" s="12"/>
      <c r="Q1930" s="12"/>
      <c r="R1930" s="12"/>
      <c r="S1930" s="12"/>
    </row>
    <row r="1931" spans="1:19" ht="14.25" customHeight="1" x14ac:dyDescent="0.2">
      <c r="A1931" s="1" t="s">
        <v>57</v>
      </c>
      <c r="B1931" s="7">
        <v>46098.85738425926</v>
      </c>
      <c r="C1931" s="7">
        <v>46098.917500000003</v>
      </c>
      <c r="D1931" s="8">
        <v>46098</v>
      </c>
      <c r="E1931" s="9">
        <v>0.91750000000320142</v>
      </c>
      <c r="F1931" s="10" t="s">
        <v>2183</v>
      </c>
      <c r="G1931" s="10" t="s">
        <v>26</v>
      </c>
      <c r="H1931" s="10" t="s">
        <v>2184</v>
      </c>
      <c r="I1931" s="10" t="s">
        <v>23</v>
      </c>
      <c r="J1931" s="11">
        <v>0.88</v>
      </c>
      <c r="K1931" s="12"/>
      <c r="L1931" s="12">
        <f>SUM(J1931:J1955)</f>
        <v>23.229999999999997</v>
      </c>
      <c r="M1931" s="13">
        <f>L1931*65</f>
        <v>1509.9499999999998</v>
      </c>
      <c r="N1931" s="14">
        <f>MAX(500,M1931)</f>
        <v>1509.9499999999998</v>
      </c>
      <c r="O1931" s="12"/>
      <c r="P1931" s="12"/>
      <c r="Q1931" s="12"/>
      <c r="R1931" s="12"/>
      <c r="S1931" s="12"/>
    </row>
    <row r="1932" spans="1:19" ht="14.25" customHeight="1" x14ac:dyDescent="0.2">
      <c r="A1932" s="1" t="s">
        <v>24</v>
      </c>
      <c r="B1932" s="19">
        <v>46098.894166666665</v>
      </c>
      <c r="C1932" s="19">
        <v>46098.917719907404</v>
      </c>
      <c r="D1932" s="20">
        <v>46098</v>
      </c>
      <c r="E1932" s="21">
        <v>0.91771990740380716</v>
      </c>
      <c r="F1932" s="1" t="s">
        <v>2185</v>
      </c>
      <c r="G1932" s="1" t="s">
        <v>21</v>
      </c>
      <c r="H1932" s="1" t="s">
        <v>39</v>
      </c>
      <c r="I1932" s="1" t="s">
        <v>166</v>
      </c>
      <c r="J1932" s="12">
        <v>1.77</v>
      </c>
      <c r="K1932" s="12"/>
      <c r="L1932" s="12"/>
      <c r="M1932" s="12"/>
      <c r="N1932" s="12"/>
      <c r="O1932" s="12"/>
      <c r="P1932" s="12"/>
      <c r="Q1932" s="12"/>
      <c r="R1932" s="12"/>
      <c r="S1932" s="12"/>
    </row>
    <row r="1933" spans="1:19" ht="14.25" customHeight="1" x14ac:dyDescent="0.2">
      <c r="A1933" s="1" t="s">
        <v>42</v>
      </c>
      <c r="B1933" s="7">
        <v>46098.886354166665</v>
      </c>
      <c r="C1933" s="7">
        <v>46098.919618055559</v>
      </c>
      <c r="D1933" s="8">
        <v>46098</v>
      </c>
      <c r="E1933" s="9">
        <v>0.91961805555911269</v>
      </c>
      <c r="F1933" s="10" t="s">
        <v>2186</v>
      </c>
      <c r="G1933" s="10" t="s">
        <v>26</v>
      </c>
      <c r="H1933" s="10" t="s">
        <v>172</v>
      </c>
      <c r="I1933" s="10" t="s">
        <v>23</v>
      </c>
      <c r="J1933" s="11">
        <v>0.67</v>
      </c>
      <c r="K1933" s="12"/>
      <c r="L1933" s="12"/>
      <c r="M1933" s="12"/>
      <c r="N1933" s="12"/>
      <c r="O1933" s="12"/>
      <c r="P1933" s="12"/>
      <c r="Q1933" s="12"/>
      <c r="R1933" s="12"/>
      <c r="S1933" s="12"/>
    </row>
    <row r="1934" spans="1:19" ht="14.25" customHeight="1" x14ac:dyDescent="0.2">
      <c r="A1934" s="1" t="s">
        <v>33</v>
      </c>
      <c r="B1934" s="7">
        <v>46098.882210648146</v>
      </c>
      <c r="C1934" s="7">
        <v>46098.921481481484</v>
      </c>
      <c r="D1934" s="8">
        <v>46098</v>
      </c>
      <c r="E1934" s="9">
        <v>0.92148148148407927</v>
      </c>
      <c r="F1934" s="10" t="s">
        <v>2187</v>
      </c>
      <c r="G1934" s="10" t="s">
        <v>44</v>
      </c>
      <c r="H1934" s="10" t="s">
        <v>185</v>
      </c>
      <c r="I1934" s="10" t="s">
        <v>23</v>
      </c>
      <c r="J1934" s="11">
        <v>0.18</v>
      </c>
      <c r="K1934" s="12"/>
      <c r="L1934" s="12"/>
      <c r="M1934" s="12"/>
      <c r="N1934" s="12"/>
      <c r="O1934" s="12"/>
      <c r="P1934" s="12"/>
      <c r="Q1934" s="12"/>
      <c r="R1934" s="12"/>
      <c r="S1934" s="12"/>
    </row>
    <row r="1935" spans="1:19" ht="14.25" customHeight="1" x14ac:dyDescent="0.2">
      <c r="A1935" s="1" t="s">
        <v>42</v>
      </c>
      <c r="B1935" s="19">
        <v>46098.904652777775</v>
      </c>
      <c r="C1935" s="19">
        <v>46098.927800925929</v>
      </c>
      <c r="D1935" s="20">
        <v>46098</v>
      </c>
      <c r="E1935" s="21">
        <v>0.92780092592875008</v>
      </c>
      <c r="F1935" s="1" t="s">
        <v>2188</v>
      </c>
      <c r="G1935" s="1" t="s">
        <v>44</v>
      </c>
      <c r="H1935" s="1" t="s">
        <v>48</v>
      </c>
      <c r="I1935" s="1" t="s">
        <v>166</v>
      </c>
      <c r="J1935" s="12">
        <v>0.21</v>
      </c>
      <c r="K1935" s="12"/>
      <c r="L1935" s="12"/>
      <c r="M1935" s="12"/>
      <c r="N1935" s="12"/>
      <c r="O1935" s="12"/>
      <c r="P1935" s="12"/>
      <c r="Q1935" s="12"/>
      <c r="R1935" s="12"/>
      <c r="S1935" s="12"/>
    </row>
    <row r="1936" spans="1:19" ht="14.25" customHeight="1" x14ac:dyDescent="0.2">
      <c r="A1936" s="1" t="s">
        <v>46</v>
      </c>
      <c r="B1936" s="7">
        <v>46098.908437500002</v>
      </c>
      <c r="C1936" s="7">
        <v>46098.92796296296</v>
      </c>
      <c r="D1936" s="8">
        <v>46098</v>
      </c>
      <c r="E1936" s="9">
        <v>0.92796296296000946</v>
      </c>
      <c r="F1936" s="10" t="s">
        <v>2189</v>
      </c>
      <c r="G1936" s="10" t="s">
        <v>21</v>
      </c>
      <c r="H1936" s="10" t="s">
        <v>41</v>
      </c>
      <c r="I1936" s="10" t="s">
        <v>23</v>
      </c>
      <c r="J1936" s="11">
        <v>1.77</v>
      </c>
      <c r="K1936" s="12"/>
      <c r="L1936" s="12"/>
      <c r="M1936" s="12"/>
      <c r="N1936" s="12"/>
      <c r="O1936" s="12"/>
      <c r="P1936" s="12"/>
      <c r="Q1936" s="12"/>
      <c r="R1936" s="12"/>
      <c r="S1936" s="12"/>
    </row>
    <row r="1937" spans="1:19" ht="14.25" customHeight="1" x14ac:dyDescent="0.2">
      <c r="A1937" s="1" t="s">
        <v>24</v>
      </c>
      <c r="B1937" s="7">
        <v>46098.909884259258</v>
      </c>
      <c r="C1937" s="7">
        <v>46098.928437499999</v>
      </c>
      <c r="D1937" s="8">
        <v>46098</v>
      </c>
      <c r="E1937" s="9">
        <v>0.92843749999883585</v>
      </c>
      <c r="F1937" s="10" t="s">
        <v>2190</v>
      </c>
      <c r="G1937" s="10" t="s">
        <v>180</v>
      </c>
      <c r="H1937" s="10" t="s">
        <v>1182</v>
      </c>
      <c r="I1937" s="10" t="s">
        <v>23</v>
      </c>
      <c r="J1937" s="11">
        <v>1.44</v>
      </c>
      <c r="K1937" s="12"/>
      <c r="L1937" s="12"/>
      <c r="M1937" s="12"/>
      <c r="N1937" s="12"/>
      <c r="O1937" s="12"/>
      <c r="P1937" s="12"/>
      <c r="Q1937" s="12"/>
      <c r="R1937" s="12"/>
      <c r="S1937" s="12"/>
    </row>
    <row r="1938" spans="1:19" ht="14.25" customHeight="1" x14ac:dyDescent="0.2">
      <c r="A1938" s="1" t="s">
        <v>24</v>
      </c>
      <c r="B1938" s="7">
        <v>46098.914849537039</v>
      </c>
      <c r="C1938" s="7">
        <v>46098.93005787037</v>
      </c>
      <c r="D1938" s="8">
        <v>46098</v>
      </c>
      <c r="E1938" s="9">
        <v>0.93005787036963739</v>
      </c>
      <c r="F1938" s="10" t="s">
        <v>2191</v>
      </c>
      <c r="G1938" s="10" t="s">
        <v>21</v>
      </c>
      <c r="H1938" s="10" t="s">
        <v>41</v>
      </c>
      <c r="I1938" s="10" t="s">
        <v>23</v>
      </c>
      <c r="J1938" s="11">
        <v>1.77</v>
      </c>
      <c r="K1938" s="12"/>
      <c r="L1938" s="12"/>
      <c r="M1938" s="12"/>
      <c r="N1938" s="12"/>
      <c r="O1938" s="12"/>
      <c r="P1938" s="12"/>
      <c r="Q1938" s="12"/>
      <c r="R1938" s="12"/>
      <c r="S1938" s="12"/>
    </row>
    <row r="1939" spans="1:19" ht="14.25" customHeight="1" x14ac:dyDescent="0.2">
      <c r="A1939" s="1" t="s">
        <v>57</v>
      </c>
      <c r="B1939" s="19">
        <v>46098.920960648145</v>
      </c>
      <c r="C1939" s="19">
        <v>46098.930451388886</v>
      </c>
      <c r="D1939" s="20">
        <v>46098</v>
      </c>
      <c r="E1939" s="21">
        <v>0.93045138888555812</v>
      </c>
      <c r="F1939" s="1" t="s">
        <v>2192</v>
      </c>
      <c r="G1939" s="1" t="s">
        <v>21</v>
      </c>
      <c r="H1939" s="1" t="s">
        <v>59</v>
      </c>
      <c r="I1939" s="1" t="s">
        <v>166</v>
      </c>
      <c r="J1939" s="12">
        <v>0.83</v>
      </c>
      <c r="K1939" s="12"/>
      <c r="L1939" s="12"/>
      <c r="M1939" s="12"/>
      <c r="N1939" s="12"/>
      <c r="O1939" s="12"/>
      <c r="P1939" s="12"/>
      <c r="Q1939" s="12"/>
      <c r="R1939" s="12"/>
      <c r="S1939" s="12"/>
    </row>
    <row r="1940" spans="1:19" ht="14.25" customHeight="1" x14ac:dyDescent="0.2">
      <c r="A1940" s="1" t="s">
        <v>28</v>
      </c>
      <c r="B1940" s="7">
        <v>46098.904872685183</v>
      </c>
      <c r="C1940" s="7">
        <v>46098.932627314818</v>
      </c>
      <c r="D1940" s="8">
        <v>46098</v>
      </c>
      <c r="E1940" s="9">
        <v>0.93262731481809169</v>
      </c>
      <c r="F1940" s="10" t="s">
        <v>2193</v>
      </c>
      <c r="G1940" s="10" t="s">
        <v>21</v>
      </c>
      <c r="H1940" s="10" t="s">
        <v>41</v>
      </c>
      <c r="I1940" s="10" t="s">
        <v>23</v>
      </c>
      <c r="J1940" s="11">
        <v>1.77</v>
      </c>
      <c r="K1940" s="12"/>
      <c r="L1940" s="12"/>
      <c r="M1940" s="12"/>
      <c r="N1940" s="12"/>
      <c r="O1940" s="12"/>
      <c r="P1940" s="12"/>
      <c r="Q1940" s="12"/>
      <c r="R1940" s="12"/>
      <c r="S1940" s="12"/>
    </row>
    <row r="1941" spans="1:19" ht="14.25" customHeight="1" x14ac:dyDescent="0.2">
      <c r="A1941" s="1" t="s">
        <v>33</v>
      </c>
      <c r="B1941" s="7">
        <v>46098.914953703701</v>
      </c>
      <c r="C1941" s="7">
        <v>46098.932847222219</v>
      </c>
      <c r="D1941" s="8">
        <v>46098</v>
      </c>
      <c r="E1941" s="9">
        <v>0.93284722221869742</v>
      </c>
      <c r="F1941" s="10" t="s">
        <v>2194</v>
      </c>
      <c r="G1941" s="10" t="s">
        <v>21</v>
      </c>
      <c r="H1941" s="10" t="s">
        <v>22</v>
      </c>
      <c r="I1941" s="10" t="s">
        <v>23</v>
      </c>
      <c r="J1941" s="11">
        <v>0.83</v>
      </c>
      <c r="K1941" s="12"/>
      <c r="L1941" s="12"/>
      <c r="M1941" s="12"/>
      <c r="N1941" s="12"/>
      <c r="O1941" s="12"/>
      <c r="P1941" s="12"/>
      <c r="Q1941" s="12"/>
      <c r="R1941" s="12"/>
      <c r="S1941" s="12"/>
    </row>
    <row r="1942" spans="1:19" ht="14.25" customHeight="1" x14ac:dyDescent="0.2">
      <c r="A1942" s="1" t="s">
        <v>33</v>
      </c>
      <c r="B1942" s="7">
        <v>46098.914953703701</v>
      </c>
      <c r="C1942" s="7">
        <v>46098.933333333334</v>
      </c>
      <c r="D1942" s="8">
        <v>46098</v>
      </c>
      <c r="E1942" s="9">
        <v>0.93333333333430346</v>
      </c>
      <c r="F1942" s="10" t="s">
        <v>2195</v>
      </c>
      <c r="G1942" s="10" t="s">
        <v>21</v>
      </c>
      <c r="H1942" s="10" t="s">
        <v>41</v>
      </c>
      <c r="I1942" s="10" t="s">
        <v>23</v>
      </c>
      <c r="J1942" s="11">
        <v>1.77</v>
      </c>
      <c r="K1942" s="12"/>
      <c r="L1942" s="12"/>
      <c r="M1942" s="12"/>
      <c r="N1942" s="12"/>
      <c r="O1942" s="12"/>
      <c r="P1942" s="12"/>
      <c r="Q1942" s="12"/>
      <c r="R1942" s="12"/>
      <c r="S1942" s="12"/>
    </row>
    <row r="1943" spans="1:19" ht="14.25" customHeight="1" x14ac:dyDescent="0.2">
      <c r="A1943" s="1" t="s">
        <v>33</v>
      </c>
      <c r="B1943" s="7">
        <v>46098.921817129631</v>
      </c>
      <c r="C1943" s="7">
        <v>46098.933657407404</v>
      </c>
      <c r="D1943" s="8">
        <v>46098</v>
      </c>
      <c r="E1943" s="9">
        <v>0.93365740740409819</v>
      </c>
      <c r="F1943" s="10" t="s">
        <v>2196</v>
      </c>
      <c r="G1943" s="10" t="s">
        <v>44</v>
      </c>
      <c r="H1943" s="10" t="s">
        <v>185</v>
      </c>
      <c r="I1943" s="10" t="s">
        <v>23</v>
      </c>
      <c r="J1943" s="11">
        <v>0.18</v>
      </c>
      <c r="K1943" s="12"/>
      <c r="L1943" s="12"/>
      <c r="M1943" s="12"/>
      <c r="N1943" s="12"/>
      <c r="O1943" s="12"/>
      <c r="P1943" s="12"/>
      <c r="Q1943" s="12"/>
      <c r="R1943" s="12"/>
      <c r="S1943" s="12"/>
    </row>
    <row r="1944" spans="1:19" ht="14.25" customHeight="1" x14ac:dyDescent="0.2">
      <c r="A1944" s="1" t="s">
        <v>33</v>
      </c>
      <c r="B1944" s="7">
        <v>46098.909837962965</v>
      </c>
      <c r="C1944" s="7">
        <v>46098.933935185189</v>
      </c>
      <c r="D1944" s="8">
        <v>46098</v>
      </c>
      <c r="E1944" s="9">
        <v>0.93393518518860219</v>
      </c>
      <c r="F1944" s="10" t="s">
        <v>2197</v>
      </c>
      <c r="G1944" s="10" t="s">
        <v>44</v>
      </c>
      <c r="H1944" s="10" t="s">
        <v>185</v>
      </c>
      <c r="I1944" s="10" t="s">
        <v>23</v>
      </c>
      <c r="J1944" s="11">
        <v>0.18</v>
      </c>
      <c r="K1944" s="12"/>
      <c r="L1944" s="12"/>
      <c r="M1944" s="12"/>
      <c r="N1944" s="12"/>
      <c r="O1944" s="12"/>
      <c r="P1944" s="12"/>
      <c r="Q1944" s="12"/>
      <c r="R1944" s="12"/>
      <c r="S1944" s="12"/>
    </row>
    <row r="1945" spans="1:19" ht="14.25" customHeight="1" x14ac:dyDescent="0.2">
      <c r="A1945" s="1" t="s">
        <v>19</v>
      </c>
      <c r="B1945" s="19">
        <v>46098.87841435185</v>
      </c>
      <c r="C1945" s="19">
        <v>46098.934212962966</v>
      </c>
      <c r="D1945" s="20">
        <v>46098</v>
      </c>
      <c r="E1945" s="21">
        <v>0.93421296296583023</v>
      </c>
      <c r="F1945" s="1" t="s">
        <v>2198</v>
      </c>
      <c r="G1945" s="1" t="s">
        <v>26</v>
      </c>
      <c r="H1945" s="1" t="s">
        <v>37</v>
      </c>
      <c r="I1945" s="1" t="s">
        <v>166</v>
      </c>
      <c r="J1945" s="12">
        <v>0.88</v>
      </c>
      <c r="K1945" s="12"/>
      <c r="L1945" s="12"/>
      <c r="M1945" s="12"/>
      <c r="N1945" s="12"/>
      <c r="O1945" s="12"/>
      <c r="P1945" s="12"/>
      <c r="Q1945" s="12"/>
      <c r="R1945" s="12"/>
      <c r="S1945" s="12"/>
    </row>
    <row r="1946" spans="1:19" ht="14.25" customHeight="1" x14ac:dyDescent="0.2">
      <c r="A1946" s="1" t="s">
        <v>19</v>
      </c>
      <c r="B1946" s="7">
        <v>46098.918194444443</v>
      </c>
      <c r="C1946" s="7">
        <v>46098.934212962966</v>
      </c>
      <c r="D1946" s="8">
        <v>46098</v>
      </c>
      <c r="E1946" s="9">
        <v>0.93421296296583023</v>
      </c>
      <c r="F1946" s="10" t="s">
        <v>2199</v>
      </c>
      <c r="G1946" s="10" t="s">
        <v>21</v>
      </c>
      <c r="H1946" s="10" t="s">
        <v>54</v>
      </c>
      <c r="I1946" s="10" t="s">
        <v>23</v>
      </c>
      <c r="J1946" s="11">
        <v>0.83</v>
      </c>
      <c r="K1946" s="12"/>
      <c r="L1946" s="12"/>
      <c r="M1946" s="12"/>
      <c r="N1946" s="12"/>
      <c r="O1946" s="12"/>
      <c r="P1946" s="12"/>
      <c r="Q1946" s="12"/>
      <c r="R1946" s="12"/>
      <c r="S1946" s="12"/>
    </row>
    <row r="1947" spans="1:19" ht="14.25" customHeight="1" x14ac:dyDescent="0.2">
      <c r="A1947" s="1" t="s">
        <v>19</v>
      </c>
      <c r="B1947" s="7">
        <v>46098.908148148148</v>
      </c>
      <c r="C1947" s="7">
        <v>46098.935034722221</v>
      </c>
      <c r="D1947" s="8">
        <v>46098</v>
      </c>
      <c r="E1947" s="9">
        <v>0.93503472222073469</v>
      </c>
      <c r="F1947" s="10" t="s">
        <v>2200</v>
      </c>
      <c r="G1947" s="10" t="s">
        <v>21</v>
      </c>
      <c r="H1947" s="10" t="s">
        <v>41</v>
      </c>
      <c r="I1947" s="10" t="s">
        <v>23</v>
      </c>
      <c r="J1947" s="11">
        <v>1.77</v>
      </c>
      <c r="K1947" s="12"/>
      <c r="L1947" s="12"/>
      <c r="M1947" s="12"/>
      <c r="N1947" s="12"/>
      <c r="O1947" s="12"/>
      <c r="P1947" s="12"/>
      <c r="Q1947" s="12"/>
      <c r="R1947" s="12"/>
      <c r="S1947" s="12"/>
    </row>
    <row r="1948" spans="1:19" ht="14.25" customHeight="1" x14ac:dyDescent="0.2">
      <c r="A1948" s="1" t="s">
        <v>28</v>
      </c>
      <c r="B1948" s="7">
        <v>46098.925381944442</v>
      </c>
      <c r="C1948" s="7">
        <v>46098.935300925928</v>
      </c>
      <c r="D1948" s="8">
        <v>46098</v>
      </c>
      <c r="E1948" s="9">
        <v>0.93530092592845904</v>
      </c>
      <c r="F1948" s="10" t="s">
        <v>2201</v>
      </c>
      <c r="G1948" s="10" t="s">
        <v>21</v>
      </c>
      <c r="H1948" s="10" t="s">
        <v>22</v>
      </c>
      <c r="I1948" s="10" t="s">
        <v>23</v>
      </c>
      <c r="J1948" s="11">
        <v>0.83</v>
      </c>
      <c r="K1948" s="12"/>
      <c r="L1948" s="12"/>
      <c r="M1948" s="12"/>
      <c r="N1948" s="12"/>
      <c r="O1948" s="12"/>
      <c r="P1948" s="12"/>
      <c r="Q1948" s="12"/>
      <c r="R1948" s="12"/>
      <c r="S1948" s="12"/>
    </row>
    <row r="1949" spans="1:19" ht="14.25" customHeight="1" x14ac:dyDescent="0.2">
      <c r="A1949" s="1" t="s">
        <v>28</v>
      </c>
      <c r="B1949" s="7">
        <v>46098.919490740744</v>
      </c>
      <c r="C1949" s="7">
        <v>46098.935659722221</v>
      </c>
      <c r="D1949" s="8">
        <v>46098</v>
      </c>
      <c r="E1949" s="9">
        <v>0.93565972222131677</v>
      </c>
      <c r="F1949" s="10" t="s">
        <v>2202</v>
      </c>
      <c r="G1949" s="10" t="s">
        <v>21</v>
      </c>
      <c r="H1949" s="10" t="s">
        <v>22</v>
      </c>
      <c r="I1949" s="10" t="s">
        <v>23</v>
      </c>
      <c r="J1949" s="11">
        <v>0.83</v>
      </c>
      <c r="K1949" s="12"/>
      <c r="L1949" s="12"/>
      <c r="M1949" s="12"/>
      <c r="N1949" s="12"/>
      <c r="O1949" s="12"/>
      <c r="P1949" s="12"/>
      <c r="Q1949" s="12"/>
      <c r="R1949" s="12"/>
      <c r="S1949" s="12"/>
    </row>
    <row r="1950" spans="1:19" ht="14.25" customHeight="1" x14ac:dyDescent="0.2">
      <c r="A1950" s="1" t="s">
        <v>42</v>
      </c>
      <c r="B1950" s="19">
        <v>46098.905787037038</v>
      </c>
      <c r="C1950" s="19">
        <v>46098.9378125</v>
      </c>
      <c r="D1950" s="20">
        <v>46098</v>
      </c>
      <c r="E1950" s="21">
        <v>0.93781250000029104</v>
      </c>
      <c r="F1950" s="1" t="s">
        <v>2203</v>
      </c>
      <c r="G1950" s="1" t="s">
        <v>26</v>
      </c>
      <c r="H1950" s="1" t="s">
        <v>56</v>
      </c>
      <c r="I1950" s="1" t="s">
        <v>166</v>
      </c>
      <c r="J1950" s="12">
        <v>0.73</v>
      </c>
      <c r="K1950" s="12"/>
      <c r="L1950" s="12"/>
      <c r="M1950" s="12"/>
      <c r="N1950" s="12"/>
      <c r="O1950" s="12"/>
      <c r="P1950" s="12"/>
      <c r="Q1950" s="12"/>
      <c r="R1950" s="12"/>
      <c r="S1950" s="12"/>
    </row>
    <row r="1951" spans="1:19" ht="14.25" customHeight="1" x14ac:dyDescent="0.2">
      <c r="A1951" s="1" t="s">
        <v>24</v>
      </c>
      <c r="B1951" s="7">
        <v>46098.875300925924</v>
      </c>
      <c r="C1951" s="7">
        <v>46098.941793981481</v>
      </c>
      <c r="D1951" s="8">
        <v>46098</v>
      </c>
      <c r="E1951" s="9">
        <v>0.94179398148116888</v>
      </c>
      <c r="F1951" s="10" t="s">
        <v>2204</v>
      </c>
      <c r="G1951" s="10" t="s">
        <v>26</v>
      </c>
      <c r="H1951" s="10" t="s">
        <v>205</v>
      </c>
      <c r="I1951" s="10" t="s">
        <v>23</v>
      </c>
      <c r="J1951" s="11">
        <v>0.57999999999999996</v>
      </c>
      <c r="K1951" s="12"/>
      <c r="L1951" s="12"/>
      <c r="M1951" s="12"/>
      <c r="N1951" s="12"/>
      <c r="O1951" s="12"/>
      <c r="P1951" s="12"/>
      <c r="Q1951" s="12"/>
      <c r="R1951" s="12"/>
      <c r="S1951" s="12"/>
    </row>
    <row r="1952" spans="1:19" ht="14.25" customHeight="1" x14ac:dyDescent="0.2">
      <c r="A1952" s="1" t="s">
        <v>19</v>
      </c>
      <c r="B1952" s="7">
        <v>46098.923981481479</v>
      </c>
      <c r="C1952" s="7">
        <v>46098.944988425923</v>
      </c>
      <c r="D1952" s="8">
        <v>46098</v>
      </c>
      <c r="E1952" s="9">
        <v>0.94498842592292931</v>
      </c>
      <c r="F1952" s="10" t="s">
        <v>2205</v>
      </c>
      <c r="G1952" s="10" t="s">
        <v>21</v>
      </c>
      <c r="H1952" s="10" t="s">
        <v>101</v>
      </c>
      <c r="I1952" s="10" t="s">
        <v>23</v>
      </c>
      <c r="J1952" s="11">
        <v>1.7</v>
      </c>
      <c r="K1952" s="12"/>
      <c r="L1952" s="12"/>
      <c r="M1952" s="12"/>
      <c r="N1952" s="12"/>
      <c r="O1952" s="12"/>
      <c r="P1952" s="12"/>
      <c r="Q1952" s="12"/>
      <c r="R1952" s="12"/>
      <c r="S1952" s="12"/>
    </row>
    <row r="1953" spans="1:19" ht="14.25" customHeight="1" x14ac:dyDescent="0.2">
      <c r="A1953" s="1" t="s">
        <v>19</v>
      </c>
      <c r="B1953" s="19">
        <v>46098.852187500001</v>
      </c>
      <c r="C1953" s="19">
        <v>46098.950567129628</v>
      </c>
      <c r="D1953" s="20">
        <v>46098</v>
      </c>
      <c r="E1953" s="21">
        <v>0.95056712962832535</v>
      </c>
      <c r="F1953" s="1" t="s">
        <v>2206</v>
      </c>
      <c r="G1953" s="1" t="s">
        <v>26</v>
      </c>
      <c r="H1953" s="1" t="s">
        <v>650</v>
      </c>
      <c r="I1953" s="1" t="s">
        <v>166</v>
      </c>
      <c r="J1953" s="12">
        <v>0.44</v>
      </c>
      <c r="K1953" s="12"/>
      <c r="L1953" s="12"/>
      <c r="M1953" s="12"/>
      <c r="N1953" s="12"/>
      <c r="O1953" s="12"/>
      <c r="P1953" s="12"/>
      <c r="Q1953" s="12"/>
      <c r="R1953" s="12"/>
      <c r="S1953" s="12"/>
    </row>
    <row r="1954" spans="1:19" ht="14.25" customHeight="1" x14ac:dyDescent="0.2">
      <c r="A1954" s="1" t="s">
        <v>19</v>
      </c>
      <c r="B1954" s="19">
        <v>46098.927048611113</v>
      </c>
      <c r="C1954" s="19">
        <v>46098.953275462962</v>
      </c>
      <c r="D1954" s="20">
        <v>46098</v>
      </c>
      <c r="E1954" s="21">
        <v>0.95327546296175569</v>
      </c>
      <c r="F1954" s="1" t="s">
        <v>2207</v>
      </c>
      <c r="G1954" s="1" t="s">
        <v>44</v>
      </c>
      <c r="H1954" s="1" t="s">
        <v>2208</v>
      </c>
      <c r="I1954" s="1" t="s">
        <v>166</v>
      </c>
      <c r="J1954" s="12">
        <v>0.18</v>
      </c>
      <c r="K1954" s="12"/>
      <c r="L1954" s="12"/>
      <c r="M1954" s="12"/>
      <c r="N1954" s="12"/>
      <c r="O1954" s="12"/>
      <c r="P1954" s="12"/>
      <c r="Q1954" s="12"/>
      <c r="R1954" s="12"/>
      <c r="S1954" s="12"/>
    </row>
    <row r="1955" spans="1:19" ht="14.25" customHeight="1" x14ac:dyDescent="0.2">
      <c r="A1955" s="1" t="s">
        <v>42</v>
      </c>
      <c r="B1955" s="7">
        <v>46098.944594907407</v>
      </c>
      <c r="C1955" s="7">
        <v>46098.954004629632</v>
      </c>
      <c r="D1955" s="8">
        <v>46098</v>
      </c>
      <c r="E1955" s="9">
        <v>0.95400462963152677</v>
      </c>
      <c r="F1955" s="10" t="s">
        <v>2209</v>
      </c>
      <c r="G1955" s="10" t="s">
        <v>44</v>
      </c>
      <c r="H1955" s="10" t="s">
        <v>48</v>
      </c>
      <c r="I1955" s="10" t="s">
        <v>23</v>
      </c>
      <c r="J1955" s="11">
        <v>0.21</v>
      </c>
      <c r="K1955" s="12"/>
      <c r="L1955" s="12"/>
      <c r="M1955" s="12"/>
      <c r="N1955" s="12"/>
      <c r="O1955" s="12"/>
      <c r="P1955" s="12"/>
      <c r="Q1955" s="12"/>
      <c r="R1955" s="12"/>
      <c r="S1955" s="12"/>
    </row>
    <row r="1956" spans="1:19" ht="14.25" customHeight="1" x14ac:dyDescent="0.2">
      <c r="A1956" s="1" t="s">
        <v>19</v>
      </c>
      <c r="B1956" s="7">
        <v>46098.948831018519</v>
      </c>
      <c r="C1956" s="7">
        <v>46098.960590277777</v>
      </c>
      <c r="D1956" s="8">
        <v>46098</v>
      </c>
      <c r="E1956" s="9">
        <v>0.96059027777664596</v>
      </c>
      <c r="F1956" s="10" t="s">
        <v>2210</v>
      </c>
      <c r="G1956" s="10" t="s">
        <v>21</v>
      </c>
      <c r="H1956" s="10" t="s">
        <v>101</v>
      </c>
      <c r="I1956" s="10" t="s">
        <v>23</v>
      </c>
      <c r="J1956" s="11">
        <v>1.7</v>
      </c>
      <c r="K1956" s="12"/>
      <c r="L1956" s="12">
        <f>SUM(J1956:J1964)</f>
        <v>13.1</v>
      </c>
      <c r="M1956" s="13">
        <f>L1956*65</f>
        <v>851.5</v>
      </c>
      <c r="N1956" s="14">
        <f>MAX(500,M1956)</f>
        <v>851.5</v>
      </c>
      <c r="O1956" s="12"/>
      <c r="P1956" s="12"/>
      <c r="Q1956" s="12"/>
      <c r="R1956" s="12"/>
      <c r="S1956" s="12"/>
    </row>
    <row r="1957" spans="1:19" ht="14.25" customHeight="1" x14ac:dyDescent="0.2">
      <c r="A1957" s="1" t="s">
        <v>112</v>
      </c>
      <c r="B1957" s="19">
        <v>46098.918553240743</v>
      </c>
      <c r="C1957" s="19">
        <v>46098.966099537036</v>
      </c>
      <c r="D1957" s="20">
        <v>46098</v>
      </c>
      <c r="E1957" s="21">
        <v>0.966099537035916</v>
      </c>
      <c r="F1957" s="1" t="s">
        <v>2211</v>
      </c>
      <c r="G1957" s="1" t="s">
        <v>21</v>
      </c>
      <c r="H1957" s="1" t="s">
        <v>114</v>
      </c>
      <c r="I1957" s="1" t="s">
        <v>166</v>
      </c>
      <c r="J1957" s="12">
        <v>1.7</v>
      </c>
      <c r="K1957" s="12"/>
      <c r="L1957" s="12"/>
      <c r="M1957" s="12"/>
      <c r="N1957" s="12"/>
      <c r="O1957" s="12"/>
      <c r="P1957" s="12"/>
      <c r="Q1957" s="12"/>
      <c r="R1957" s="12"/>
      <c r="S1957" s="12"/>
    </row>
    <row r="1958" spans="1:19" ht="14.25" customHeight="1" x14ac:dyDescent="0.2">
      <c r="A1958" s="1" t="s">
        <v>42</v>
      </c>
      <c r="B1958" s="19">
        <v>46098.934027777781</v>
      </c>
      <c r="C1958" s="19">
        <v>46098.972997685189</v>
      </c>
      <c r="D1958" s="20">
        <v>46098</v>
      </c>
      <c r="E1958" s="21">
        <v>0.97299768518860219</v>
      </c>
      <c r="F1958" s="1" t="s">
        <v>2212</v>
      </c>
      <c r="G1958" s="1" t="s">
        <v>26</v>
      </c>
      <c r="H1958" s="1" t="s">
        <v>56</v>
      </c>
      <c r="I1958" s="1" t="s">
        <v>166</v>
      </c>
      <c r="J1958" s="12">
        <v>0.73</v>
      </c>
      <c r="K1958" s="12"/>
      <c r="L1958" s="12"/>
      <c r="M1958" s="12"/>
      <c r="N1958" s="12"/>
      <c r="O1958" s="12"/>
      <c r="P1958" s="12"/>
      <c r="Q1958" s="12"/>
      <c r="R1958" s="12"/>
      <c r="S1958" s="12"/>
    </row>
    <row r="1959" spans="1:19" ht="14.25" customHeight="1" x14ac:dyDescent="0.2">
      <c r="A1959" s="1" t="s">
        <v>19</v>
      </c>
      <c r="B1959" s="19">
        <v>46098.958391203705</v>
      </c>
      <c r="C1959" s="19">
        <v>46098.976064814815</v>
      </c>
      <c r="D1959" s="20">
        <v>46098</v>
      </c>
      <c r="E1959" s="21">
        <v>0.97606481481489027</v>
      </c>
      <c r="F1959" s="1" t="s">
        <v>2213</v>
      </c>
      <c r="G1959" s="1" t="s">
        <v>21</v>
      </c>
      <c r="H1959" s="1" t="s">
        <v>1478</v>
      </c>
      <c r="I1959" s="1" t="s">
        <v>166</v>
      </c>
      <c r="J1959" s="12">
        <v>0.98</v>
      </c>
      <c r="K1959" s="12"/>
      <c r="L1959" s="12"/>
      <c r="M1959" s="12"/>
      <c r="N1959" s="12"/>
      <c r="O1959" s="12"/>
      <c r="P1959" s="12"/>
      <c r="Q1959" s="12"/>
      <c r="R1959" s="12"/>
      <c r="S1959" s="12"/>
    </row>
    <row r="1960" spans="1:19" ht="14.25" customHeight="1" x14ac:dyDescent="0.2">
      <c r="A1960" s="1" t="s">
        <v>33</v>
      </c>
      <c r="B1960" s="19">
        <v>46098.924305555556</v>
      </c>
      <c r="C1960" s="19">
        <v>46098.976620370369</v>
      </c>
      <c r="D1960" s="20">
        <v>46098</v>
      </c>
      <c r="E1960" s="21">
        <v>0.97662037036934635</v>
      </c>
      <c r="F1960" s="1" t="s">
        <v>2214</v>
      </c>
      <c r="G1960" s="1" t="s">
        <v>26</v>
      </c>
      <c r="H1960" s="1" t="s">
        <v>315</v>
      </c>
      <c r="I1960" s="1" t="s">
        <v>166</v>
      </c>
      <c r="J1960" s="12">
        <v>0.88</v>
      </c>
      <c r="K1960" s="12"/>
      <c r="L1960" s="12"/>
      <c r="M1960" s="12"/>
      <c r="N1960" s="12"/>
      <c r="O1960" s="12"/>
      <c r="P1960" s="12"/>
      <c r="Q1960" s="12"/>
      <c r="R1960" s="12"/>
      <c r="S1960" s="12"/>
    </row>
    <row r="1961" spans="1:19" ht="14.25" customHeight="1" x14ac:dyDescent="0.2">
      <c r="A1961" s="1" t="s">
        <v>33</v>
      </c>
      <c r="B1961" s="7">
        <v>46098.964745370373</v>
      </c>
      <c r="C1961" s="7">
        <v>46098.978680555556</v>
      </c>
      <c r="D1961" s="8">
        <v>46098</v>
      </c>
      <c r="E1961" s="9">
        <v>0.97868055555591127</v>
      </c>
      <c r="F1961" s="10" t="s">
        <v>2215</v>
      </c>
      <c r="G1961" s="10" t="s">
        <v>21</v>
      </c>
      <c r="H1961" s="10" t="s">
        <v>409</v>
      </c>
      <c r="I1961" s="10" t="s">
        <v>23</v>
      </c>
      <c r="J1961" s="11">
        <v>2.9</v>
      </c>
      <c r="K1961" s="12"/>
      <c r="L1961" s="12"/>
      <c r="M1961" s="12"/>
      <c r="N1961" s="12"/>
      <c r="O1961" s="12"/>
      <c r="P1961" s="12"/>
      <c r="Q1961" s="12"/>
      <c r="R1961" s="12"/>
      <c r="S1961" s="12"/>
    </row>
    <row r="1962" spans="1:19" ht="14.25" customHeight="1" x14ac:dyDescent="0.2">
      <c r="A1962" s="1" t="s">
        <v>28</v>
      </c>
      <c r="B1962" s="7">
        <v>46098.971145833333</v>
      </c>
      <c r="C1962" s="7">
        <v>46098.98060185185</v>
      </c>
      <c r="D1962" s="8">
        <v>46098</v>
      </c>
      <c r="E1962" s="9">
        <v>0.98060185185022419</v>
      </c>
      <c r="F1962" s="10" t="s">
        <v>2216</v>
      </c>
      <c r="G1962" s="10" t="s">
        <v>21</v>
      </c>
      <c r="H1962" s="10" t="s">
        <v>22</v>
      </c>
      <c r="I1962" s="10" t="s">
        <v>23</v>
      </c>
      <c r="J1962" s="11">
        <v>0.83</v>
      </c>
      <c r="K1962" s="12"/>
      <c r="L1962" s="12"/>
      <c r="M1962" s="12"/>
      <c r="N1962" s="12"/>
      <c r="O1962" s="12"/>
      <c r="P1962" s="12"/>
      <c r="Q1962" s="12"/>
      <c r="R1962" s="12"/>
      <c r="S1962" s="12"/>
    </row>
    <row r="1963" spans="1:19" ht="14.25" customHeight="1" x14ac:dyDescent="0.2">
      <c r="A1963" s="1" t="s">
        <v>19</v>
      </c>
      <c r="B1963" s="7">
        <v>46098.952534722222</v>
      </c>
      <c r="C1963" s="7">
        <v>46098.984317129631</v>
      </c>
      <c r="D1963" s="8">
        <v>46098</v>
      </c>
      <c r="E1963" s="9">
        <v>0.98431712963065365</v>
      </c>
      <c r="F1963" s="10" t="s">
        <v>2217</v>
      </c>
      <c r="G1963" s="10" t="s">
        <v>21</v>
      </c>
      <c r="H1963" s="10" t="s">
        <v>61</v>
      </c>
      <c r="I1963" s="10" t="s">
        <v>23</v>
      </c>
      <c r="J1963" s="11">
        <v>2.5</v>
      </c>
      <c r="K1963" s="12"/>
      <c r="L1963" s="12"/>
      <c r="M1963" s="12"/>
      <c r="N1963" s="12"/>
      <c r="O1963" s="12"/>
      <c r="P1963" s="12"/>
      <c r="Q1963" s="12"/>
      <c r="R1963" s="12"/>
      <c r="S1963" s="12"/>
    </row>
    <row r="1964" spans="1:19" ht="14.25" customHeight="1" x14ac:dyDescent="0.2">
      <c r="A1964" s="1" t="s">
        <v>24</v>
      </c>
      <c r="B1964" s="7">
        <v>46098.943564814814</v>
      </c>
      <c r="C1964" s="7">
        <v>46098.984594907408</v>
      </c>
      <c r="D1964" s="8">
        <v>46098</v>
      </c>
      <c r="E1964" s="9">
        <v>0.98459490740788169</v>
      </c>
      <c r="F1964" s="10" t="s">
        <v>2218</v>
      </c>
      <c r="G1964" s="10" t="s">
        <v>26</v>
      </c>
      <c r="H1964" s="10" t="s">
        <v>315</v>
      </c>
      <c r="I1964" s="10" t="s">
        <v>23</v>
      </c>
      <c r="J1964" s="11">
        <v>0.88</v>
      </c>
      <c r="K1964" s="12"/>
      <c r="L1964" s="12"/>
      <c r="M1964" s="12"/>
      <c r="N1964" s="12"/>
      <c r="O1964" s="12"/>
      <c r="P1964" s="12"/>
      <c r="Q1964" s="12"/>
      <c r="R1964" s="12"/>
      <c r="S1964" s="12"/>
    </row>
    <row r="1965" spans="1:19" ht="14.25" customHeight="1" x14ac:dyDescent="0.2">
      <c r="A1965" s="1" t="s">
        <v>19</v>
      </c>
      <c r="B1965" s="7">
        <v>46098.965474537035</v>
      </c>
      <c r="C1965" s="7">
        <v>46099.002303240741</v>
      </c>
      <c r="D1965" s="8">
        <v>46099</v>
      </c>
      <c r="E1965" s="9">
        <v>2.3032407407299615E-3</v>
      </c>
      <c r="F1965" s="10" t="s">
        <v>2219</v>
      </c>
      <c r="G1965" s="10" t="s">
        <v>26</v>
      </c>
      <c r="H1965" s="10" t="s">
        <v>56</v>
      </c>
      <c r="I1965" s="10" t="s">
        <v>23</v>
      </c>
      <c r="J1965" s="11">
        <v>0.73</v>
      </c>
      <c r="K1965" s="12"/>
      <c r="L1965" s="12">
        <f>SUM(J1965:J1975)</f>
        <v>13.17</v>
      </c>
      <c r="M1965" s="13">
        <f>L1965*65</f>
        <v>856.05</v>
      </c>
      <c r="N1965" s="14">
        <f>MAX(500,M1965)</f>
        <v>856.05</v>
      </c>
      <c r="O1965" s="12"/>
      <c r="P1965" s="12"/>
      <c r="Q1965" s="12"/>
      <c r="R1965" s="12"/>
      <c r="S1965" s="12"/>
    </row>
    <row r="1966" spans="1:19" ht="14.25" customHeight="1" x14ac:dyDescent="0.2">
      <c r="A1966" s="1" t="s">
        <v>42</v>
      </c>
      <c r="B1966" s="19">
        <v>46098.944791666669</v>
      </c>
      <c r="C1966" s="19">
        <v>46099.003009259257</v>
      </c>
      <c r="D1966" s="20">
        <v>46099</v>
      </c>
      <c r="E1966" s="21">
        <v>3.009259256941732E-3</v>
      </c>
      <c r="F1966" s="1" t="s">
        <v>2220</v>
      </c>
      <c r="G1966" s="1" t="s">
        <v>21</v>
      </c>
      <c r="H1966" s="1" t="s">
        <v>225</v>
      </c>
      <c r="I1966" s="1" t="s">
        <v>166</v>
      </c>
      <c r="J1966" s="12">
        <v>1.77</v>
      </c>
      <c r="K1966" s="12"/>
      <c r="L1966" s="12"/>
      <c r="M1966" s="12"/>
      <c r="N1966" s="12"/>
      <c r="O1966" s="12"/>
      <c r="P1966" s="12"/>
      <c r="Q1966" s="12"/>
      <c r="R1966" s="12"/>
      <c r="S1966" s="12"/>
    </row>
    <row r="1967" spans="1:19" ht="14.25" customHeight="1" x14ac:dyDescent="0.2">
      <c r="A1967" s="1" t="s">
        <v>95</v>
      </c>
      <c r="B1967" s="7">
        <v>46098.981932870367</v>
      </c>
      <c r="C1967" s="7">
        <v>46099.011932870373</v>
      </c>
      <c r="D1967" s="8">
        <v>46099</v>
      </c>
      <c r="E1967" s="9">
        <v>1.1932870373129845E-2</v>
      </c>
      <c r="F1967" s="10" t="s">
        <v>2221</v>
      </c>
      <c r="G1967" s="10" t="s">
        <v>21</v>
      </c>
      <c r="H1967" s="10" t="s">
        <v>97</v>
      </c>
      <c r="I1967" s="10" t="s">
        <v>23</v>
      </c>
      <c r="J1967" s="11">
        <v>1.77</v>
      </c>
      <c r="K1967" s="12"/>
      <c r="L1967" s="12"/>
      <c r="M1967" s="12"/>
      <c r="N1967" s="12"/>
      <c r="O1967" s="12"/>
      <c r="P1967" s="12"/>
      <c r="Q1967" s="12"/>
      <c r="R1967" s="12"/>
      <c r="S1967" s="12"/>
    </row>
    <row r="1968" spans="1:19" ht="14.25" customHeight="1" x14ac:dyDescent="0.2">
      <c r="A1968" s="1" t="s">
        <v>95</v>
      </c>
      <c r="B1968" s="7">
        <v>46098.96334490741</v>
      </c>
      <c r="C1968" s="7">
        <v>46099.019108796296</v>
      </c>
      <c r="D1968" s="8">
        <v>46099</v>
      </c>
      <c r="E1968" s="9">
        <v>1.9108796295768116E-2</v>
      </c>
      <c r="F1968" s="10" t="s">
        <v>2222</v>
      </c>
      <c r="G1968" s="10" t="s">
        <v>21</v>
      </c>
      <c r="H1968" s="10" t="s">
        <v>108</v>
      </c>
      <c r="I1968" s="10" t="s">
        <v>23</v>
      </c>
      <c r="J1968" s="11">
        <v>1.7</v>
      </c>
      <c r="K1968" s="12"/>
      <c r="L1968" s="12"/>
      <c r="M1968" s="12"/>
      <c r="N1968" s="12"/>
      <c r="O1968" s="12"/>
      <c r="P1968" s="12"/>
      <c r="Q1968" s="12"/>
      <c r="R1968" s="12"/>
      <c r="S1968" s="12"/>
    </row>
    <row r="1969" spans="1:19" ht="14.25" customHeight="1" x14ac:dyDescent="0.2">
      <c r="A1969" s="1" t="s">
        <v>112</v>
      </c>
      <c r="B1969" s="7">
        <v>46099.008888888886</v>
      </c>
      <c r="C1969" s="7">
        <v>46099.019756944443</v>
      </c>
      <c r="D1969" s="8">
        <v>46099</v>
      </c>
      <c r="E1969" s="9">
        <v>1.9756944442633539E-2</v>
      </c>
      <c r="F1969" s="10" t="s">
        <v>2223</v>
      </c>
      <c r="G1969" s="10" t="s">
        <v>21</v>
      </c>
      <c r="H1969" s="10" t="s">
        <v>114</v>
      </c>
      <c r="I1969" s="10" t="s">
        <v>23</v>
      </c>
      <c r="J1969" s="11">
        <v>1.7</v>
      </c>
      <c r="K1969" s="12"/>
      <c r="L1969" s="12"/>
      <c r="M1969" s="12"/>
      <c r="N1969" s="12"/>
      <c r="O1969" s="12"/>
      <c r="P1969" s="12"/>
      <c r="Q1969" s="12"/>
      <c r="R1969" s="12"/>
      <c r="S1969" s="12"/>
    </row>
    <row r="1970" spans="1:19" ht="14.25" customHeight="1" x14ac:dyDescent="0.2">
      <c r="A1970" s="1" t="s">
        <v>95</v>
      </c>
      <c r="B1970" s="19">
        <v>46098.979143518518</v>
      </c>
      <c r="C1970" s="19">
        <v>46099.020960648151</v>
      </c>
      <c r="D1970" s="20">
        <v>46099</v>
      </c>
      <c r="E1970" s="21">
        <v>2.0960648151230998E-2</v>
      </c>
      <c r="F1970" s="1" t="s">
        <v>2224</v>
      </c>
      <c r="G1970" s="1" t="s">
        <v>21</v>
      </c>
      <c r="H1970" s="1" t="s">
        <v>110</v>
      </c>
      <c r="I1970" s="1" t="s">
        <v>166</v>
      </c>
      <c r="J1970" s="12">
        <v>0.83</v>
      </c>
      <c r="K1970" s="12"/>
      <c r="L1970" s="12"/>
      <c r="M1970" s="12"/>
      <c r="N1970" s="12"/>
      <c r="O1970" s="12"/>
      <c r="P1970" s="12"/>
      <c r="Q1970" s="12"/>
      <c r="R1970" s="12"/>
      <c r="S1970" s="12"/>
    </row>
    <row r="1971" spans="1:19" ht="14.25" customHeight="1" x14ac:dyDescent="0.2">
      <c r="A1971" s="1" t="s">
        <v>95</v>
      </c>
      <c r="B1971" s="7">
        <v>46099.002349537041</v>
      </c>
      <c r="C1971" s="7">
        <v>46099.023935185185</v>
      </c>
      <c r="D1971" s="8">
        <v>46099</v>
      </c>
      <c r="E1971" s="9">
        <v>2.3935185185109731E-2</v>
      </c>
      <c r="F1971" s="10" t="s">
        <v>2225</v>
      </c>
      <c r="G1971" s="10" t="s">
        <v>21</v>
      </c>
      <c r="H1971" s="10" t="s">
        <v>108</v>
      </c>
      <c r="I1971" s="10" t="s">
        <v>23</v>
      </c>
      <c r="J1971" s="11">
        <v>1.7</v>
      </c>
      <c r="K1971" s="12"/>
      <c r="L1971" s="12"/>
      <c r="M1971" s="12"/>
      <c r="N1971" s="12"/>
      <c r="O1971" s="12"/>
      <c r="P1971" s="12"/>
      <c r="Q1971" s="12"/>
      <c r="R1971" s="12"/>
      <c r="S1971" s="12"/>
    </row>
    <row r="1972" spans="1:19" ht="14.25" customHeight="1" x14ac:dyDescent="0.2">
      <c r="A1972" s="1" t="s">
        <v>42</v>
      </c>
      <c r="B1972" s="7">
        <v>46098.915543981479</v>
      </c>
      <c r="C1972" s="7">
        <v>46099.029618055552</v>
      </c>
      <c r="D1972" s="8">
        <v>46099</v>
      </c>
      <c r="E1972" s="9">
        <v>2.9618055552418809E-2</v>
      </c>
      <c r="F1972" s="10" t="s">
        <v>2226</v>
      </c>
      <c r="G1972" s="10" t="s">
        <v>26</v>
      </c>
      <c r="H1972" s="10" t="s">
        <v>56</v>
      </c>
      <c r="I1972" s="10" t="s">
        <v>23</v>
      </c>
      <c r="J1972" s="11">
        <v>0.73</v>
      </c>
      <c r="K1972" s="12"/>
      <c r="L1972" s="12"/>
      <c r="M1972" s="12"/>
      <c r="N1972" s="12"/>
      <c r="O1972" s="12"/>
      <c r="P1972" s="12"/>
      <c r="Q1972" s="12"/>
      <c r="R1972" s="12"/>
      <c r="S1972" s="12"/>
    </row>
    <row r="1973" spans="1:19" ht="14.25" customHeight="1" x14ac:dyDescent="0.2">
      <c r="A1973" s="1" t="s">
        <v>95</v>
      </c>
      <c r="B1973" s="19">
        <v>46099.013472222221</v>
      </c>
      <c r="C1973" s="19">
        <v>46099.030416666668</v>
      </c>
      <c r="D1973" s="20">
        <v>46099</v>
      </c>
      <c r="E1973" s="21">
        <v>3.0416666668315884E-2</v>
      </c>
      <c r="F1973" s="1" t="s">
        <v>2227</v>
      </c>
      <c r="G1973" s="1" t="s">
        <v>21</v>
      </c>
      <c r="H1973" s="1" t="s">
        <v>110</v>
      </c>
      <c r="I1973" s="1" t="s">
        <v>166</v>
      </c>
      <c r="J1973" s="12">
        <v>0.83</v>
      </c>
      <c r="K1973" s="12"/>
      <c r="L1973" s="12"/>
      <c r="M1973" s="12"/>
      <c r="N1973" s="12"/>
      <c r="O1973" s="12"/>
      <c r="P1973" s="12"/>
      <c r="Q1973" s="12"/>
      <c r="R1973" s="12"/>
      <c r="S1973" s="12"/>
    </row>
    <row r="1974" spans="1:19" ht="14.25" customHeight="1" x14ac:dyDescent="0.2">
      <c r="A1974" s="1" t="s">
        <v>95</v>
      </c>
      <c r="B1974" s="19">
        <v>46099.017083333332</v>
      </c>
      <c r="C1974" s="19">
        <v>46099.032638888886</v>
      </c>
      <c r="D1974" s="20">
        <v>46099</v>
      </c>
      <c r="E1974" s="21">
        <v>3.2638888886140194E-2</v>
      </c>
      <c r="F1974" s="1" t="s">
        <v>2228</v>
      </c>
      <c r="G1974" s="1" t="s">
        <v>21</v>
      </c>
      <c r="H1974" s="1" t="s">
        <v>189</v>
      </c>
      <c r="I1974" s="1" t="s">
        <v>166</v>
      </c>
      <c r="J1974" s="12">
        <v>0.83</v>
      </c>
      <c r="K1974" s="12"/>
      <c r="L1974" s="12"/>
      <c r="M1974" s="12"/>
      <c r="N1974" s="12"/>
      <c r="O1974" s="12"/>
      <c r="P1974" s="12"/>
      <c r="Q1974" s="12"/>
      <c r="R1974" s="12"/>
      <c r="S1974" s="12"/>
    </row>
    <row r="1975" spans="1:19" ht="14.25" customHeight="1" x14ac:dyDescent="0.2">
      <c r="A1975" s="1" t="s">
        <v>33</v>
      </c>
      <c r="B1975" s="7">
        <v>46099.00712962963</v>
      </c>
      <c r="C1975" s="7">
        <v>46099.036666666667</v>
      </c>
      <c r="D1975" s="8">
        <v>46099</v>
      </c>
      <c r="E1975" s="9">
        <v>3.6666666666860692E-2</v>
      </c>
      <c r="F1975" s="10" t="s">
        <v>2229</v>
      </c>
      <c r="G1975" s="10" t="s">
        <v>26</v>
      </c>
      <c r="H1975" s="10" t="s">
        <v>205</v>
      </c>
      <c r="I1975" s="10" t="s">
        <v>23</v>
      </c>
      <c r="J1975" s="11">
        <v>0.57999999999999996</v>
      </c>
      <c r="K1975" s="12"/>
      <c r="L1975" s="12"/>
      <c r="M1975" s="12"/>
      <c r="N1975" s="12"/>
      <c r="O1975" s="12"/>
      <c r="P1975" s="12"/>
      <c r="Q1975" s="12"/>
      <c r="R1975" s="12"/>
      <c r="S1975" s="12"/>
    </row>
    <row r="1976" spans="1:19" ht="14.25" customHeight="1" x14ac:dyDescent="0.2">
      <c r="A1976" s="1" t="s">
        <v>42</v>
      </c>
      <c r="B1976" s="7">
        <v>46099.005196759259</v>
      </c>
      <c r="C1976" s="7">
        <v>46099.043576388889</v>
      </c>
      <c r="D1976" s="8">
        <v>46099</v>
      </c>
      <c r="E1976" s="9">
        <v>4.3576388889050577E-2</v>
      </c>
      <c r="F1976" s="10" t="s">
        <v>2230</v>
      </c>
      <c r="G1976" s="10" t="s">
        <v>21</v>
      </c>
      <c r="H1976" s="10" t="s">
        <v>227</v>
      </c>
      <c r="I1976" s="10" t="s">
        <v>23</v>
      </c>
      <c r="J1976" s="11">
        <v>0.83</v>
      </c>
      <c r="K1976" s="12"/>
      <c r="L1976" s="12">
        <f>SUM(J1976:J1992)</f>
        <v>19.069999999999997</v>
      </c>
      <c r="M1976" s="13">
        <f>L1976*65</f>
        <v>1239.5499999999997</v>
      </c>
      <c r="N1976" s="14">
        <f>MAX(500,M1976)</f>
        <v>1239.5499999999997</v>
      </c>
      <c r="O1976" s="12"/>
      <c r="P1976" s="12"/>
      <c r="Q1976" s="12"/>
      <c r="R1976" s="12"/>
      <c r="S1976" s="12"/>
    </row>
    <row r="1977" spans="1:19" ht="14.25" customHeight="1" x14ac:dyDescent="0.2">
      <c r="A1977" s="1" t="s">
        <v>95</v>
      </c>
      <c r="B1977" s="7">
        <v>46099.015046296299</v>
      </c>
      <c r="C1977" s="7">
        <v>46099.051400462966</v>
      </c>
      <c r="D1977" s="8">
        <v>46099</v>
      </c>
      <c r="E1977" s="9">
        <v>5.1400462965830229E-2</v>
      </c>
      <c r="F1977" s="10" t="s">
        <v>2231</v>
      </c>
      <c r="G1977" s="10" t="s">
        <v>21</v>
      </c>
      <c r="H1977" s="10" t="s">
        <v>52</v>
      </c>
      <c r="I1977" s="10" t="s">
        <v>23</v>
      </c>
      <c r="J1977" s="11">
        <v>0.98</v>
      </c>
      <c r="K1977" s="12"/>
      <c r="L1977" s="12"/>
      <c r="M1977" s="12"/>
      <c r="N1977" s="12"/>
      <c r="O1977" s="12"/>
      <c r="P1977" s="12"/>
      <c r="Q1977" s="12"/>
      <c r="R1977" s="12"/>
      <c r="S1977" s="12"/>
    </row>
    <row r="1978" spans="1:19" ht="14.25" customHeight="1" x14ac:dyDescent="0.2">
      <c r="A1978" s="1" t="s">
        <v>95</v>
      </c>
      <c r="B1978" s="7">
        <v>46099.014872685184</v>
      </c>
      <c r="C1978" s="7">
        <v>46099.051932870374</v>
      </c>
      <c r="D1978" s="8">
        <v>46099</v>
      </c>
      <c r="E1978" s="9">
        <v>5.193287037400296E-2</v>
      </c>
      <c r="F1978" s="10" t="s">
        <v>2232</v>
      </c>
      <c r="G1978" s="10" t="s">
        <v>21</v>
      </c>
      <c r="H1978" s="10" t="s">
        <v>598</v>
      </c>
      <c r="I1978" s="10" t="s">
        <v>23</v>
      </c>
      <c r="J1978" s="11">
        <v>0.98</v>
      </c>
      <c r="K1978" s="12"/>
      <c r="L1978" s="12"/>
      <c r="M1978" s="12"/>
      <c r="N1978" s="12"/>
      <c r="O1978" s="12"/>
      <c r="P1978" s="12"/>
      <c r="Q1978" s="12"/>
      <c r="R1978" s="12"/>
      <c r="S1978" s="12"/>
    </row>
    <row r="1979" spans="1:19" ht="14.25" customHeight="1" x14ac:dyDescent="0.2">
      <c r="A1979" s="1" t="s">
        <v>57</v>
      </c>
      <c r="B1979" s="7">
        <v>46099.041631944441</v>
      </c>
      <c r="C1979" s="7">
        <v>46099.061157407406</v>
      </c>
      <c r="D1979" s="8">
        <v>46099</v>
      </c>
      <c r="E1979" s="9">
        <v>6.1157407406426501E-2</v>
      </c>
      <c r="F1979" s="10" t="s">
        <v>2233</v>
      </c>
      <c r="G1979" s="10" t="s">
        <v>21</v>
      </c>
      <c r="H1979" s="10" t="s">
        <v>1442</v>
      </c>
      <c r="I1979" s="10" t="s">
        <v>23</v>
      </c>
      <c r="J1979" s="11">
        <v>0.83</v>
      </c>
      <c r="K1979" s="12"/>
      <c r="L1979" s="12"/>
      <c r="M1979" s="12"/>
      <c r="N1979" s="12"/>
      <c r="O1979" s="12"/>
      <c r="P1979" s="12"/>
      <c r="Q1979" s="12"/>
      <c r="R1979" s="12"/>
      <c r="S1979" s="12"/>
    </row>
    <row r="1980" spans="1:19" ht="14.25" customHeight="1" x14ac:dyDescent="0.2">
      <c r="A1980" s="1" t="s">
        <v>57</v>
      </c>
      <c r="B1980" s="7">
        <v>46099.045370370368</v>
      </c>
      <c r="C1980" s="7">
        <v>46099.062951388885</v>
      </c>
      <c r="D1980" s="8">
        <v>46099</v>
      </c>
      <c r="E1980" s="9">
        <v>6.2951388885267079E-2</v>
      </c>
      <c r="F1980" s="10" t="s">
        <v>2234</v>
      </c>
      <c r="G1980" s="10" t="s">
        <v>21</v>
      </c>
      <c r="H1980" s="10" t="s">
        <v>1446</v>
      </c>
      <c r="I1980" s="10" t="s">
        <v>23</v>
      </c>
      <c r="J1980" s="11">
        <v>1.71</v>
      </c>
      <c r="K1980" s="12"/>
      <c r="L1980" s="12"/>
      <c r="M1980" s="12"/>
      <c r="N1980" s="12"/>
      <c r="O1980" s="12"/>
      <c r="P1980" s="12"/>
      <c r="Q1980" s="12"/>
      <c r="R1980" s="12"/>
      <c r="S1980" s="12"/>
    </row>
    <row r="1981" spans="1:19" ht="14.25" customHeight="1" x14ac:dyDescent="0.2">
      <c r="A1981" s="1" t="s">
        <v>57</v>
      </c>
      <c r="B1981" s="7">
        <v>46099.048657407409</v>
      </c>
      <c r="C1981" s="7">
        <v>46099.063773148147</v>
      </c>
      <c r="D1981" s="8">
        <v>46099</v>
      </c>
      <c r="E1981" s="9">
        <v>6.37731481474475E-2</v>
      </c>
      <c r="F1981" s="10" t="s">
        <v>2235</v>
      </c>
      <c r="G1981" s="10" t="s">
        <v>21</v>
      </c>
      <c r="H1981" s="10" t="s">
        <v>1444</v>
      </c>
      <c r="I1981" s="10" t="s">
        <v>23</v>
      </c>
      <c r="J1981" s="11">
        <v>1.71</v>
      </c>
      <c r="K1981" s="12"/>
      <c r="L1981" s="12"/>
      <c r="M1981" s="12"/>
      <c r="N1981" s="12"/>
      <c r="O1981" s="12"/>
      <c r="P1981" s="12"/>
      <c r="Q1981" s="12"/>
      <c r="R1981" s="12"/>
      <c r="S1981" s="12"/>
    </row>
    <row r="1982" spans="1:19" ht="14.25" customHeight="1" x14ac:dyDescent="0.2">
      <c r="A1982" s="1" t="s">
        <v>19</v>
      </c>
      <c r="B1982" s="19">
        <v>46098.927048611113</v>
      </c>
      <c r="C1982" s="19">
        <v>46099.064849537041</v>
      </c>
      <c r="D1982" s="20">
        <v>46099</v>
      </c>
      <c r="E1982" s="21">
        <v>6.4849537040572613E-2</v>
      </c>
      <c r="F1982" s="1" t="s">
        <v>2236</v>
      </c>
      <c r="G1982" s="1" t="s">
        <v>44</v>
      </c>
      <c r="H1982" s="1" t="s">
        <v>2237</v>
      </c>
      <c r="I1982" s="1" t="s">
        <v>166</v>
      </c>
      <c r="J1982" s="12">
        <v>0.2</v>
      </c>
      <c r="K1982" s="12"/>
      <c r="L1982" s="12"/>
      <c r="M1982" s="12"/>
      <c r="N1982" s="12"/>
      <c r="O1982" s="12"/>
      <c r="P1982" s="12"/>
      <c r="Q1982" s="12"/>
      <c r="R1982" s="12"/>
      <c r="S1982" s="12"/>
    </row>
    <row r="1983" spans="1:19" ht="14.25" customHeight="1" x14ac:dyDescent="0.2">
      <c r="A1983" s="1" t="s">
        <v>24</v>
      </c>
      <c r="B1983" s="7">
        <v>46099.032812500001</v>
      </c>
      <c r="C1983" s="7">
        <v>46099.070844907408</v>
      </c>
      <c r="D1983" s="8">
        <v>46099</v>
      </c>
      <c r="E1983" s="9">
        <v>7.084490740817273E-2</v>
      </c>
      <c r="F1983" s="10" t="s">
        <v>2238</v>
      </c>
      <c r="G1983" s="10" t="s">
        <v>21</v>
      </c>
      <c r="H1983" s="10" t="s">
        <v>22</v>
      </c>
      <c r="I1983" s="10" t="s">
        <v>23</v>
      </c>
      <c r="J1983" s="11">
        <v>0.83</v>
      </c>
      <c r="K1983" s="12"/>
      <c r="L1983" s="12"/>
      <c r="M1983" s="12"/>
      <c r="N1983" s="12"/>
      <c r="O1983" s="12"/>
      <c r="P1983" s="12"/>
      <c r="Q1983" s="12"/>
      <c r="R1983" s="12"/>
      <c r="S1983" s="12"/>
    </row>
    <row r="1984" spans="1:19" ht="14.25" customHeight="1" x14ac:dyDescent="0.2">
      <c r="A1984" s="1" t="s">
        <v>24</v>
      </c>
      <c r="B1984" s="7">
        <v>46098.993877314817</v>
      </c>
      <c r="C1984" s="7">
        <v>46099.071192129632</v>
      </c>
      <c r="D1984" s="8">
        <v>46099</v>
      </c>
      <c r="E1984" s="9">
        <v>7.1192129631526768E-2</v>
      </c>
      <c r="F1984" s="10" t="s">
        <v>2239</v>
      </c>
      <c r="G1984" s="10" t="s">
        <v>21</v>
      </c>
      <c r="H1984" s="10" t="s">
        <v>22</v>
      </c>
      <c r="I1984" s="10" t="s">
        <v>23</v>
      </c>
      <c r="J1984" s="11">
        <v>0.83</v>
      </c>
      <c r="K1984" s="12"/>
      <c r="L1984" s="12"/>
      <c r="M1984" s="12"/>
      <c r="N1984" s="12"/>
      <c r="O1984" s="12"/>
      <c r="P1984" s="12"/>
      <c r="Q1984" s="12"/>
      <c r="R1984" s="12"/>
      <c r="S1984" s="12"/>
    </row>
    <row r="1985" spans="1:19" ht="14.25" customHeight="1" x14ac:dyDescent="0.2">
      <c r="A1985" s="1" t="s">
        <v>24</v>
      </c>
      <c r="B1985" s="7">
        <v>46098.993877314817</v>
      </c>
      <c r="C1985" s="7">
        <v>46099.07199074074</v>
      </c>
      <c r="D1985" s="8">
        <v>46099</v>
      </c>
      <c r="E1985" s="9">
        <v>7.1990740740147885E-2</v>
      </c>
      <c r="F1985" s="10" t="s">
        <v>2240</v>
      </c>
      <c r="G1985" s="10" t="s">
        <v>21</v>
      </c>
      <c r="H1985" s="10" t="s">
        <v>142</v>
      </c>
      <c r="I1985" s="10" t="s">
        <v>23</v>
      </c>
      <c r="J1985" s="11">
        <v>0.83</v>
      </c>
      <c r="K1985" s="12"/>
      <c r="L1985" s="12"/>
      <c r="M1985" s="12"/>
      <c r="N1985" s="12"/>
      <c r="O1985" s="12"/>
      <c r="P1985" s="12"/>
      <c r="Q1985" s="12"/>
      <c r="R1985" s="12"/>
      <c r="S1985" s="12"/>
    </row>
    <row r="1986" spans="1:19" ht="14.25" customHeight="1" x14ac:dyDescent="0.2">
      <c r="A1986" s="1" t="s">
        <v>95</v>
      </c>
      <c r="B1986" s="19">
        <v>46099.046643518515</v>
      </c>
      <c r="C1986" s="19">
        <v>46099.072893518518</v>
      </c>
      <c r="D1986" s="20">
        <v>46099</v>
      </c>
      <c r="E1986" s="21">
        <v>7.2893518517958E-2</v>
      </c>
      <c r="F1986" s="1" t="s">
        <v>2241</v>
      </c>
      <c r="G1986" s="1" t="s">
        <v>21</v>
      </c>
      <c r="H1986" s="1" t="s">
        <v>108</v>
      </c>
      <c r="I1986" s="1" t="s">
        <v>166</v>
      </c>
      <c r="J1986" s="12">
        <v>1.7</v>
      </c>
      <c r="K1986" s="12"/>
      <c r="L1986" s="12"/>
      <c r="M1986" s="12"/>
      <c r="N1986" s="12"/>
      <c r="O1986" s="12"/>
      <c r="P1986" s="12"/>
      <c r="Q1986" s="12"/>
      <c r="R1986" s="12"/>
      <c r="S1986" s="12"/>
    </row>
    <row r="1987" spans="1:19" ht="14.25" customHeight="1" x14ac:dyDescent="0.2">
      <c r="A1987" s="1" t="s">
        <v>24</v>
      </c>
      <c r="B1987" s="7">
        <v>46099.040613425925</v>
      </c>
      <c r="C1987" s="7">
        <v>46099.072951388887</v>
      </c>
      <c r="D1987" s="8">
        <v>46099</v>
      </c>
      <c r="E1987" s="9">
        <v>7.2951388887304347E-2</v>
      </c>
      <c r="F1987" s="10" t="s">
        <v>2242</v>
      </c>
      <c r="G1987" s="10" t="s">
        <v>21</v>
      </c>
      <c r="H1987" s="10" t="s">
        <v>41</v>
      </c>
      <c r="I1987" s="10" t="s">
        <v>23</v>
      </c>
      <c r="J1987" s="11">
        <v>1.77</v>
      </c>
      <c r="K1987" s="12"/>
      <c r="L1987" s="12"/>
      <c r="M1987" s="12"/>
      <c r="N1987" s="12"/>
      <c r="O1987" s="12"/>
      <c r="P1987" s="12"/>
      <c r="Q1987" s="12"/>
      <c r="R1987" s="12"/>
      <c r="S1987" s="12"/>
    </row>
    <row r="1988" spans="1:19" ht="14.25" customHeight="1" x14ac:dyDescent="0.2">
      <c r="A1988" s="1" t="s">
        <v>24</v>
      </c>
      <c r="B1988" s="7">
        <v>46099.021249999998</v>
      </c>
      <c r="C1988" s="7">
        <v>46099.073692129627</v>
      </c>
      <c r="D1988" s="8">
        <v>46099</v>
      </c>
      <c r="E1988" s="9">
        <v>7.3692129626579117E-2</v>
      </c>
      <c r="F1988" s="10" t="s">
        <v>2243</v>
      </c>
      <c r="G1988" s="10" t="s">
        <v>21</v>
      </c>
      <c r="H1988" s="10" t="s">
        <v>41</v>
      </c>
      <c r="I1988" s="10" t="s">
        <v>23</v>
      </c>
      <c r="J1988" s="11">
        <v>1.77</v>
      </c>
      <c r="K1988" s="12"/>
      <c r="L1988" s="12"/>
      <c r="M1988" s="12"/>
      <c r="N1988" s="12"/>
      <c r="O1988" s="12"/>
      <c r="P1988" s="12"/>
      <c r="Q1988" s="12"/>
      <c r="R1988" s="12"/>
      <c r="S1988" s="12"/>
    </row>
    <row r="1989" spans="1:19" ht="14.25" customHeight="1" x14ac:dyDescent="0.2">
      <c r="A1989" s="1" t="s">
        <v>57</v>
      </c>
      <c r="B1989" s="7">
        <v>46098.963449074072</v>
      </c>
      <c r="C1989" s="7">
        <v>46099.077175925922</v>
      </c>
      <c r="D1989" s="8">
        <v>46099</v>
      </c>
      <c r="E1989" s="9">
        <v>7.7175925922347233E-2</v>
      </c>
      <c r="F1989" s="10" t="s">
        <v>2244</v>
      </c>
      <c r="G1989" s="10" t="s">
        <v>26</v>
      </c>
      <c r="H1989" s="10" t="s">
        <v>2245</v>
      </c>
      <c r="I1989" s="10" t="s">
        <v>23</v>
      </c>
      <c r="J1989" s="11">
        <v>0.67</v>
      </c>
      <c r="K1989" s="12"/>
      <c r="L1989" s="12"/>
      <c r="M1989" s="12"/>
      <c r="N1989" s="12"/>
      <c r="O1989" s="12"/>
      <c r="P1989" s="12"/>
      <c r="Q1989" s="12"/>
      <c r="R1989" s="12"/>
      <c r="S1989" s="12"/>
    </row>
    <row r="1990" spans="1:19" ht="14.25" customHeight="1" x14ac:dyDescent="0.2">
      <c r="A1990" s="1" t="s">
        <v>24</v>
      </c>
      <c r="B1990" s="19">
        <v>46099.049525462964</v>
      </c>
      <c r="C1990" s="19">
        <v>46099.078020833331</v>
      </c>
      <c r="D1990" s="20">
        <v>46099</v>
      </c>
      <c r="E1990" s="21">
        <v>7.8020833330811001E-2</v>
      </c>
      <c r="F1990" s="1" t="s">
        <v>2246</v>
      </c>
      <c r="G1990" s="1" t="s">
        <v>21</v>
      </c>
      <c r="H1990" s="1" t="s">
        <v>41</v>
      </c>
      <c r="I1990" s="1" t="s">
        <v>166</v>
      </c>
      <c r="J1990" s="12">
        <v>1.77</v>
      </c>
      <c r="K1990" s="12"/>
      <c r="L1990" s="12"/>
      <c r="M1990" s="12"/>
      <c r="N1990" s="12"/>
      <c r="O1990" s="12"/>
      <c r="P1990" s="12"/>
      <c r="Q1990" s="12"/>
      <c r="R1990" s="12"/>
      <c r="S1990" s="12"/>
    </row>
    <row r="1991" spans="1:19" ht="14.25" customHeight="1" x14ac:dyDescent="0.2">
      <c r="A1991" s="1" t="s">
        <v>19</v>
      </c>
      <c r="B1991" s="7">
        <v>46099.030023148145</v>
      </c>
      <c r="C1991" s="7">
        <v>46099.082557870373</v>
      </c>
      <c r="D1991" s="8">
        <v>46099</v>
      </c>
      <c r="E1991" s="9">
        <v>8.2557870373420883E-2</v>
      </c>
      <c r="F1991" s="10" t="s">
        <v>2247</v>
      </c>
      <c r="G1991" s="10" t="s">
        <v>21</v>
      </c>
      <c r="H1991" s="10" t="s">
        <v>22</v>
      </c>
      <c r="I1991" s="10" t="s">
        <v>23</v>
      </c>
      <c r="J1991" s="11">
        <v>0.83</v>
      </c>
      <c r="K1991" s="12"/>
      <c r="L1991" s="12"/>
      <c r="M1991" s="12"/>
      <c r="N1991" s="12"/>
      <c r="O1991" s="12"/>
      <c r="P1991" s="12"/>
      <c r="Q1991" s="12"/>
      <c r="R1991" s="12"/>
      <c r="S1991" s="12"/>
    </row>
    <row r="1992" spans="1:19" ht="14.25" customHeight="1" x14ac:dyDescent="0.2">
      <c r="A1992" s="1" t="s">
        <v>19</v>
      </c>
      <c r="B1992" s="7">
        <v>46099.030023148145</v>
      </c>
      <c r="C1992" s="7">
        <v>46099.083113425928</v>
      </c>
      <c r="D1992" s="8">
        <v>46099</v>
      </c>
      <c r="E1992" s="9">
        <v>8.311342592787696E-2</v>
      </c>
      <c r="F1992" s="10" t="s">
        <v>2248</v>
      </c>
      <c r="G1992" s="10" t="s">
        <v>21</v>
      </c>
      <c r="H1992" s="10" t="s">
        <v>1116</v>
      </c>
      <c r="I1992" s="10" t="s">
        <v>23</v>
      </c>
      <c r="J1992" s="11">
        <v>0.83</v>
      </c>
      <c r="K1992" s="12"/>
      <c r="L1992" s="12"/>
      <c r="M1992" s="12"/>
      <c r="N1992" s="12"/>
      <c r="O1992" s="12"/>
      <c r="P1992" s="12"/>
      <c r="Q1992" s="12"/>
      <c r="R1992" s="12"/>
      <c r="S1992" s="12"/>
    </row>
    <row r="1993" spans="1:19" ht="14.25" customHeight="1" x14ac:dyDescent="0.2">
      <c r="A1993" s="1" t="s">
        <v>19</v>
      </c>
      <c r="B1993" s="19">
        <v>46099.000185185185</v>
      </c>
      <c r="C1993" s="19">
        <v>46099.084907407407</v>
      </c>
      <c r="D1993" s="20">
        <v>46099</v>
      </c>
      <c r="E1993" s="21">
        <v>8.4907407406717539E-2</v>
      </c>
      <c r="F1993" s="1" t="s">
        <v>2249</v>
      </c>
      <c r="G1993" s="1" t="s">
        <v>21</v>
      </c>
      <c r="H1993" s="1" t="s">
        <v>175</v>
      </c>
      <c r="I1993" s="1" t="s">
        <v>166</v>
      </c>
      <c r="J1993" s="12">
        <v>0.98</v>
      </c>
      <c r="K1993" s="12"/>
      <c r="L1993" s="12">
        <f>SUM(J1993:J2004)</f>
        <v>14.239999999999998</v>
      </c>
      <c r="M1993" s="13">
        <f>L1993*65</f>
        <v>925.59999999999991</v>
      </c>
      <c r="N1993" s="14">
        <f>MAX(500,M1993)</f>
        <v>925.59999999999991</v>
      </c>
      <c r="O1993" s="12"/>
      <c r="P1993" s="12"/>
      <c r="Q1993" s="12"/>
      <c r="R1993" s="12"/>
      <c r="S1993" s="12"/>
    </row>
    <row r="1994" spans="1:19" ht="14.25" customHeight="1" x14ac:dyDescent="0.2">
      <c r="A1994" s="1" t="s">
        <v>19</v>
      </c>
      <c r="B1994" s="7">
        <v>46099.047708333332</v>
      </c>
      <c r="C1994" s="7">
        <v>46099.088125000002</v>
      </c>
      <c r="D1994" s="8">
        <v>46099</v>
      </c>
      <c r="E1994" s="9">
        <v>8.8125000002037268E-2</v>
      </c>
      <c r="F1994" s="10" t="s">
        <v>2250</v>
      </c>
      <c r="G1994" s="10" t="s">
        <v>21</v>
      </c>
      <c r="H1994" s="10" t="s">
        <v>454</v>
      </c>
      <c r="I1994" s="10" t="s">
        <v>23</v>
      </c>
      <c r="J1994" s="11">
        <v>1.77</v>
      </c>
      <c r="K1994" s="12"/>
      <c r="L1994" s="12"/>
      <c r="M1994" s="12"/>
      <c r="N1994" s="12"/>
      <c r="O1994" s="12"/>
      <c r="P1994" s="12"/>
      <c r="Q1994" s="12"/>
      <c r="R1994" s="12"/>
      <c r="S1994" s="12"/>
    </row>
    <row r="1995" spans="1:19" ht="14.25" customHeight="1" x14ac:dyDescent="0.2">
      <c r="A1995" s="1" t="s">
        <v>95</v>
      </c>
      <c r="B1995" s="7">
        <v>46099.069594907407</v>
      </c>
      <c r="C1995" s="7">
        <v>46099.088865740741</v>
      </c>
      <c r="D1995" s="8">
        <v>46099</v>
      </c>
      <c r="E1995" s="9">
        <v>8.8865740741312038E-2</v>
      </c>
      <c r="F1995" s="10" t="s">
        <v>2251</v>
      </c>
      <c r="G1995" s="10" t="s">
        <v>44</v>
      </c>
      <c r="H1995" s="10" t="s">
        <v>45</v>
      </c>
      <c r="I1995" s="10" t="s">
        <v>23</v>
      </c>
      <c r="J1995" s="11">
        <v>0.18</v>
      </c>
      <c r="K1995" s="12"/>
      <c r="L1995" s="12"/>
      <c r="M1995" s="12"/>
      <c r="N1995" s="12"/>
      <c r="O1995" s="12"/>
      <c r="P1995" s="12"/>
      <c r="Q1995" s="12"/>
      <c r="R1995" s="12"/>
      <c r="S1995" s="12"/>
    </row>
    <row r="1996" spans="1:19" ht="14.25" customHeight="1" x14ac:dyDescent="0.2">
      <c r="A1996" s="1" t="s">
        <v>42</v>
      </c>
      <c r="B1996" s="7">
        <v>46099.064606481479</v>
      </c>
      <c r="C1996" s="7">
        <v>46099.094363425924</v>
      </c>
      <c r="D1996" s="8">
        <v>46099</v>
      </c>
      <c r="E1996" s="9">
        <v>9.4363425923802424E-2</v>
      </c>
      <c r="F1996" s="10" t="s">
        <v>2252</v>
      </c>
      <c r="G1996" s="10" t="s">
        <v>26</v>
      </c>
      <c r="H1996" s="10" t="s">
        <v>157</v>
      </c>
      <c r="I1996" s="10" t="s">
        <v>23</v>
      </c>
      <c r="J1996" s="11">
        <v>0.73</v>
      </c>
      <c r="K1996" s="12"/>
      <c r="L1996" s="12"/>
      <c r="M1996" s="12"/>
      <c r="N1996" s="12"/>
      <c r="O1996" s="12"/>
      <c r="P1996" s="12"/>
      <c r="Q1996" s="12"/>
      <c r="R1996" s="12"/>
      <c r="S1996" s="12"/>
    </row>
    <row r="1997" spans="1:19" ht="14.25" customHeight="1" x14ac:dyDescent="0.2">
      <c r="A1997" s="1" t="s">
        <v>95</v>
      </c>
      <c r="B1997" s="19">
        <v>46099.029965277776</v>
      </c>
      <c r="C1997" s="19">
        <v>46099.099699074075</v>
      </c>
      <c r="D1997" s="20">
        <v>46099</v>
      </c>
      <c r="E1997" s="21">
        <v>9.9699074075033423E-2</v>
      </c>
      <c r="F1997" s="1" t="s">
        <v>2253</v>
      </c>
      <c r="G1997" s="1" t="s">
        <v>180</v>
      </c>
      <c r="H1997" s="1" t="s">
        <v>1182</v>
      </c>
      <c r="I1997" s="1" t="s">
        <v>166</v>
      </c>
      <c r="J1997" s="12">
        <v>1.44</v>
      </c>
      <c r="K1997" s="12"/>
      <c r="L1997" s="12"/>
      <c r="M1997" s="12"/>
      <c r="N1997" s="12"/>
      <c r="O1997" s="12"/>
      <c r="P1997" s="12"/>
      <c r="Q1997" s="12"/>
      <c r="R1997" s="12"/>
      <c r="S1997" s="12"/>
    </row>
    <row r="1998" spans="1:19" ht="14.25" customHeight="1" x14ac:dyDescent="0.2">
      <c r="A1998" s="1" t="s">
        <v>95</v>
      </c>
      <c r="B1998" s="7">
        <v>46099.029965277776</v>
      </c>
      <c r="C1998" s="7">
        <v>46099.101631944446</v>
      </c>
      <c r="D1998" s="8">
        <v>46099</v>
      </c>
      <c r="E1998" s="9">
        <v>0.101631944446126</v>
      </c>
      <c r="F1998" s="10" t="s">
        <v>2254</v>
      </c>
      <c r="G1998" s="10" t="s">
        <v>180</v>
      </c>
      <c r="H1998" s="10" t="s">
        <v>506</v>
      </c>
      <c r="I1998" s="10" t="s">
        <v>23</v>
      </c>
      <c r="J1998" s="11">
        <v>1.44</v>
      </c>
      <c r="K1998" s="12"/>
      <c r="L1998" s="12"/>
      <c r="M1998" s="12"/>
      <c r="N1998" s="12"/>
      <c r="O1998" s="12"/>
      <c r="P1998" s="12"/>
      <c r="Q1998" s="12"/>
      <c r="R1998" s="12"/>
      <c r="S1998" s="12"/>
    </row>
    <row r="1999" spans="1:19" ht="14.25" customHeight="1" x14ac:dyDescent="0.2">
      <c r="A1999" s="1" t="s">
        <v>95</v>
      </c>
      <c r="B1999" s="7">
        <v>46099.029965277776</v>
      </c>
      <c r="C1999" s="7">
        <v>46099.102754629632</v>
      </c>
      <c r="D1999" s="8">
        <v>46099</v>
      </c>
      <c r="E1999" s="9">
        <v>0.10275462963181781</v>
      </c>
      <c r="F1999" s="10" t="s">
        <v>2255</v>
      </c>
      <c r="G1999" s="10" t="s">
        <v>180</v>
      </c>
      <c r="H1999" s="10" t="s">
        <v>1016</v>
      </c>
      <c r="I1999" s="10" t="s">
        <v>23</v>
      </c>
      <c r="J1999" s="11">
        <v>1.44</v>
      </c>
      <c r="K1999" s="12"/>
      <c r="L1999" s="12"/>
      <c r="M1999" s="12"/>
      <c r="N1999" s="12"/>
      <c r="O1999" s="12"/>
      <c r="P1999" s="12"/>
      <c r="Q1999" s="12"/>
      <c r="R1999" s="12"/>
      <c r="S1999" s="12"/>
    </row>
    <row r="2000" spans="1:19" ht="14.25" customHeight="1" x14ac:dyDescent="0.2">
      <c r="A2000" s="1" t="s">
        <v>19</v>
      </c>
      <c r="B2000" s="7">
        <v>46099.093032407407</v>
      </c>
      <c r="C2000" s="7">
        <v>46099.103460648148</v>
      </c>
      <c r="D2000" s="8">
        <v>46099</v>
      </c>
      <c r="E2000" s="9">
        <v>0.10346064814802958</v>
      </c>
      <c r="F2000" s="10" t="s">
        <v>2256</v>
      </c>
      <c r="G2000" s="10" t="s">
        <v>21</v>
      </c>
      <c r="H2000" s="10" t="s">
        <v>101</v>
      </c>
      <c r="I2000" s="10" t="s">
        <v>23</v>
      </c>
      <c r="J2000" s="11">
        <v>1.7</v>
      </c>
      <c r="K2000" s="12"/>
      <c r="L2000" s="12"/>
      <c r="M2000" s="12"/>
      <c r="N2000" s="12"/>
      <c r="O2000" s="12"/>
      <c r="P2000" s="12"/>
      <c r="Q2000" s="12"/>
      <c r="R2000" s="12"/>
      <c r="S2000" s="12"/>
    </row>
    <row r="2001" spans="1:19" ht="14.25" customHeight="1" x14ac:dyDescent="0.2">
      <c r="A2001" s="1" t="s">
        <v>95</v>
      </c>
      <c r="B2001" s="19">
        <v>46099.082106481481</v>
      </c>
      <c r="C2001" s="19">
        <v>46099.10628472222</v>
      </c>
      <c r="D2001" s="20">
        <v>46099</v>
      </c>
      <c r="E2001" s="21">
        <v>0.10628472222015262</v>
      </c>
      <c r="F2001" s="1" t="s">
        <v>2257</v>
      </c>
      <c r="G2001" s="1" t="s">
        <v>21</v>
      </c>
      <c r="H2001" s="1" t="s">
        <v>108</v>
      </c>
      <c r="I2001" s="1" t="s">
        <v>166</v>
      </c>
      <c r="J2001" s="12">
        <v>1.7</v>
      </c>
      <c r="K2001" s="12"/>
      <c r="L2001" s="12"/>
      <c r="M2001" s="12"/>
      <c r="N2001" s="12"/>
      <c r="O2001" s="12"/>
      <c r="P2001" s="12"/>
      <c r="Q2001" s="12"/>
      <c r="R2001" s="12"/>
      <c r="S2001" s="12"/>
    </row>
    <row r="2002" spans="1:19" ht="14.25" customHeight="1" x14ac:dyDescent="0.2">
      <c r="A2002" s="1" t="s">
        <v>33</v>
      </c>
      <c r="B2002" s="7">
        <v>46099.087152777778</v>
      </c>
      <c r="C2002" s="7">
        <v>46099.113518518519</v>
      </c>
      <c r="D2002" s="8">
        <v>46099</v>
      </c>
      <c r="E2002" s="9">
        <v>0.11351851851941319</v>
      </c>
      <c r="F2002" s="10" t="s">
        <v>2258</v>
      </c>
      <c r="G2002" s="10" t="s">
        <v>26</v>
      </c>
      <c r="H2002" s="10" t="s">
        <v>37</v>
      </c>
      <c r="I2002" s="10" t="s">
        <v>23</v>
      </c>
      <c r="J2002" s="11">
        <v>0.88</v>
      </c>
      <c r="K2002" s="12"/>
      <c r="L2002" s="12"/>
      <c r="M2002" s="12"/>
      <c r="N2002" s="12"/>
      <c r="O2002" s="12"/>
      <c r="P2002" s="12"/>
      <c r="Q2002" s="12"/>
      <c r="R2002" s="12"/>
      <c r="S2002" s="12"/>
    </row>
    <row r="2003" spans="1:19" ht="14.25" customHeight="1" x14ac:dyDescent="0.2">
      <c r="A2003" s="1" t="s">
        <v>230</v>
      </c>
      <c r="B2003" s="19">
        <v>46099.104189814818</v>
      </c>
      <c r="C2003" s="19">
        <v>46099.11440972222</v>
      </c>
      <c r="D2003" s="20">
        <v>46099</v>
      </c>
      <c r="E2003" s="21">
        <v>0.11440972222044365</v>
      </c>
      <c r="F2003" s="1" t="s">
        <v>2259</v>
      </c>
      <c r="G2003" s="1" t="s">
        <v>21</v>
      </c>
      <c r="H2003" s="1" t="s">
        <v>2260</v>
      </c>
      <c r="I2003" s="1" t="s">
        <v>166</v>
      </c>
      <c r="J2003" s="12">
        <v>1.25</v>
      </c>
      <c r="K2003" s="12"/>
      <c r="L2003" s="12"/>
      <c r="M2003" s="12"/>
      <c r="N2003" s="12"/>
      <c r="O2003" s="12"/>
      <c r="P2003" s="12"/>
      <c r="Q2003" s="12"/>
      <c r="R2003" s="12"/>
      <c r="S2003" s="12"/>
    </row>
    <row r="2004" spans="1:19" ht="14.25" customHeight="1" x14ac:dyDescent="0.2">
      <c r="A2004" s="1" t="s">
        <v>42</v>
      </c>
      <c r="B2004" s="7">
        <v>46099.088101851848</v>
      </c>
      <c r="C2004" s="7">
        <v>46099.114490740743</v>
      </c>
      <c r="D2004" s="8">
        <v>46099</v>
      </c>
      <c r="E2004" s="9">
        <v>0.11449074074334931</v>
      </c>
      <c r="F2004" s="10" t="s">
        <v>2261</v>
      </c>
      <c r="G2004" s="10" t="s">
        <v>26</v>
      </c>
      <c r="H2004" s="10" t="s">
        <v>157</v>
      </c>
      <c r="I2004" s="10" t="s">
        <v>23</v>
      </c>
      <c r="J2004" s="11">
        <v>0.73</v>
      </c>
      <c r="K2004" s="12"/>
      <c r="L2004" s="12"/>
      <c r="M2004" s="12"/>
      <c r="N2004" s="12"/>
      <c r="O2004" s="12"/>
      <c r="P2004" s="12"/>
      <c r="Q2004" s="12"/>
      <c r="R2004" s="12"/>
      <c r="S2004" s="12"/>
    </row>
    <row r="2005" spans="1:19" ht="14.25" customHeight="1" x14ac:dyDescent="0.2">
      <c r="A2005" s="1" t="s">
        <v>24</v>
      </c>
      <c r="B2005" s="7">
        <v>46099.124409722222</v>
      </c>
      <c r="C2005" s="7">
        <v>46099.138148148151</v>
      </c>
      <c r="D2005" s="8">
        <v>46099</v>
      </c>
      <c r="E2005" s="9">
        <v>0.138148148151231</v>
      </c>
      <c r="F2005" s="10" t="s">
        <v>2262</v>
      </c>
      <c r="G2005" s="10" t="s">
        <v>21</v>
      </c>
      <c r="H2005" s="10" t="s">
        <v>216</v>
      </c>
      <c r="I2005" s="10" t="s">
        <v>23</v>
      </c>
      <c r="J2005" s="11">
        <v>0.98</v>
      </c>
      <c r="K2005" s="12">
        <f>SUM(J2005:J2020)</f>
        <v>21.159999999999997</v>
      </c>
      <c r="L2005" s="12">
        <f>SUM(J2005:J2011)</f>
        <v>10.659999999999998</v>
      </c>
      <c r="M2005" s="13">
        <f>L2005*65</f>
        <v>692.89999999999986</v>
      </c>
      <c r="N2005" s="14">
        <f>MAX(500,M2005)</f>
        <v>692.89999999999986</v>
      </c>
      <c r="O2005" s="12"/>
      <c r="P2005" s="12"/>
      <c r="Q2005" s="12"/>
      <c r="R2005" s="12"/>
      <c r="S2005" s="12"/>
    </row>
    <row r="2006" spans="1:19" ht="14.25" customHeight="1" x14ac:dyDescent="0.2">
      <c r="A2006" s="1" t="s">
        <v>95</v>
      </c>
      <c r="B2006" s="7">
        <v>46099.127349537041</v>
      </c>
      <c r="C2006" s="7">
        <v>46099.13857638889</v>
      </c>
      <c r="D2006" s="8">
        <v>46099</v>
      </c>
      <c r="E2006" s="9">
        <v>0.13857638889021473</v>
      </c>
      <c r="F2006" s="10" t="s">
        <v>2263</v>
      </c>
      <c r="G2006" s="10" t="s">
        <v>21</v>
      </c>
      <c r="H2006" s="10" t="s">
        <v>97</v>
      </c>
      <c r="I2006" s="10" t="s">
        <v>23</v>
      </c>
      <c r="J2006" s="11">
        <v>1.77</v>
      </c>
      <c r="K2006" s="12"/>
      <c r="L2006" s="12"/>
      <c r="M2006" s="12"/>
      <c r="N2006" s="12"/>
      <c r="O2006" s="12"/>
      <c r="P2006" s="12"/>
      <c r="Q2006" s="12"/>
      <c r="R2006" s="12"/>
      <c r="S2006" s="12"/>
    </row>
    <row r="2007" spans="1:19" ht="14.25" customHeight="1" x14ac:dyDescent="0.2">
      <c r="A2007" s="1" t="s">
        <v>95</v>
      </c>
      <c r="B2007" s="7">
        <v>46099.121608796297</v>
      </c>
      <c r="C2007" s="7">
        <v>46099.138981481483</v>
      </c>
      <c r="D2007" s="8">
        <v>46099</v>
      </c>
      <c r="E2007" s="9">
        <v>0.13898148148291511</v>
      </c>
      <c r="F2007" s="10" t="s">
        <v>2264</v>
      </c>
      <c r="G2007" s="10" t="s">
        <v>21</v>
      </c>
      <c r="H2007" s="10" t="s">
        <v>97</v>
      </c>
      <c r="I2007" s="10" t="s">
        <v>23</v>
      </c>
      <c r="J2007" s="11">
        <v>1.77</v>
      </c>
      <c r="K2007" s="12"/>
      <c r="L2007" s="12"/>
      <c r="M2007" s="12"/>
      <c r="N2007" s="12"/>
      <c r="O2007" s="12"/>
      <c r="P2007" s="12"/>
      <c r="Q2007" s="12"/>
      <c r="R2007" s="12"/>
      <c r="S2007" s="12"/>
    </row>
    <row r="2008" spans="1:19" ht="14.25" customHeight="1" x14ac:dyDescent="0.2">
      <c r="A2008" s="1" t="s">
        <v>19</v>
      </c>
      <c r="B2008" s="7">
        <v>46099.134270833332</v>
      </c>
      <c r="C2008" s="7">
        <v>46099.148541666669</v>
      </c>
      <c r="D2008" s="8">
        <v>46099</v>
      </c>
      <c r="E2008" s="9">
        <v>0.148541666669189</v>
      </c>
      <c r="F2008" s="10" t="s">
        <v>2265</v>
      </c>
      <c r="G2008" s="10" t="s">
        <v>21</v>
      </c>
      <c r="H2008" s="10" t="s">
        <v>22</v>
      </c>
      <c r="I2008" s="10" t="s">
        <v>23</v>
      </c>
      <c r="J2008" s="11">
        <v>0.83</v>
      </c>
      <c r="K2008" s="12"/>
      <c r="L2008" s="12"/>
      <c r="M2008" s="12"/>
      <c r="N2008" s="12"/>
      <c r="O2008" s="12"/>
      <c r="P2008" s="12"/>
      <c r="Q2008" s="12"/>
      <c r="R2008" s="12"/>
      <c r="S2008" s="12"/>
    </row>
    <row r="2009" spans="1:19" ht="14.25" customHeight="1" x14ac:dyDescent="0.2">
      <c r="A2009" s="1" t="s">
        <v>95</v>
      </c>
      <c r="B2009" s="7">
        <v>46099.138391203705</v>
      </c>
      <c r="C2009" s="7">
        <v>46099.150185185186</v>
      </c>
      <c r="D2009" s="8">
        <v>46099</v>
      </c>
      <c r="E2009" s="9">
        <v>0.15018518518627388</v>
      </c>
      <c r="F2009" s="10" t="s">
        <v>2266</v>
      </c>
      <c r="G2009" s="10" t="s">
        <v>21</v>
      </c>
      <c r="H2009" s="10" t="s">
        <v>97</v>
      </c>
      <c r="I2009" s="10" t="s">
        <v>23</v>
      </c>
      <c r="J2009" s="11">
        <v>1.77</v>
      </c>
      <c r="K2009" s="12"/>
      <c r="L2009" s="12"/>
      <c r="M2009" s="12"/>
      <c r="N2009" s="12"/>
      <c r="O2009" s="12"/>
      <c r="P2009" s="12"/>
      <c r="Q2009" s="12"/>
      <c r="R2009" s="12"/>
      <c r="S2009" s="12"/>
    </row>
    <row r="2010" spans="1:19" ht="14.25" customHeight="1" x14ac:dyDescent="0.2">
      <c r="A2010" s="1" t="s">
        <v>95</v>
      </c>
      <c r="B2010" s="7">
        <v>46099.151631944442</v>
      </c>
      <c r="C2010" s="7">
        <v>46099.16202546296</v>
      </c>
      <c r="D2010" s="8">
        <v>46099</v>
      </c>
      <c r="E2010" s="9">
        <v>0.16202546295971842</v>
      </c>
      <c r="F2010" s="10" t="s">
        <v>2267</v>
      </c>
      <c r="G2010" s="10" t="s">
        <v>21</v>
      </c>
      <c r="H2010" s="10" t="s">
        <v>97</v>
      </c>
      <c r="I2010" s="10" t="s">
        <v>23</v>
      </c>
      <c r="J2010" s="11">
        <v>1.77</v>
      </c>
      <c r="K2010" s="12"/>
      <c r="L2010" s="12"/>
      <c r="M2010" s="12"/>
      <c r="N2010" s="12"/>
      <c r="O2010" s="12"/>
      <c r="P2010" s="12"/>
      <c r="Q2010" s="12"/>
      <c r="R2010" s="12"/>
      <c r="S2010" s="12"/>
    </row>
    <row r="2011" spans="1:19" ht="14.25" customHeight="1" x14ac:dyDescent="0.2">
      <c r="A2011" s="1" t="s">
        <v>112</v>
      </c>
      <c r="B2011" s="7">
        <v>46099.136493055557</v>
      </c>
      <c r="C2011" s="7">
        <v>46099.164629629631</v>
      </c>
      <c r="D2011" s="8">
        <v>46099</v>
      </c>
      <c r="E2011" s="9">
        <v>0.16462962963123573</v>
      </c>
      <c r="F2011" s="10" t="s">
        <v>2268</v>
      </c>
      <c r="G2011" s="10" t="s">
        <v>21</v>
      </c>
      <c r="H2011" s="10" t="s">
        <v>2269</v>
      </c>
      <c r="I2011" s="10" t="s">
        <v>23</v>
      </c>
      <c r="J2011" s="11">
        <v>1.77</v>
      </c>
      <c r="K2011" s="12"/>
      <c r="L2011" s="12"/>
      <c r="M2011" s="12"/>
      <c r="N2011" s="12"/>
      <c r="O2011" s="12"/>
      <c r="P2011" s="12"/>
      <c r="Q2011" s="12"/>
      <c r="R2011" s="12"/>
      <c r="S2011" s="12"/>
    </row>
    <row r="2012" spans="1:19" ht="14.25" customHeight="1" x14ac:dyDescent="0.2">
      <c r="A2012" s="1" t="s">
        <v>112</v>
      </c>
      <c r="B2012" s="7">
        <v>46099.136493055557</v>
      </c>
      <c r="C2012" s="7">
        <v>46099.166828703703</v>
      </c>
      <c r="D2012" s="8">
        <v>46099</v>
      </c>
      <c r="E2012" s="9">
        <v>0.16682870370277669</v>
      </c>
      <c r="F2012" s="10" t="s">
        <v>2270</v>
      </c>
      <c r="G2012" s="10" t="s">
        <v>21</v>
      </c>
      <c r="H2012" s="10" t="s">
        <v>2271</v>
      </c>
      <c r="I2012" s="10" t="s">
        <v>23</v>
      </c>
      <c r="J2012" s="11">
        <v>1.1299999999999999</v>
      </c>
      <c r="K2012" s="12"/>
      <c r="L2012" s="12">
        <f>SUM(J2012:J2016)</f>
        <v>5.6400000000000006</v>
      </c>
      <c r="M2012" s="13">
        <f>L2012*65</f>
        <v>366.6</v>
      </c>
      <c r="N2012" s="14">
        <f>MAX(500,M2012)</f>
        <v>500</v>
      </c>
      <c r="O2012" s="12"/>
      <c r="P2012" s="12"/>
      <c r="Q2012" s="12"/>
      <c r="R2012" s="12"/>
      <c r="S2012" s="12"/>
    </row>
    <row r="2013" spans="1:19" ht="14.25" customHeight="1" x14ac:dyDescent="0.2">
      <c r="A2013" s="1" t="s">
        <v>95</v>
      </c>
      <c r="B2013" s="7">
        <v>46099.149837962963</v>
      </c>
      <c r="C2013" s="7">
        <v>46099.171388888892</v>
      </c>
      <c r="D2013" s="8">
        <v>46099</v>
      </c>
      <c r="E2013" s="9">
        <v>0.17138888889166992</v>
      </c>
      <c r="F2013" s="10" t="s">
        <v>2272</v>
      </c>
      <c r="G2013" s="10" t="s">
        <v>21</v>
      </c>
      <c r="H2013" s="10" t="s">
        <v>813</v>
      </c>
      <c r="I2013" s="10" t="s">
        <v>23</v>
      </c>
      <c r="J2013" s="11">
        <v>1.1000000000000001</v>
      </c>
      <c r="K2013" s="12"/>
      <c r="L2013" s="12"/>
      <c r="M2013" s="12"/>
      <c r="N2013" s="12"/>
      <c r="O2013" s="12"/>
      <c r="P2013" s="12"/>
      <c r="Q2013" s="12"/>
      <c r="R2013" s="12"/>
      <c r="S2013" s="12"/>
    </row>
    <row r="2014" spans="1:19" ht="14.25" customHeight="1" x14ac:dyDescent="0.2">
      <c r="A2014" s="1" t="s">
        <v>24</v>
      </c>
      <c r="B2014" s="7">
        <v>46099.182256944441</v>
      </c>
      <c r="C2014" s="7">
        <v>46099.195532407408</v>
      </c>
      <c r="D2014" s="8">
        <v>46099</v>
      </c>
      <c r="E2014" s="9">
        <v>0.19553240740788169</v>
      </c>
      <c r="F2014" s="10" t="s">
        <v>2273</v>
      </c>
      <c r="G2014" s="10" t="s">
        <v>21</v>
      </c>
      <c r="H2014" s="10" t="s">
        <v>1342</v>
      </c>
      <c r="I2014" s="10" t="s">
        <v>23</v>
      </c>
      <c r="J2014" s="11">
        <v>0.83</v>
      </c>
      <c r="K2014" s="12"/>
      <c r="L2014" s="12"/>
      <c r="M2014" s="12"/>
      <c r="N2014" s="12"/>
      <c r="O2014" s="12"/>
      <c r="P2014" s="12"/>
      <c r="Q2014" s="12"/>
      <c r="R2014" s="12"/>
      <c r="S2014" s="12"/>
    </row>
    <row r="2015" spans="1:19" ht="14.25" customHeight="1" x14ac:dyDescent="0.2">
      <c r="A2015" s="1" t="s">
        <v>24</v>
      </c>
      <c r="B2015" s="7">
        <v>46099.184386574074</v>
      </c>
      <c r="C2015" s="7">
        <v>46099.201354166667</v>
      </c>
      <c r="D2015" s="8">
        <v>46099</v>
      </c>
      <c r="E2015" s="9">
        <v>0.20135416666744277</v>
      </c>
      <c r="F2015" s="10" t="s">
        <v>2274</v>
      </c>
      <c r="G2015" s="10" t="s">
        <v>21</v>
      </c>
      <c r="H2015" s="10" t="s">
        <v>2275</v>
      </c>
      <c r="I2015" s="10" t="s">
        <v>23</v>
      </c>
      <c r="J2015" s="11">
        <v>1.75</v>
      </c>
      <c r="K2015" s="12"/>
      <c r="L2015" s="12"/>
      <c r="M2015" s="12"/>
      <c r="N2015" s="12"/>
      <c r="O2015" s="12"/>
      <c r="P2015" s="12"/>
      <c r="Q2015" s="12"/>
      <c r="R2015" s="12"/>
      <c r="S2015" s="12"/>
    </row>
    <row r="2016" spans="1:19" ht="14.25" customHeight="1" x14ac:dyDescent="0.2">
      <c r="A2016" s="1" t="s">
        <v>19</v>
      </c>
      <c r="B2016" s="7">
        <v>46099.192835648151</v>
      </c>
      <c r="C2016" s="7">
        <v>46099.20621527778</v>
      </c>
      <c r="D2016" s="8">
        <v>46099</v>
      </c>
      <c r="E2016" s="9">
        <v>0.20621527777984738</v>
      </c>
      <c r="F2016" s="10" t="s">
        <v>2276</v>
      </c>
      <c r="G2016" s="10" t="s">
        <v>21</v>
      </c>
      <c r="H2016" s="10" t="s">
        <v>54</v>
      </c>
      <c r="I2016" s="10" t="s">
        <v>23</v>
      </c>
      <c r="J2016" s="11">
        <v>0.83</v>
      </c>
      <c r="K2016" s="12"/>
      <c r="L2016" s="12"/>
      <c r="M2016" s="12"/>
      <c r="N2016" s="12"/>
      <c r="O2016" s="12"/>
      <c r="P2016" s="12"/>
      <c r="Q2016" s="12"/>
      <c r="R2016" s="12"/>
      <c r="S2016" s="12"/>
    </row>
    <row r="2017" spans="1:19" ht="14.25" customHeight="1" x14ac:dyDescent="0.2">
      <c r="A2017" s="1" t="s">
        <v>57</v>
      </c>
      <c r="B2017" s="7">
        <v>46099.207037037035</v>
      </c>
      <c r="C2017" s="7">
        <v>46099.219085648147</v>
      </c>
      <c r="D2017" s="8">
        <v>46099</v>
      </c>
      <c r="E2017" s="9">
        <v>0.21908564814657439</v>
      </c>
      <c r="F2017" s="10" t="s">
        <v>2277</v>
      </c>
      <c r="G2017" s="10" t="s">
        <v>21</v>
      </c>
      <c r="H2017" s="10" t="s">
        <v>59</v>
      </c>
      <c r="I2017" s="10" t="s">
        <v>23</v>
      </c>
      <c r="J2017" s="11">
        <v>0.83</v>
      </c>
      <c r="K2017" s="12"/>
      <c r="L2017" s="12">
        <f>SUM(J2017:J2020)</f>
        <v>4.8599999999999994</v>
      </c>
      <c r="M2017" s="13">
        <f>L2017*65</f>
        <v>315.89999999999998</v>
      </c>
      <c r="N2017" s="14">
        <f>MAX(500,M2017)</f>
        <v>500</v>
      </c>
      <c r="O2017" s="12"/>
      <c r="P2017" s="12"/>
      <c r="Q2017" s="12"/>
      <c r="R2017" s="12"/>
      <c r="S2017" s="12"/>
    </row>
    <row r="2018" spans="1:19" ht="14.25" customHeight="1" x14ac:dyDescent="0.2">
      <c r="A2018" s="1" t="s">
        <v>19</v>
      </c>
      <c r="B2018" s="7">
        <v>46099.198680555557</v>
      </c>
      <c r="C2018" s="7">
        <v>46099.223576388889</v>
      </c>
      <c r="D2018" s="8">
        <v>46099</v>
      </c>
      <c r="E2018" s="9">
        <v>0.22357638888934162</v>
      </c>
      <c r="F2018" s="10" t="s">
        <v>2278</v>
      </c>
      <c r="G2018" s="10" t="s">
        <v>21</v>
      </c>
      <c r="H2018" s="10" t="s">
        <v>52</v>
      </c>
      <c r="I2018" s="10" t="s">
        <v>23</v>
      </c>
      <c r="J2018" s="11">
        <v>0.98</v>
      </c>
      <c r="K2018" s="12"/>
      <c r="L2018" s="12"/>
      <c r="M2018" s="12"/>
      <c r="N2018" s="12"/>
      <c r="O2018" s="12"/>
      <c r="P2018" s="12"/>
      <c r="Q2018" s="12"/>
      <c r="R2018" s="12"/>
      <c r="S2018" s="12"/>
    </row>
    <row r="2019" spans="1:19" ht="14.25" customHeight="1" x14ac:dyDescent="0.2">
      <c r="A2019" s="1" t="s">
        <v>19</v>
      </c>
      <c r="B2019" s="7">
        <v>46099.209918981483</v>
      </c>
      <c r="C2019" s="7">
        <v>46099.224166666667</v>
      </c>
      <c r="D2019" s="8">
        <v>46099</v>
      </c>
      <c r="E2019" s="9">
        <v>0.22416666666686069</v>
      </c>
      <c r="F2019" s="10" t="s">
        <v>2279</v>
      </c>
      <c r="G2019" s="10" t="s">
        <v>21</v>
      </c>
      <c r="H2019" s="10" t="s">
        <v>101</v>
      </c>
      <c r="I2019" s="10" t="s">
        <v>23</v>
      </c>
      <c r="J2019" s="11">
        <v>1.7</v>
      </c>
      <c r="K2019" s="12"/>
      <c r="L2019" s="12"/>
      <c r="M2019" s="12"/>
      <c r="N2019" s="12"/>
      <c r="O2019" s="12"/>
      <c r="P2019" s="12"/>
      <c r="Q2019" s="12"/>
      <c r="R2019" s="12"/>
      <c r="S2019" s="12"/>
    </row>
    <row r="2020" spans="1:19" ht="14.25" customHeight="1" x14ac:dyDescent="0.2">
      <c r="A2020" s="1" t="s">
        <v>24</v>
      </c>
      <c r="B2020" s="7">
        <v>46099.234131944446</v>
      </c>
      <c r="C2020" s="7">
        <v>46099.252453703702</v>
      </c>
      <c r="D2020" s="8">
        <v>46099</v>
      </c>
      <c r="E2020" s="9">
        <v>0.25245370370248565</v>
      </c>
      <c r="F2020" s="10" t="s">
        <v>2280</v>
      </c>
      <c r="G2020" s="10" t="s">
        <v>21</v>
      </c>
      <c r="H2020" s="10" t="s">
        <v>268</v>
      </c>
      <c r="I2020" s="10" t="s">
        <v>23</v>
      </c>
      <c r="J2020" s="11">
        <v>1.35</v>
      </c>
      <c r="K2020" s="12"/>
      <c r="L2020" s="12"/>
      <c r="M2020" s="12"/>
      <c r="N2020" s="12"/>
      <c r="O2020" s="12"/>
      <c r="P2020" s="12"/>
      <c r="Q2020" s="12"/>
      <c r="R2020" s="12"/>
      <c r="S2020" s="12"/>
    </row>
    <row r="2021" spans="1:19" ht="14.25" customHeight="1" x14ac:dyDescent="0.2">
      <c r="A2021" s="1" t="s">
        <v>28</v>
      </c>
      <c r="B2021" s="7">
        <v>46099.865300925929</v>
      </c>
      <c r="C2021" s="7">
        <v>46099.880115740743</v>
      </c>
      <c r="D2021" s="8">
        <v>46099</v>
      </c>
      <c r="E2021" s="9">
        <v>0.88011574074334931</v>
      </c>
      <c r="F2021" s="10" t="s">
        <v>2281</v>
      </c>
      <c r="G2021" s="10" t="s">
        <v>21</v>
      </c>
      <c r="H2021" s="10" t="s">
        <v>39</v>
      </c>
      <c r="I2021" s="10" t="s">
        <v>23</v>
      </c>
      <c r="J2021" s="11">
        <v>1.77</v>
      </c>
      <c r="K2021" s="12">
        <f>SUM(J2021:J2060,J2066,J2067,J2069:J2070,J2072:J2075,J2077:J2081,J2083:J2086,J2088:J2091,J2094:J2096,J2098:J2099,J2101,J2102,J2104:J2118)</f>
        <v>96.189999999999955</v>
      </c>
      <c r="L2021" s="12">
        <f>SUM(J2021:J2043)</f>
        <v>27.369999999999997</v>
      </c>
      <c r="M2021" s="13">
        <f>L2021*65</f>
        <v>1779.0499999999997</v>
      </c>
      <c r="N2021" s="14">
        <f>MAX(500,M2021)</f>
        <v>1779.0499999999997</v>
      </c>
      <c r="O2021" s="12"/>
      <c r="P2021" s="12"/>
      <c r="Q2021" s="12"/>
      <c r="R2021" s="12"/>
      <c r="S2021" s="12"/>
    </row>
    <row r="2022" spans="1:19" ht="14.25" customHeight="1" x14ac:dyDescent="0.2">
      <c r="A2022" s="1" t="s">
        <v>19</v>
      </c>
      <c r="B2022" s="7">
        <v>46099.860555555555</v>
      </c>
      <c r="C2022" s="7">
        <v>46099.880960648145</v>
      </c>
      <c r="D2022" s="8">
        <v>46099</v>
      </c>
      <c r="E2022" s="9">
        <v>0.88096064814453712</v>
      </c>
      <c r="F2022" s="10" t="s">
        <v>2282</v>
      </c>
      <c r="G2022" s="10" t="s">
        <v>21</v>
      </c>
      <c r="H2022" s="10" t="s">
        <v>41</v>
      </c>
      <c r="I2022" s="10" t="s">
        <v>23</v>
      </c>
      <c r="J2022" s="11">
        <v>1.77</v>
      </c>
      <c r="K2022" s="12"/>
      <c r="L2022" s="12"/>
      <c r="M2022" s="12"/>
      <c r="N2022" s="12"/>
      <c r="O2022" s="12"/>
      <c r="P2022" s="12"/>
      <c r="Q2022" s="12"/>
      <c r="R2022" s="12"/>
      <c r="S2022" s="12"/>
    </row>
    <row r="2023" spans="1:19" ht="14.25" customHeight="1" x14ac:dyDescent="0.2">
      <c r="A2023" s="1" t="s">
        <v>28</v>
      </c>
      <c r="B2023" s="7">
        <v>46099.865300925929</v>
      </c>
      <c r="C2023" s="7">
        <v>46099.881192129629</v>
      </c>
      <c r="D2023" s="8">
        <v>46099</v>
      </c>
      <c r="E2023" s="9">
        <v>0.88119212962919846</v>
      </c>
      <c r="F2023" s="10" t="s">
        <v>2283</v>
      </c>
      <c r="G2023" s="10" t="s">
        <v>21</v>
      </c>
      <c r="H2023" s="10" t="s">
        <v>41</v>
      </c>
      <c r="I2023" s="10" t="s">
        <v>23</v>
      </c>
      <c r="J2023" s="11">
        <v>1.77</v>
      </c>
      <c r="K2023" s="12"/>
      <c r="L2023" s="12"/>
      <c r="M2023" s="12"/>
      <c r="N2023" s="12"/>
      <c r="O2023" s="12"/>
      <c r="P2023" s="12"/>
      <c r="Q2023" s="12"/>
      <c r="R2023" s="12"/>
      <c r="S2023" s="12"/>
    </row>
    <row r="2024" spans="1:19" ht="14.25" customHeight="1" x14ac:dyDescent="0.2">
      <c r="A2024" s="1" t="s">
        <v>33</v>
      </c>
      <c r="B2024" s="7">
        <v>46099.854363425926</v>
      </c>
      <c r="C2024" s="7">
        <v>46099.887858796297</v>
      </c>
      <c r="D2024" s="8">
        <v>46099</v>
      </c>
      <c r="E2024" s="9">
        <v>0.88785879629722331</v>
      </c>
      <c r="F2024" s="10" t="s">
        <v>2284</v>
      </c>
      <c r="G2024" s="10" t="s">
        <v>180</v>
      </c>
      <c r="H2024" s="10" t="s">
        <v>504</v>
      </c>
      <c r="I2024" s="10" t="s">
        <v>23</v>
      </c>
      <c r="J2024" s="11">
        <v>1.44</v>
      </c>
      <c r="K2024" s="12"/>
      <c r="L2024" s="12"/>
      <c r="M2024" s="12"/>
      <c r="N2024" s="12"/>
      <c r="O2024" s="12"/>
      <c r="P2024" s="12"/>
      <c r="Q2024" s="12"/>
      <c r="R2024" s="12"/>
      <c r="S2024" s="12"/>
    </row>
    <row r="2025" spans="1:19" ht="14.25" customHeight="1" x14ac:dyDescent="0.2">
      <c r="A2025" s="1" t="s">
        <v>57</v>
      </c>
      <c r="B2025" s="7">
        <v>46099.876620370371</v>
      </c>
      <c r="C2025" s="7">
        <v>46099.888888888891</v>
      </c>
      <c r="D2025" s="8">
        <v>46099</v>
      </c>
      <c r="E2025" s="9">
        <v>0.88888888889050577</v>
      </c>
      <c r="F2025" s="10" t="s">
        <v>2285</v>
      </c>
      <c r="G2025" s="10" t="s">
        <v>21</v>
      </c>
      <c r="H2025" s="10" t="s">
        <v>303</v>
      </c>
      <c r="I2025" s="10" t="s">
        <v>23</v>
      </c>
      <c r="J2025" s="11">
        <v>1.77</v>
      </c>
      <c r="K2025" s="12"/>
      <c r="L2025" s="12"/>
      <c r="M2025" s="12"/>
      <c r="N2025" s="12"/>
      <c r="O2025" s="12"/>
      <c r="P2025" s="12"/>
      <c r="Q2025" s="12"/>
      <c r="R2025" s="12"/>
      <c r="S2025" s="12"/>
    </row>
    <row r="2026" spans="1:19" ht="14.25" customHeight="1" x14ac:dyDescent="0.2">
      <c r="A2026" s="1" t="s">
        <v>42</v>
      </c>
      <c r="B2026" s="7">
        <v>46099.850775462961</v>
      </c>
      <c r="C2026" s="7">
        <v>46099.889305555553</v>
      </c>
      <c r="D2026" s="8">
        <v>46099</v>
      </c>
      <c r="E2026" s="9">
        <v>0.88930555555270985</v>
      </c>
      <c r="F2026" s="10" t="s">
        <v>2286</v>
      </c>
      <c r="G2026" s="10" t="s">
        <v>26</v>
      </c>
      <c r="H2026" s="10" t="s">
        <v>125</v>
      </c>
      <c r="I2026" s="10" t="s">
        <v>23</v>
      </c>
      <c r="J2026" s="11">
        <v>0.63</v>
      </c>
      <c r="K2026" s="12"/>
      <c r="L2026" s="12"/>
      <c r="M2026" s="12"/>
      <c r="N2026" s="12"/>
      <c r="O2026" s="12"/>
      <c r="P2026" s="12"/>
      <c r="Q2026" s="12"/>
      <c r="R2026" s="12"/>
      <c r="S2026" s="12"/>
    </row>
    <row r="2027" spans="1:19" ht="14.25" customHeight="1" x14ac:dyDescent="0.2">
      <c r="A2027" s="1" t="s">
        <v>24</v>
      </c>
      <c r="B2027" s="7">
        <v>46099.873020833336</v>
      </c>
      <c r="C2027" s="7">
        <v>46099.889861111114</v>
      </c>
      <c r="D2027" s="8">
        <v>46099</v>
      </c>
      <c r="E2027" s="9">
        <v>0.88986111111444188</v>
      </c>
      <c r="F2027" s="10" t="s">
        <v>2287</v>
      </c>
      <c r="G2027" s="10" t="s">
        <v>44</v>
      </c>
      <c r="H2027" s="10" t="s">
        <v>185</v>
      </c>
      <c r="I2027" s="10" t="s">
        <v>23</v>
      </c>
      <c r="J2027" s="11">
        <v>0.18</v>
      </c>
      <c r="K2027" s="12"/>
      <c r="L2027" s="12"/>
      <c r="M2027" s="12"/>
      <c r="N2027" s="12"/>
      <c r="O2027" s="12"/>
      <c r="P2027" s="12"/>
      <c r="Q2027" s="12"/>
      <c r="R2027" s="12"/>
      <c r="S2027" s="12"/>
    </row>
    <row r="2028" spans="1:19" ht="14.25" customHeight="1" x14ac:dyDescent="0.2">
      <c r="A2028" s="1" t="s">
        <v>24</v>
      </c>
      <c r="B2028" s="7">
        <v>46099.875960648147</v>
      </c>
      <c r="C2028" s="7">
        <v>46099.890185185184</v>
      </c>
      <c r="D2028" s="8">
        <v>46099</v>
      </c>
      <c r="E2028" s="9">
        <v>0.89018518518423662</v>
      </c>
      <c r="F2028" s="10" t="s">
        <v>2288</v>
      </c>
      <c r="G2028" s="10" t="s">
        <v>21</v>
      </c>
      <c r="H2028" s="10" t="s">
        <v>22</v>
      </c>
      <c r="I2028" s="10" t="s">
        <v>23</v>
      </c>
      <c r="J2028" s="11">
        <v>0.83</v>
      </c>
      <c r="K2028" s="12"/>
      <c r="L2028" s="12"/>
      <c r="M2028" s="12"/>
      <c r="N2028" s="12"/>
      <c r="O2028" s="12"/>
      <c r="P2028" s="12"/>
      <c r="Q2028" s="12"/>
      <c r="R2028" s="12"/>
      <c r="S2028" s="12"/>
    </row>
    <row r="2029" spans="1:19" ht="14.25" customHeight="1" x14ac:dyDescent="0.2">
      <c r="A2029" s="1" t="s">
        <v>24</v>
      </c>
      <c r="B2029" s="7">
        <v>46099.875960648147</v>
      </c>
      <c r="C2029" s="7">
        <v>46099.890405092592</v>
      </c>
      <c r="D2029" s="8">
        <v>46099</v>
      </c>
      <c r="E2029" s="9">
        <v>0.89040509259211831</v>
      </c>
      <c r="F2029" s="10" t="s">
        <v>2289</v>
      </c>
      <c r="G2029" s="10" t="s">
        <v>21</v>
      </c>
      <c r="H2029" s="10" t="s">
        <v>52</v>
      </c>
      <c r="I2029" s="10" t="s">
        <v>23</v>
      </c>
      <c r="J2029" s="11">
        <v>0.98</v>
      </c>
      <c r="K2029" s="12"/>
      <c r="L2029" s="12"/>
      <c r="M2029" s="12"/>
      <c r="N2029" s="12"/>
      <c r="O2029" s="12"/>
      <c r="P2029" s="12"/>
      <c r="Q2029" s="12"/>
      <c r="R2029" s="12"/>
      <c r="S2029" s="12"/>
    </row>
    <row r="2030" spans="1:19" ht="14.25" customHeight="1" x14ac:dyDescent="0.2">
      <c r="A2030" s="1" t="s">
        <v>24</v>
      </c>
      <c r="B2030" s="7">
        <v>46099.875960648147</v>
      </c>
      <c r="C2030" s="7">
        <v>46099.890682870369</v>
      </c>
      <c r="D2030" s="8">
        <v>46099</v>
      </c>
      <c r="E2030" s="9">
        <v>0.89068287036934635</v>
      </c>
      <c r="F2030" s="10" t="s">
        <v>2290</v>
      </c>
      <c r="G2030" s="10" t="s">
        <v>21</v>
      </c>
      <c r="H2030" s="10" t="s">
        <v>142</v>
      </c>
      <c r="I2030" s="10" t="s">
        <v>23</v>
      </c>
      <c r="J2030" s="11">
        <v>0.83</v>
      </c>
      <c r="K2030" s="12"/>
      <c r="L2030" s="12"/>
      <c r="M2030" s="12"/>
      <c r="N2030" s="12"/>
      <c r="O2030" s="12"/>
      <c r="P2030" s="12"/>
      <c r="Q2030" s="12"/>
      <c r="R2030" s="12"/>
      <c r="S2030" s="12"/>
    </row>
    <row r="2031" spans="1:19" ht="14.25" customHeight="1" x14ac:dyDescent="0.2">
      <c r="A2031" s="1" t="s">
        <v>19</v>
      </c>
      <c r="B2031" s="7">
        <v>46099.879895833335</v>
      </c>
      <c r="C2031" s="7">
        <v>46099.899236111109</v>
      </c>
      <c r="D2031" s="8">
        <v>46099</v>
      </c>
      <c r="E2031" s="9">
        <v>0.89923611110862112</v>
      </c>
      <c r="F2031" s="10" t="s">
        <v>2291</v>
      </c>
      <c r="G2031" s="10" t="s">
        <v>26</v>
      </c>
      <c r="H2031" s="10" t="s">
        <v>86</v>
      </c>
      <c r="I2031" s="10" t="s">
        <v>23</v>
      </c>
      <c r="J2031" s="11">
        <v>0.88</v>
      </c>
      <c r="K2031" s="12"/>
      <c r="L2031" s="12"/>
      <c r="M2031" s="12"/>
      <c r="N2031" s="12"/>
      <c r="O2031" s="12"/>
      <c r="P2031" s="12"/>
      <c r="Q2031" s="12"/>
      <c r="R2031" s="12"/>
      <c r="S2031" s="12"/>
    </row>
    <row r="2032" spans="1:19" ht="14.25" customHeight="1" x14ac:dyDescent="0.2">
      <c r="A2032" s="1" t="s">
        <v>42</v>
      </c>
      <c r="B2032" s="7">
        <v>46099.838831018518</v>
      </c>
      <c r="C2032" s="7">
        <v>46099.899444444447</v>
      </c>
      <c r="D2032" s="8">
        <v>46099</v>
      </c>
      <c r="E2032" s="9">
        <v>0.89944444444699911</v>
      </c>
      <c r="F2032" s="10" t="s">
        <v>2292</v>
      </c>
      <c r="G2032" s="10" t="s">
        <v>44</v>
      </c>
      <c r="H2032" s="10" t="s">
        <v>2293</v>
      </c>
      <c r="I2032" s="10" t="s">
        <v>23</v>
      </c>
      <c r="J2032" s="11">
        <v>0.17</v>
      </c>
      <c r="K2032" s="12"/>
      <c r="L2032" s="12"/>
      <c r="M2032" s="12"/>
      <c r="N2032" s="12"/>
      <c r="O2032" s="12"/>
      <c r="P2032" s="12"/>
      <c r="Q2032" s="12"/>
      <c r="R2032" s="12"/>
      <c r="S2032" s="12"/>
    </row>
    <row r="2033" spans="1:19" ht="14.25" customHeight="1" x14ac:dyDescent="0.2">
      <c r="A2033" s="1" t="s">
        <v>42</v>
      </c>
      <c r="B2033" s="7">
        <v>46099.838842592595</v>
      </c>
      <c r="C2033" s="7">
        <v>46099.899641203701</v>
      </c>
      <c r="D2033" s="8">
        <v>46099</v>
      </c>
      <c r="E2033" s="9">
        <v>0.8996412037013215</v>
      </c>
      <c r="F2033" s="10" t="s">
        <v>2294</v>
      </c>
      <c r="G2033" s="10" t="s">
        <v>44</v>
      </c>
      <c r="H2033" s="10" t="s">
        <v>2295</v>
      </c>
      <c r="I2033" s="10" t="s">
        <v>23</v>
      </c>
      <c r="J2033" s="11">
        <v>0.17</v>
      </c>
      <c r="K2033" s="12"/>
      <c r="L2033" s="12"/>
      <c r="M2033" s="12"/>
      <c r="N2033" s="12"/>
      <c r="O2033" s="12"/>
      <c r="P2033" s="12"/>
      <c r="Q2033" s="12"/>
      <c r="R2033" s="12"/>
      <c r="S2033" s="12"/>
    </row>
    <row r="2034" spans="1:19" ht="14.25" customHeight="1" x14ac:dyDescent="0.2">
      <c r="A2034" s="1" t="s">
        <v>57</v>
      </c>
      <c r="B2034" s="7">
        <v>46099.889166666668</v>
      </c>
      <c r="C2034" s="7">
        <v>46099.900694444441</v>
      </c>
      <c r="D2034" s="8">
        <v>46099</v>
      </c>
      <c r="E2034" s="9">
        <v>0.90069444444088731</v>
      </c>
      <c r="F2034" s="10" t="s">
        <v>2296</v>
      </c>
      <c r="G2034" s="10" t="s">
        <v>21</v>
      </c>
      <c r="H2034" s="10" t="s">
        <v>303</v>
      </c>
      <c r="I2034" s="10" t="s">
        <v>23</v>
      </c>
      <c r="J2034" s="11">
        <v>1.77</v>
      </c>
      <c r="K2034" s="12"/>
      <c r="L2034" s="12"/>
      <c r="M2034" s="12"/>
      <c r="N2034" s="12"/>
      <c r="O2034" s="12"/>
      <c r="P2034" s="12"/>
      <c r="Q2034" s="12"/>
      <c r="R2034" s="12"/>
      <c r="S2034" s="12"/>
    </row>
    <row r="2035" spans="1:19" ht="14.25" customHeight="1" x14ac:dyDescent="0.2">
      <c r="A2035" s="1" t="s">
        <v>33</v>
      </c>
      <c r="B2035" s="7">
        <v>46099.890127314815</v>
      </c>
      <c r="C2035" s="7">
        <v>46099.901296296295</v>
      </c>
      <c r="D2035" s="8">
        <v>46099</v>
      </c>
      <c r="E2035" s="9">
        <v>0.90129629629518604</v>
      </c>
      <c r="F2035" s="10" t="s">
        <v>2297</v>
      </c>
      <c r="G2035" s="10" t="s">
        <v>21</v>
      </c>
      <c r="H2035" s="10" t="s">
        <v>101</v>
      </c>
      <c r="I2035" s="10" t="s">
        <v>23</v>
      </c>
      <c r="J2035" s="11">
        <v>1.7</v>
      </c>
      <c r="K2035" s="12"/>
      <c r="L2035" s="12"/>
      <c r="M2035" s="12"/>
      <c r="N2035" s="12"/>
      <c r="O2035" s="12"/>
      <c r="P2035" s="12"/>
      <c r="Q2035" s="12"/>
      <c r="R2035" s="12"/>
      <c r="S2035" s="12"/>
    </row>
    <row r="2036" spans="1:19" ht="14.25" customHeight="1" x14ac:dyDescent="0.2">
      <c r="A2036" s="1" t="s">
        <v>33</v>
      </c>
      <c r="B2036" s="7">
        <v>46099.890127314815</v>
      </c>
      <c r="C2036" s="7">
        <v>46099.90148148148</v>
      </c>
      <c r="D2036" s="8">
        <v>46099</v>
      </c>
      <c r="E2036" s="9">
        <v>0.90148148148000473</v>
      </c>
      <c r="F2036" s="10" t="s">
        <v>2298</v>
      </c>
      <c r="G2036" s="10" t="s">
        <v>21</v>
      </c>
      <c r="H2036" s="10" t="s">
        <v>22</v>
      </c>
      <c r="I2036" s="10" t="s">
        <v>23</v>
      </c>
      <c r="J2036" s="11">
        <v>0.83</v>
      </c>
      <c r="K2036" s="12"/>
      <c r="L2036" s="12"/>
      <c r="M2036" s="12"/>
      <c r="N2036" s="12"/>
      <c r="O2036" s="12"/>
      <c r="P2036" s="12"/>
      <c r="Q2036" s="12"/>
      <c r="R2036" s="12"/>
      <c r="S2036" s="12"/>
    </row>
    <row r="2037" spans="1:19" ht="14.25" customHeight="1" x14ac:dyDescent="0.2">
      <c r="A2037" s="1" t="s">
        <v>42</v>
      </c>
      <c r="B2037" s="7">
        <v>46099.821076388886</v>
      </c>
      <c r="C2037" s="7">
        <v>46099.90185185185</v>
      </c>
      <c r="D2037" s="8">
        <v>46099</v>
      </c>
      <c r="E2037" s="9">
        <v>0.90185185184964212</v>
      </c>
      <c r="F2037" s="10" t="s">
        <v>2299</v>
      </c>
      <c r="G2037" s="10" t="s">
        <v>26</v>
      </c>
      <c r="H2037" s="10" t="s">
        <v>125</v>
      </c>
      <c r="I2037" s="10" t="s">
        <v>23</v>
      </c>
      <c r="J2037" s="11">
        <v>0.63</v>
      </c>
      <c r="K2037" s="12"/>
      <c r="L2037" s="12"/>
      <c r="M2037" s="12"/>
      <c r="N2037" s="12"/>
      <c r="O2037" s="12"/>
      <c r="P2037" s="12"/>
      <c r="Q2037" s="12"/>
      <c r="R2037" s="12"/>
      <c r="S2037" s="12"/>
    </row>
    <row r="2038" spans="1:19" ht="14.25" customHeight="1" x14ac:dyDescent="0.2">
      <c r="A2038" s="1" t="s">
        <v>46</v>
      </c>
      <c r="B2038" s="7">
        <v>46099.894201388888</v>
      </c>
      <c r="C2038" s="7">
        <v>46099.906342592592</v>
      </c>
      <c r="D2038" s="8">
        <v>46099</v>
      </c>
      <c r="E2038" s="9">
        <v>0.90634259259240935</v>
      </c>
      <c r="F2038" s="10" t="s">
        <v>2300</v>
      </c>
      <c r="G2038" s="10" t="s">
        <v>21</v>
      </c>
      <c r="H2038" s="10" t="s">
        <v>22</v>
      </c>
      <c r="I2038" s="10" t="s">
        <v>23</v>
      </c>
      <c r="J2038" s="11">
        <v>0.83</v>
      </c>
      <c r="K2038" s="12"/>
      <c r="L2038" s="12"/>
      <c r="M2038" s="12"/>
      <c r="N2038" s="12"/>
      <c r="O2038" s="12"/>
      <c r="P2038" s="12"/>
      <c r="Q2038" s="12"/>
      <c r="R2038" s="12"/>
      <c r="S2038" s="12"/>
    </row>
    <row r="2039" spans="1:19" ht="14.25" customHeight="1" x14ac:dyDescent="0.2">
      <c r="A2039" s="1" t="s">
        <v>28</v>
      </c>
      <c r="B2039" s="7">
        <v>46099.897789351853</v>
      </c>
      <c r="C2039" s="7">
        <v>46099.911527777775</v>
      </c>
      <c r="D2039" s="8">
        <v>46099</v>
      </c>
      <c r="E2039" s="9">
        <v>0.91152777777460869</v>
      </c>
      <c r="F2039" s="10" t="s">
        <v>2301</v>
      </c>
      <c r="G2039" s="10" t="s">
        <v>21</v>
      </c>
      <c r="H2039" s="10" t="s">
        <v>268</v>
      </c>
      <c r="I2039" s="10" t="s">
        <v>23</v>
      </c>
      <c r="J2039" s="11">
        <v>1.35</v>
      </c>
      <c r="K2039" s="12"/>
      <c r="L2039" s="12"/>
      <c r="M2039" s="12"/>
      <c r="N2039" s="12"/>
      <c r="O2039" s="12"/>
      <c r="P2039" s="12"/>
      <c r="Q2039" s="12"/>
      <c r="R2039" s="12"/>
      <c r="S2039" s="12"/>
    </row>
    <row r="2040" spans="1:19" ht="14.25" customHeight="1" x14ac:dyDescent="0.2">
      <c r="A2040" s="1" t="s">
        <v>19</v>
      </c>
      <c r="B2040" s="7">
        <v>46099.88726851852</v>
      </c>
      <c r="C2040" s="7">
        <v>46099.911886574075</v>
      </c>
      <c r="D2040" s="8">
        <v>46099</v>
      </c>
      <c r="E2040" s="9">
        <v>0.91188657407474238</v>
      </c>
      <c r="F2040" s="10" t="s">
        <v>2302</v>
      </c>
      <c r="G2040" s="10" t="s">
        <v>21</v>
      </c>
      <c r="H2040" s="10" t="s">
        <v>41</v>
      </c>
      <c r="I2040" s="10" t="s">
        <v>23</v>
      </c>
      <c r="J2040" s="11">
        <v>1.77</v>
      </c>
      <c r="K2040" s="12"/>
      <c r="L2040" s="12"/>
      <c r="M2040" s="12"/>
      <c r="N2040" s="12"/>
      <c r="O2040" s="12"/>
      <c r="P2040" s="12"/>
      <c r="Q2040" s="12"/>
      <c r="R2040" s="12"/>
      <c r="S2040" s="12"/>
    </row>
    <row r="2041" spans="1:19" ht="14.25" customHeight="1" x14ac:dyDescent="0.2">
      <c r="A2041" s="1" t="s">
        <v>19</v>
      </c>
      <c r="B2041" s="7">
        <v>46099.893333333333</v>
      </c>
      <c r="C2041" s="7">
        <v>46099.912557870368</v>
      </c>
      <c r="D2041" s="8">
        <v>46099</v>
      </c>
      <c r="E2041" s="9">
        <v>0.91255787036789116</v>
      </c>
      <c r="F2041" s="10" t="s">
        <v>2303</v>
      </c>
      <c r="G2041" s="10" t="s">
        <v>21</v>
      </c>
      <c r="H2041" s="10" t="s">
        <v>260</v>
      </c>
      <c r="I2041" s="10" t="s">
        <v>23</v>
      </c>
      <c r="J2041" s="11">
        <v>1.1000000000000001</v>
      </c>
      <c r="K2041" s="12"/>
      <c r="L2041" s="12"/>
      <c r="M2041" s="12"/>
      <c r="N2041" s="12"/>
      <c r="O2041" s="12"/>
      <c r="P2041" s="12"/>
      <c r="Q2041" s="12"/>
      <c r="R2041" s="12"/>
      <c r="S2041" s="12"/>
    </row>
    <row r="2042" spans="1:19" ht="14.25" customHeight="1" x14ac:dyDescent="0.2">
      <c r="A2042" s="1" t="s">
        <v>19</v>
      </c>
      <c r="B2042" s="7">
        <v>46099.827407407407</v>
      </c>
      <c r="C2042" s="7">
        <v>46099.914050925923</v>
      </c>
      <c r="D2042" s="8">
        <v>46099</v>
      </c>
      <c r="E2042" s="9">
        <v>0.91405092592322035</v>
      </c>
      <c r="F2042" s="10" t="s">
        <v>2304</v>
      </c>
      <c r="G2042" s="10" t="s">
        <v>21</v>
      </c>
      <c r="H2042" s="10" t="s">
        <v>281</v>
      </c>
      <c r="I2042" s="10" t="s">
        <v>23</v>
      </c>
      <c r="J2042" s="11">
        <v>2.5</v>
      </c>
      <c r="K2042" s="12"/>
      <c r="L2042" s="12"/>
      <c r="M2042" s="12"/>
      <c r="N2042" s="12"/>
      <c r="O2042" s="12"/>
      <c r="P2042" s="12"/>
      <c r="Q2042" s="12"/>
      <c r="R2042" s="12"/>
      <c r="S2042" s="12"/>
    </row>
    <row r="2043" spans="1:19" ht="14.25" customHeight="1" x14ac:dyDescent="0.2">
      <c r="A2043" s="1" t="s">
        <v>42</v>
      </c>
      <c r="B2043" s="7">
        <v>46099.869479166664</v>
      </c>
      <c r="C2043" s="7">
        <v>46099.914629629631</v>
      </c>
      <c r="D2043" s="8">
        <v>46099</v>
      </c>
      <c r="E2043" s="9">
        <v>0.91462962963123573</v>
      </c>
      <c r="F2043" s="10" t="s">
        <v>2305</v>
      </c>
      <c r="G2043" s="10" t="s">
        <v>21</v>
      </c>
      <c r="H2043" s="10" t="s">
        <v>108</v>
      </c>
      <c r="I2043" s="10" t="s">
        <v>23</v>
      </c>
      <c r="J2043" s="11">
        <v>1.7</v>
      </c>
      <c r="K2043" s="12"/>
      <c r="L2043" s="12"/>
      <c r="M2043" s="12"/>
      <c r="N2043" s="12"/>
      <c r="O2043" s="12"/>
      <c r="P2043" s="12"/>
      <c r="Q2043" s="12"/>
      <c r="R2043" s="12"/>
      <c r="S2043" s="12"/>
    </row>
    <row r="2044" spans="1:19" ht="14.25" customHeight="1" x14ac:dyDescent="0.2">
      <c r="A2044" s="1" t="s">
        <v>42</v>
      </c>
      <c r="B2044" s="7">
        <v>46099.881585648145</v>
      </c>
      <c r="C2044" s="7">
        <v>46099.916828703703</v>
      </c>
      <c r="D2044" s="8">
        <v>46099</v>
      </c>
      <c r="E2044" s="9">
        <v>0.91682870370277669</v>
      </c>
      <c r="F2044" s="10" t="s">
        <v>2306</v>
      </c>
      <c r="G2044" s="10" t="s">
        <v>21</v>
      </c>
      <c r="H2044" s="10" t="s">
        <v>97</v>
      </c>
      <c r="I2044" s="10" t="s">
        <v>23</v>
      </c>
      <c r="J2044" s="11">
        <v>1.77</v>
      </c>
      <c r="K2044" s="12"/>
      <c r="L2044" s="12">
        <f>SUM(J2044:J2060)</f>
        <v>18.2</v>
      </c>
      <c r="M2044" s="13">
        <f>L2044*65</f>
        <v>1183</v>
      </c>
      <c r="N2044" s="14">
        <f>MAX(500,M2044)</f>
        <v>1183</v>
      </c>
      <c r="O2044" s="12"/>
      <c r="P2044" s="12"/>
      <c r="Q2044" s="12"/>
      <c r="R2044" s="12"/>
      <c r="S2044" s="12"/>
    </row>
    <row r="2045" spans="1:19" ht="14.25" customHeight="1" x14ac:dyDescent="0.2">
      <c r="A2045" s="1" t="s">
        <v>19</v>
      </c>
      <c r="B2045" s="7">
        <v>46099.864039351851</v>
      </c>
      <c r="C2045" s="7">
        <v>46099.919432870367</v>
      </c>
      <c r="D2045" s="8">
        <v>46099</v>
      </c>
      <c r="E2045" s="9">
        <v>0.91943287036701804</v>
      </c>
      <c r="F2045" s="10" t="s">
        <v>2307</v>
      </c>
      <c r="G2045" s="10" t="s">
        <v>21</v>
      </c>
      <c r="H2045" s="10" t="s">
        <v>1966</v>
      </c>
      <c r="I2045" s="10" t="s">
        <v>23</v>
      </c>
      <c r="J2045" s="11">
        <v>1.1299999999999999</v>
      </c>
      <c r="K2045" s="12"/>
      <c r="L2045" s="12"/>
      <c r="M2045" s="12"/>
      <c r="N2045" s="12"/>
      <c r="O2045" s="12"/>
      <c r="P2045" s="12"/>
      <c r="Q2045" s="12"/>
      <c r="R2045" s="12"/>
      <c r="S2045" s="12"/>
    </row>
    <row r="2046" spans="1:19" ht="14.25" customHeight="1" x14ac:dyDescent="0.2">
      <c r="A2046" s="1" t="s">
        <v>42</v>
      </c>
      <c r="B2046" s="7">
        <v>46099.872453703705</v>
      </c>
      <c r="C2046" s="7">
        <v>46099.919675925928</v>
      </c>
      <c r="D2046" s="8">
        <v>46099</v>
      </c>
      <c r="E2046" s="9">
        <v>0.91967592592845904</v>
      </c>
      <c r="F2046" s="10" t="s">
        <v>2308</v>
      </c>
      <c r="G2046" s="10" t="s">
        <v>21</v>
      </c>
      <c r="H2046" s="10" t="s">
        <v>2309</v>
      </c>
      <c r="I2046" s="10" t="s">
        <v>23</v>
      </c>
      <c r="J2046" s="11">
        <v>0.98</v>
      </c>
      <c r="K2046" s="12"/>
      <c r="L2046" s="12"/>
      <c r="M2046" s="12"/>
      <c r="N2046" s="12"/>
      <c r="O2046" s="12"/>
      <c r="P2046" s="12"/>
      <c r="Q2046" s="12"/>
      <c r="R2046" s="12"/>
      <c r="S2046" s="12"/>
    </row>
    <row r="2047" spans="1:19" ht="14.25" customHeight="1" x14ac:dyDescent="0.2">
      <c r="A2047" s="1" t="s">
        <v>19</v>
      </c>
      <c r="B2047" s="7">
        <v>46099.864039351851</v>
      </c>
      <c r="C2047" s="7">
        <v>46099.921597222223</v>
      </c>
      <c r="D2047" s="8">
        <v>46099</v>
      </c>
      <c r="E2047" s="9">
        <v>0.92159722222277196</v>
      </c>
      <c r="F2047" s="10" t="s">
        <v>2310</v>
      </c>
      <c r="G2047" s="10" t="s">
        <v>21</v>
      </c>
      <c r="H2047" s="10" t="s">
        <v>488</v>
      </c>
      <c r="I2047" s="10" t="s">
        <v>23</v>
      </c>
      <c r="J2047" s="11">
        <v>1.1299999999999999</v>
      </c>
      <c r="K2047" s="12"/>
      <c r="L2047" s="12"/>
      <c r="M2047" s="12"/>
      <c r="N2047" s="12"/>
      <c r="O2047" s="12"/>
      <c r="P2047" s="12"/>
      <c r="Q2047" s="12"/>
      <c r="R2047" s="12"/>
      <c r="S2047" s="12"/>
    </row>
    <row r="2048" spans="1:19" ht="14.25" customHeight="1" x14ac:dyDescent="0.2">
      <c r="A2048" s="1" t="s">
        <v>28</v>
      </c>
      <c r="B2048" s="7">
        <v>46099.896284722221</v>
      </c>
      <c r="C2048" s="7">
        <v>46099.922314814816</v>
      </c>
      <c r="D2048" s="8">
        <v>46099</v>
      </c>
      <c r="E2048" s="9">
        <v>0.92231481481576338</v>
      </c>
      <c r="F2048" s="10" t="s">
        <v>2311</v>
      </c>
      <c r="G2048" s="10" t="s">
        <v>26</v>
      </c>
      <c r="H2048" s="10" t="s">
        <v>205</v>
      </c>
      <c r="I2048" s="10" t="s">
        <v>23</v>
      </c>
      <c r="J2048" s="11">
        <v>0.57999999999999996</v>
      </c>
      <c r="K2048" s="12"/>
      <c r="L2048" s="12"/>
      <c r="M2048" s="12"/>
      <c r="N2048" s="12"/>
      <c r="O2048" s="12"/>
      <c r="P2048" s="12"/>
      <c r="Q2048" s="12"/>
      <c r="R2048" s="12"/>
      <c r="S2048" s="12"/>
    </row>
    <row r="2049" spans="1:19" ht="14.25" customHeight="1" x14ac:dyDescent="0.2">
      <c r="A2049" s="1" t="s">
        <v>42</v>
      </c>
      <c r="B2049" s="7">
        <v>46099.872453703705</v>
      </c>
      <c r="C2049" s="7">
        <v>46099.922615740739</v>
      </c>
      <c r="D2049" s="8">
        <v>46099</v>
      </c>
      <c r="E2049" s="9">
        <v>0.92261574073927477</v>
      </c>
      <c r="F2049" s="10" t="s">
        <v>2312</v>
      </c>
      <c r="G2049" s="10" t="s">
        <v>21</v>
      </c>
      <c r="H2049" s="10" t="s">
        <v>227</v>
      </c>
      <c r="I2049" s="10" t="s">
        <v>23</v>
      </c>
      <c r="J2049" s="11">
        <v>0.83</v>
      </c>
      <c r="K2049" s="12"/>
      <c r="L2049" s="12"/>
      <c r="M2049" s="12"/>
      <c r="N2049" s="12"/>
      <c r="O2049" s="12"/>
      <c r="P2049" s="12"/>
      <c r="Q2049" s="12"/>
      <c r="R2049" s="12"/>
      <c r="S2049" s="12"/>
    </row>
    <row r="2050" spans="1:19" ht="14.25" customHeight="1" x14ac:dyDescent="0.2">
      <c r="A2050" s="1" t="s">
        <v>19</v>
      </c>
      <c r="B2050" s="7">
        <v>46099.906134259261</v>
      </c>
      <c r="C2050" s="7">
        <v>46099.922962962963</v>
      </c>
      <c r="D2050" s="8">
        <v>46099</v>
      </c>
      <c r="E2050" s="9">
        <v>0.92296296296262881</v>
      </c>
      <c r="F2050" s="10" t="s">
        <v>2313</v>
      </c>
      <c r="G2050" s="10" t="s">
        <v>26</v>
      </c>
      <c r="H2050" s="10" t="s">
        <v>251</v>
      </c>
      <c r="I2050" s="10" t="s">
        <v>23</v>
      </c>
      <c r="J2050" s="11">
        <v>0.62</v>
      </c>
      <c r="K2050" s="12"/>
      <c r="L2050" s="12"/>
      <c r="M2050" s="12"/>
      <c r="N2050" s="12"/>
      <c r="O2050" s="12"/>
      <c r="P2050" s="12"/>
      <c r="Q2050" s="12"/>
      <c r="R2050" s="12"/>
      <c r="S2050" s="12"/>
    </row>
    <row r="2051" spans="1:19" ht="14.25" customHeight="1" x14ac:dyDescent="0.2">
      <c r="A2051" s="1" t="s">
        <v>19</v>
      </c>
      <c r="B2051" s="7">
        <v>46099.839155092595</v>
      </c>
      <c r="C2051" s="7">
        <v>46099.923437500001</v>
      </c>
      <c r="D2051" s="8">
        <v>46099</v>
      </c>
      <c r="E2051" s="9">
        <v>0.92343750000145519</v>
      </c>
      <c r="F2051" s="10" t="s">
        <v>2314</v>
      </c>
      <c r="G2051" s="10" t="s">
        <v>21</v>
      </c>
      <c r="H2051" s="10" t="s">
        <v>454</v>
      </c>
      <c r="I2051" s="10" t="s">
        <v>23</v>
      </c>
      <c r="J2051" s="11">
        <v>1.77</v>
      </c>
      <c r="K2051" s="12"/>
      <c r="L2051" s="12"/>
      <c r="M2051" s="12"/>
      <c r="N2051" s="12"/>
      <c r="O2051" s="12"/>
      <c r="P2051" s="12"/>
      <c r="Q2051" s="12"/>
      <c r="R2051" s="12"/>
      <c r="S2051" s="12"/>
    </row>
    <row r="2052" spans="1:19" ht="14.25" customHeight="1" x14ac:dyDescent="0.2">
      <c r="A2052" s="1" t="s">
        <v>24</v>
      </c>
      <c r="B2052" s="7">
        <v>46099.917962962965</v>
      </c>
      <c r="C2052" s="7">
        <v>46099.928738425922</v>
      </c>
      <c r="D2052" s="8">
        <v>46099</v>
      </c>
      <c r="E2052" s="9">
        <v>0.92873842592234723</v>
      </c>
      <c r="F2052" s="10" t="s">
        <v>2315</v>
      </c>
      <c r="G2052" s="10" t="s">
        <v>21</v>
      </c>
      <c r="H2052" s="10" t="s">
        <v>101</v>
      </c>
      <c r="I2052" s="10" t="s">
        <v>23</v>
      </c>
      <c r="J2052" s="11">
        <v>1.7</v>
      </c>
      <c r="K2052" s="12"/>
      <c r="L2052" s="12"/>
      <c r="M2052" s="12"/>
      <c r="N2052" s="12"/>
      <c r="O2052" s="12"/>
      <c r="P2052" s="12"/>
      <c r="Q2052" s="12"/>
      <c r="R2052" s="12"/>
      <c r="S2052" s="12"/>
    </row>
    <row r="2053" spans="1:19" ht="14.25" customHeight="1" x14ac:dyDescent="0.2">
      <c r="A2053" s="1" t="s">
        <v>24</v>
      </c>
      <c r="B2053" s="7">
        <v>46099.90724537037</v>
      </c>
      <c r="C2053" s="7">
        <v>46099.931006944447</v>
      </c>
      <c r="D2053" s="8">
        <v>46099</v>
      </c>
      <c r="E2053" s="9">
        <v>0.93100694444729015</v>
      </c>
      <c r="F2053" s="10" t="s">
        <v>2316</v>
      </c>
      <c r="G2053" s="10" t="s">
        <v>21</v>
      </c>
      <c r="H2053" s="10" t="s">
        <v>281</v>
      </c>
      <c r="I2053" s="10" t="s">
        <v>23</v>
      </c>
      <c r="J2053" s="11">
        <v>2.5</v>
      </c>
      <c r="K2053" s="12"/>
      <c r="L2053" s="12"/>
      <c r="M2053" s="12"/>
      <c r="N2053" s="12"/>
      <c r="O2053" s="12"/>
      <c r="P2053" s="12"/>
      <c r="Q2053" s="12"/>
      <c r="R2053" s="12"/>
      <c r="S2053" s="12"/>
    </row>
    <row r="2054" spans="1:19" ht="14.25" customHeight="1" x14ac:dyDescent="0.2">
      <c r="A2054" s="1" t="s">
        <v>42</v>
      </c>
      <c r="B2054" s="7">
        <v>46099.872453703705</v>
      </c>
      <c r="C2054" s="7">
        <v>46099.931296296294</v>
      </c>
      <c r="D2054" s="8">
        <v>46099</v>
      </c>
      <c r="E2054" s="9">
        <v>0.93129629629402189</v>
      </c>
      <c r="F2054" s="10" t="s">
        <v>2317</v>
      </c>
      <c r="G2054" s="10" t="s">
        <v>21</v>
      </c>
      <c r="H2054" s="10" t="s">
        <v>873</v>
      </c>
      <c r="I2054" s="10" t="s">
        <v>23</v>
      </c>
      <c r="J2054" s="11">
        <v>0.83</v>
      </c>
      <c r="K2054" s="12"/>
      <c r="L2054" s="12"/>
      <c r="M2054" s="12"/>
      <c r="N2054" s="12"/>
      <c r="O2054" s="12"/>
      <c r="P2054" s="12"/>
      <c r="Q2054" s="12"/>
      <c r="R2054" s="12"/>
      <c r="S2054" s="12"/>
    </row>
    <row r="2055" spans="1:19" ht="14.25" customHeight="1" x14ac:dyDescent="0.2">
      <c r="A2055" s="1" t="s">
        <v>28</v>
      </c>
      <c r="B2055" s="7">
        <v>46099.915208333332</v>
      </c>
      <c r="C2055" s="7">
        <v>46099.932303240741</v>
      </c>
      <c r="D2055" s="8">
        <v>46099</v>
      </c>
      <c r="E2055" s="9">
        <v>0.932303240741021</v>
      </c>
      <c r="F2055" s="10" t="s">
        <v>2318</v>
      </c>
      <c r="G2055" s="10" t="s">
        <v>21</v>
      </c>
      <c r="H2055" s="10" t="s">
        <v>41</v>
      </c>
      <c r="I2055" s="10" t="s">
        <v>23</v>
      </c>
      <c r="J2055" s="11">
        <v>1.77</v>
      </c>
      <c r="K2055" s="12"/>
      <c r="L2055" s="12"/>
      <c r="M2055" s="12"/>
      <c r="N2055" s="12"/>
      <c r="O2055" s="12"/>
      <c r="P2055" s="12"/>
      <c r="Q2055" s="12"/>
      <c r="R2055" s="12"/>
      <c r="S2055" s="12"/>
    </row>
    <row r="2056" spans="1:19" ht="14.25" customHeight="1" x14ac:dyDescent="0.2">
      <c r="A2056" s="1" t="s">
        <v>42</v>
      </c>
      <c r="B2056" s="7">
        <v>46099.908993055556</v>
      </c>
      <c r="C2056" s="7">
        <v>46099.932974537034</v>
      </c>
      <c r="D2056" s="8">
        <v>46099</v>
      </c>
      <c r="E2056" s="9">
        <v>0.93297453703416977</v>
      </c>
      <c r="F2056" s="10" t="s">
        <v>2319</v>
      </c>
      <c r="G2056" s="10" t="s">
        <v>26</v>
      </c>
      <c r="H2056" s="10" t="s">
        <v>157</v>
      </c>
      <c r="I2056" s="10" t="s">
        <v>23</v>
      </c>
      <c r="J2056" s="11">
        <v>0.73</v>
      </c>
      <c r="K2056" s="12"/>
      <c r="L2056" s="12"/>
      <c r="M2056" s="12"/>
      <c r="N2056" s="12"/>
      <c r="O2056" s="12"/>
      <c r="P2056" s="12"/>
      <c r="Q2056" s="12"/>
      <c r="R2056" s="12"/>
      <c r="S2056" s="12"/>
    </row>
    <row r="2057" spans="1:19" ht="14.25" customHeight="1" x14ac:dyDescent="0.2">
      <c r="A2057" s="1" t="s">
        <v>42</v>
      </c>
      <c r="B2057" s="7">
        <v>46099.921747685185</v>
      </c>
      <c r="C2057" s="7">
        <v>46099.933287037034</v>
      </c>
      <c r="D2057" s="8">
        <v>46099</v>
      </c>
      <c r="E2057" s="9">
        <v>0.93328703703446081</v>
      </c>
      <c r="F2057" s="10" t="s">
        <v>2320</v>
      </c>
      <c r="G2057" s="10" t="s">
        <v>44</v>
      </c>
      <c r="H2057" s="10" t="s">
        <v>2321</v>
      </c>
      <c r="I2057" s="10" t="s">
        <v>23</v>
      </c>
      <c r="J2057" s="11">
        <v>0.18</v>
      </c>
      <c r="K2057" s="12"/>
      <c r="L2057" s="12"/>
      <c r="M2057" s="12"/>
      <c r="N2057" s="12"/>
      <c r="O2057" s="12"/>
      <c r="P2057" s="12"/>
      <c r="Q2057" s="12"/>
      <c r="R2057" s="12"/>
      <c r="S2057" s="12"/>
    </row>
    <row r="2058" spans="1:19" ht="14.25" customHeight="1" x14ac:dyDescent="0.2">
      <c r="A2058" s="1" t="s">
        <v>42</v>
      </c>
      <c r="B2058" s="7">
        <v>46099.921736111108</v>
      </c>
      <c r="C2058" s="7">
        <v>46099.933449074073</v>
      </c>
      <c r="D2058" s="8">
        <v>46099</v>
      </c>
      <c r="E2058" s="9">
        <v>0.93344907407299615</v>
      </c>
      <c r="F2058" s="10" t="s">
        <v>2322</v>
      </c>
      <c r="G2058" s="10" t="s">
        <v>44</v>
      </c>
      <c r="H2058" s="10" t="s">
        <v>2293</v>
      </c>
      <c r="I2058" s="10" t="s">
        <v>23</v>
      </c>
      <c r="J2058" s="11">
        <v>0.17</v>
      </c>
      <c r="K2058" s="12"/>
      <c r="L2058" s="12"/>
      <c r="M2058" s="12"/>
      <c r="N2058" s="12"/>
      <c r="O2058" s="12"/>
      <c r="P2058" s="12"/>
      <c r="Q2058" s="12"/>
      <c r="R2058" s="12"/>
      <c r="S2058" s="12"/>
    </row>
    <row r="2059" spans="1:19" ht="14.25" customHeight="1" x14ac:dyDescent="0.2">
      <c r="A2059" s="1" t="s">
        <v>28</v>
      </c>
      <c r="B2059" s="7">
        <v>46099.92491898148</v>
      </c>
      <c r="C2059" s="7">
        <v>46099.943043981482</v>
      </c>
      <c r="D2059" s="8">
        <v>46099</v>
      </c>
      <c r="E2059" s="9">
        <v>0.94304398148233304</v>
      </c>
      <c r="F2059" s="10" t="s">
        <v>2323</v>
      </c>
      <c r="G2059" s="10" t="s">
        <v>26</v>
      </c>
      <c r="H2059" s="10" t="s">
        <v>86</v>
      </c>
      <c r="I2059" s="10" t="s">
        <v>23</v>
      </c>
      <c r="J2059" s="11">
        <v>0.88</v>
      </c>
      <c r="K2059" s="12"/>
      <c r="L2059" s="12"/>
      <c r="M2059" s="12"/>
      <c r="N2059" s="12"/>
      <c r="O2059" s="12"/>
      <c r="P2059" s="12"/>
      <c r="Q2059" s="12"/>
      <c r="R2059" s="12"/>
      <c r="S2059" s="12"/>
    </row>
    <row r="2060" spans="1:19" ht="14.25" customHeight="1" x14ac:dyDescent="0.2">
      <c r="A2060" s="1" t="s">
        <v>42</v>
      </c>
      <c r="B2060" s="7">
        <v>46099.918912037036</v>
      </c>
      <c r="C2060" s="7">
        <v>46099.953622685185</v>
      </c>
      <c r="D2060" s="8">
        <v>46099</v>
      </c>
      <c r="E2060" s="9">
        <v>0.95362268518510973</v>
      </c>
      <c r="F2060" s="10" t="s">
        <v>2324</v>
      </c>
      <c r="G2060" s="10" t="s">
        <v>26</v>
      </c>
      <c r="H2060" s="10" t="s">
        <v>125</v>
      </c>
      <c r="I2060" s="10" t="s">
        <v>23</v>
      </c>
      <c r="J2060" s="11">
        <v>0.63</v>
      </c>
      <c r="K2060" s="12"/>
      <c r="L2060" s="12"/>
      <c r="M2060" s="12"/>
      <c r="N2060" s="12"/>
      <c r="O2060" s="12"/>
      <c r="P2060" s="12"/>
      <c r="Q2060" s="12"/>
      <c r="R2060" s="12"/>
      <c r="S2060" s="12"/>
    </row>
    <row r="2061" spans="1:19" ht="14.25" customHeight="1" x14ac:dyDescent="0.2">
      <c r="A2061" s="22" t="s">
        <v>24</v>
      </c>
      <c r="B2061" s="23">
        <v>46099.878599537034</v>
      </c>
      <c r="C2061" s="23">
        <v>46099.960648148146</v>
      </c>
      <c r="D2061" s="24">
        <v>46099</v>
      </c>
      <c r="E2061" s="25">
        <v>0.96064814814599231</v>
      </c>
      <c r="F2061" s="22" t="s">
        <v>2325</v>
      </c>
      <c r="G2061" s="22" t="s">
        <v>44</v>
      </c>
      <c r="H2061" s="22" t="s">
        <v>185</v>
      </c>
      <c r="I2061" s="22" t="s">
        <v>583</v>
      </c>
      <c r="J2061" s="26">
        <v>0.18</v>
      </c>
      <c r="K2061" s="26"/>
      <c r="L2061" s="26">
        <f>SUM(J2061:J2082)</f>
        <v>19.029999999999998</v>
      </c>
      <c r="M2061" s="13">
        <f>L2061*65</f>
        <v>1236.9499999999998</v>
      </c>
      <c r="N2061" s="14">
        <f>MAX(500,M2061)</f>
        <v>1236.9499999999998</v>
      </c>
      <c r="O2061" s="26"/>
      <c r="P2061" s="26"/>
      <c r="Q2061" s="26"/>
      <c r="R2061" s="26"/>
      <c r="S2061" s="26"/>
    </row>
    <row r="2062" spans="1:19" ht="14.25" customHeight="1" x14ac:dyDescent="0.2">
      <c r="A2062" s="22" t="s">
        <v>24</v>
      </c>
      <c r="B2062" s="23">
        <v>46099.873773148145</v>
      </c>
      <c r="C2062" s="23">
        <v>46099.962592592594</v>
      </c>
      <c r="D2062" s="24">
        <v>46099</v>
      </c>
      <c r="E2062" s="25">
        <v>0.96259259259386454</v>
      </c>
      <c r="F2062" s="22" t="s">
        <v>2326</v>
      </c>
      <c r="G2062" s="22" t="s">
        <v>44</v>
      </c>
      <c r="H2062" s="22" t="s">
        <v>48</v>
      </c>
      <c r="I2062" s="22" t="s">
        <v>583</v>
      </c>
      <c r="J2062" s="26">
        <v>0.21</v>
      </c>
      <c r="K2062" s="26"/>
      <c r="L2062" s="26"/>
      <c r="M2062" s="26"/>
      <c r="N2062" s="26"/>
      <c r="O2062" s="26"/>
      <c r="P2062" s="26"/>
      <c r="Q2062" s="26"/>
      <c r="R2062" s="26"/>
      <c r="S2062" s="26"/>
    </row>
    <row r="2063" spans="1:19" ht="14.25" customHeight="1" x14ac:dyDescent="0.2">
      <c r="A2063" s="22" t="s">
        <v>24</v>
      </c>
      <c r="B2063" s="23">
        <v>46099.876770833333</v>
      </c>
      <c r="C2063" s="23">
        <v>46099.964444444442</v>
      </c>
      <c r="D2063" s="24">
        <v>46099</v>
      </c>
      <c r="E2063" s="25">
        <v>0.96444444444205146</v>
      </c>
      <c r="F2063" s="22" t="s">
        <v>2327</v>
      </c>
      <c r="G2063" s="22" t="s">
        <v>44</v>
      </c>
      <c r="H2063" s="22" t="s">
        <v>185</v>
      </c>
      <c r="I2063" s="22" t="s">
        <v>583</v>
      </c>
      <c r="J2063" s="26">
        <v>0.18</v>
      </c>
      <c r="K2063" s="26"/>
      <c r="L2063" s="26"/>
      <c r="M2063" s="26"/>
      <c r="N2063" s="26"/>
      <c r="O2063" s="26"/>
      <c r="P2063" s="26"/>
      <c r="Q2063" s="26"/>
      <c r="R2063" s="26"/>
      <c r="S2063" s="26"/>
    </row>
    <row r="2064" spans="1:19" ht="14.25" customHeight="1" x14ac:dyDescent="0.2">
      <c r="A2064" s="22" t="s">
        <v>230</v>
      </c>
      <c r="B2064" s="23">
        <v>46099.876898148148</v>
      </c>
      <c r="C2064" s="23">
        <v>46099.966041666667</v>
      </c>
      <c r="D2064" s="24">
        <v>46099</v>
      </c>
      <c r="E2064" s="25">
        <v>0.96604166666656965</v>
      </c>
      <c r="F2064" s="22" t="s">
        <v>2328</v>
      </c>
      <c r="G2064" s="22" t="s">
        <v>44</v>
      </c>
      <c r="H2064" s="22" t="s">
        <v>2329</v>
      </c>
      <c r="I2064" s="22" t="s">
        <v>583</v>
      </c>
      <c r="J2064" s="26">
        <v>0.17</v>
      </c>
      <c r="K2064" s="26"/>
      <c r="L2064" s="26"/>
      <c r="M2064" s="26"/>
      <c r="N2064" s="26"/>
      <c r="O2064" s="26"/>
      <c r="P2064" s="26"/>
      <c r="Q2064" s="26"/>
      <c r="R2064" s="26"/>
      <c r="S2064" s="26"/>
    </row>
    <row r="2065" spans="1:19" ht="14.25" customHeight="1" x14ac:dyDescent="0.2">
      <c r="A2065" s="22" t="s">
        <v>19</v>
      </c>
      <c r="B2065" s="23">
        <v>46099.884201388886</v>
      </c>
      <c r="C2065" s="23">
        <v>46099.967638888891</v>
      </c>
      <c r="D2065" s="24">
        <v>46099</v>
      </c>
      <c r="E2065" s="25">
        <v>0.96763888889108784</v>
      </c>
      <c r="F2065" s="22" t="s">
        <v>2330</v>
      </c>
      <c r="G2065" s="22" t="s">
        <v>44</v>
      </c>
      <c r="H2065" s="22" t="s">
        <v>185</v>
      </c>
      <c r="I2065" s="22" t="s">
        <v>583</v>
      </c>
      <c r="J2065" s="26">
        <v>0.18</v>
      </c>
      <c r="K2065" s="26"/>
      <c r="L2065" s="26"/>
      <c r="M2065" s="26"/>
      <c r="N2065" s="26"/>
      <c r="O2065" s="26"/>
      <c r="P2065" s="26"/>
      <c r="Q2065" s="26"/>
      <c r="R2065" s="26"/>
      <c r="S2065" s="26"/>
    </row>
    <row r="2066" spans="1:19" ht="14.25" customHeight="1" x14ac:dyDescent="0.2">
      <c r="A2066" s="1" t="s">
        <v>19</v>
      </c>
      <c r="B2066" s="7">
        <v>46099.932395833333</v>
      </c>
      <c r="C2066" s="7">
        <v>46099.970821759256</v>
      </c>
      <c r="D2066" s="8">
        <v>46099</v>
      </c>
      <c r="E2066" s="9">
        <v>0.97082175925606862</v>
      </c>
      <c r="F2066" s="10" t="s">
        <v>2331</v>
      </c>
      <c r="G2066" s="10" t="s">
        <v>26</v>
      </c>
      <c r="H2066" s="10" t="s">
        <v>1133</v>
      </c>
      <c r="I2066" s="10" t="s">
        <v>23</v>
      </c>
      <c r="J2066" s="11">
        <v>0.44</v>
      </c>
      <c r="K2066" s="12"/>
      <c r="L2066" s="12"/>
      <c r="M2066" s="12"/>
      <c r="N2066" s="12"/>
      <c r="O2066" s="12"/>
      <c r="P2066" s="12"/>
      <c r="Q2066" s="12"/>
      <c r="R2066" s="12"/>
      <c r="S2066" s="12"/>
    </row>
    <row r="2067" spans="1:19" ht="14.25" customHeight="1" x14ac:dyDescent="0.2">
      <c r="A2067" s="1" t="s">
        <v>24</v>
      </c>
      <c r="B2067" s="7">
        <v>46099.90284722222</v>
      </c>
      <c r="C2067" s="7">
        <v>46099.976145833331</v>
      </c>
      <c r="D2067" s="8">
        <v>46099</v>
      </c>
      <c r="E2067" s="9">
        <v>0.97614583333051996</v>
      </c>
      <c r="F2067" s="10" t="s">
        <v>2332</v>
      </c>
      <c r="G2067" s="10" t="s">
        <v>26</v>
      </c>
      <c r="H2067" s="10" t="s">
        <v>1019</v>
      </c>
      <c r="I2067" s="10" t="s">
        <v>23</v>
      </c>
      <c r="J2067" s="11">
        <v>0.67</v>
      </c>
      <c r="K2067" s="12"/>
      <c r="L2067" s="12"/>
      <c r="M2067" s="12"/>
      <c r="N2067" s="12"/>
      <c r="O2067" s="12"/>
      <c r="P2067" s="12"/>
      <c r="Q2067" s="12"/>
      <c r="R2067" s="12"/>
      <c r="S2067" s="12"/>
    </row>
    <row r="2068" spans="1:19" ht="14.25" customHeight="1" x14ac:dyDescent="0.2">
      <c r="A2068" s="22" t="s">
        <v>95</v>
      </c>
      <c r="B2068" s="23">
        <v>46099.959606481483</v>
      </c>
      <c r="C2068" s="23">
        <v>46099.976851851854</v>
      </c>
      <c r="D2068" s="24">
        <v>46099</v>
      </c>
      <c r="E2068" s="25">
        <v>0.97685185185400769</v>
      </c>
      <c r="F2068" s="22" t="s">
        <v>2333</v>
      </c>
      <c r="G2068" s="22" t="s">
        <v>21</v>
      </c>
      <c r="H2068" s="22" t="s">
        <v>97</v>
      </c>
      <c r="I2068" s="22" t="s">
        <v>583</v>
      </c>
      <c r="J2068" s="26">
        <v>1.77</v>
      </c>
      <c r="K2068" s="26"/>
      <c r="L2068" s="26"/>
      <c r="M2068" s="26"/>
      <c r="N2068" s="26"/>
      <c r="O2068" s="26"/>
      <c r="P2068" s="26"/>
      <c r="Q2068" s="26"/>
      <c r="R2068" s="26"/>
      <c r="S2068" s="26"/>
    </row>
    <row r="2069" spans="1:19" ht="14.25" customHeight="1" x14ac:dyDescent="0.2">
      <c r="A2069" s="1" t="s">
        <v>33</v>
      </c>
      <c r="B2069" s="7">
        <v>46099.961284722223</v>
      </c>
      <c r="C2069" s="7">
        <v>46099.977314814816</v>
      </c>
      <c r="D2069" s="8">
        <v>46099</v>
      </c>
      <c r="E2069" s="9">
        <v>0.97731481481605442</v>
      </c>
      <c r="F2069" s="10" t="s">
        <v>2334</v>
      </c>
      <c r="G2069" s="10" t="s">
        <v>21</v>
      </c>
      <c r="H2069" s="10" t="s">
        <v>101</v>
      </c>
      <c r="I2069" s="10" t="s">
        <v>23</v>
      </c>
      <c r="J2069" s="11">
        <v>1.7</v>
      </c>
      <c r="K2069" s="12"/>
      <c r="L2069" s="12"/>
      <c r="M2069" s="12"/>
      <c r="N2069" s="12"/>
      <c r="O2069" s="12"/>
      <c r="P2069" s="12"/>
      <c r="Q2069" s="12"/>
      <c r="R2069" s="12"/>
      <c r="S2069" s="12"/>
    </row>
    <row r="2070" spans="1:19" ht="14.25" customHeight="1" x14ac:dyDescent="0.2">
      <c r="A2070" s="1" t="s">
        <v>42</v>
      </c>
      <c r="B2070" s="7">
        <v>46099.95175925926</v>
      </c>
      <c r="C2070" s="7">
        <v>46099.978425925925</v>
      </c>
      <c r="D2070" s="8">
        <v>46099</v>
      </c>
      <c r="E2070" s="9">
        <v>0.97842592592496658</v>
      </c>
      <c r="F2070" s="10" t="s">
        <v>2335</v>
      </c>
      <c r="G2070" s="10" t="s">
        <v>26</v>
      </c>
      <c r="H2070" s="10" t="s">
        <v>56</v>
      </c>
      <c r="I2070" s="10" t="s">
        <v>23</v>
      </c>
      <c r="J2070" s="11">
        <v>0.73</v>
      </c>
      <c r="K2070" s="12"/>
      <c r="L2070" s="12"/>
      <c r="M2070" s="12"/>
      <c r="N2070" s="12"/>
      <c r="O2070" s="12"/>
      <c r="P2070" s="12"/>
      <c r="Q2070" s="12"/>
      <c r="R2070" s="12"/>
      <c r="S2070" s="12"/>
    </row>
    <row r="2071" spans="1:19" ht="14.25" customHeight="1" x14ac:dyDescent="0.2">
      <c r="A2071" s="22" t="s">
        <v>33</v>
      </c>
      <c r="B2071" s="23">
        <v>46099.896655092591</v>
      </c>
      <c r="C2071" s="23">
        <v>46099.978645833333</v>
      </c>
      <c r="D2071" s="24">
        <v>46099</v>
      </c>
      <c r="E2071" s="25">
        <v>0.97864583333284827</v>
      </c>
      <c r="F2071" s="22" t="s">
        <v>2336</v>
      </c>
      <c r="G2071" s="22" t="s">
        <v>44</v>
      </c>
      <c r="H2071" s="22" t="s">
        <v>185</v>
      </c>
      <c r="I2071" s="22" t="s">
        <v>583</v>
      </c>
      <c r="J2071" s="26">
        <v>0.18</v>
      </c>
      <c r="K2071" s="26"/>
      <c r="L2071" s="26"/>
      <c r="M2071" s="26"/>
      <c r="N2071" s="26"/>
      <c r="O2071" s="26"/>
      <c r="P2071" s="26"/>
      <c r="Q2071" s="26"/>
      <c r="R2071" s="26"/>
      <c r="S2071" s="26"/>
    </row>
    <row r="2072" spans="1:19" ht="14.25" customHeight="1" x14ac:dyDescent="0.2">
      <c r="A2072" s="1" t="s">
        <v>24</v>
      </c>
      <c r="B2072" s="7">
        <v>46099.912581018521</v>
      </c>
      <c r="C2072" s="7">
        <v>46099.978784722225</v>
      </c>
      <c r="D2072" s="8">
        <v>46099</v>
      </c>
      <c r="E2072" s="9">
        <v>0.97878472222510027</v>
      </c>
      <c r="F2072" s="10" t="s">
        <v>2337</v>
      </c>
      <c r="G2072" s="10" t="s">
        <v>26</v>
      </c>
      <c r="H2072" s="10" t="s">
        <v>27</v>
      </c>
      <c r="I2072" s="10" t="s">
        <v>23</v>
      </c>
      <c r="J2072" s="11">
        <v>0.68</v>
      </c>
      <c r="K2072" s="12"/>
      <c r="L2072" s="12"/>
      <c r="M2072" s="12"/>
      <c r="N2072" s="12"/>
      <c r="O2072" s="12"/>
      <c r="P2072" s="12"/>
      <c r="Q2072" s="12"/>
      <c r="R2072" s="12"/>
      <c r="S2072" s="12"/>
    </row>
    <row r="2073" spans="1:19" ht="14.25" customHeight="1" x14ac:dyDescent="0.2">
      <c r="A2073" s="1" t="s">
        <v>24</v>
      </c>
      <c r="B2073" s="7">
        <v>46099.876828703702</v>
      </c>
      <c r="C2073" s="7">
        <v>46099.979131944441</v>
      </c>
      <c r="D2073" s="8">
        <v>46099</v>
      </c>
      <c r="E2073" s="9">
        <v>0.97913194444117835</v>
      </c>
      <c r="F2073" s="10" t="s">
        <v>2338</v>
      </c>
      <c r="G2073" s="10" t="s">
        <v>26</v>
      </c>
      <c r="H2073" s="10" t="s">
        <v>315</v>
      </c>
      <c r="I2073" s="10" t="s">
        <v>23</v>
      </c>
      <c r="J2073" s="11">
        <v>0.88</v>
      </c>
      <c r="K2073" s="12"/>
      <c r="L2073" s="12"/>
      <c r="M2073" s="12"/>
      <c r="N2073" s="12"/>
      <c r="O2073" s="12"/>
      <c r="P2073" s="12"/>
      <c r="Q2073" s="12"/>
      <c r="R2073" s="12"/>
      <c r="S2073" s="12"/>
    </row>
    <row r="2074" spans="1:19" ht="14.25" customHeight="1" x14ac:dyDescent="0.2">
      <c r="A2074" s="1" t="s">
        <v>19</v>
      </c>
      <c r="B2074" s="7">
        <v>46099.956354166665</v>
      </c>
      <c r="C2074" s="7">
        <v>46099.980775462966</v>
      </c>
      <c r="D2074" s="8">
        <v>46099</v>
      </c>
      <c r="E2074" s="9">
        <v>0.98077546296553919</v>
      </c>
      <c r="F2074" s="10" t="s">
        <v>2339</v>
      </c>
      <c r="G2074" s="10" t="s">
        <v>21</v>
      </c>
      <c r="H2074" s="10" t="s">
        <v>101</v>
      </c>
      <c r="I2074" s="10" t="s">
        <v>23</v>
      </c>
      <c r="J2074" s="11">
        <v>1.7</v>
      </c>
      <c r="K2074" s="12"/>
      <c r="L2074" s="12"/>
      <c r="M2074" s="12"/>
      <c r="N2074" s="12"/>
      <c r="O2074" s="12"/>
      <c r="P2074" s="12"/>
      <c r="Q2074" s="12"/>
      <c r="R2074" s="12"/>
      <c r="S2074" s="12"/>
    </row>
    <row r="2075" spans="1:19" ht="14.25" customHeight="1" x14ac:dyDescent="0.2">
      <c r="A2075" s="1" t="s">
        <v>24</v>
      </c>
      <c r="B2075" s="7">
        <v>46099.893576388888</v>
      </c>
      <c r="C2075" s="7">
        <v>46099.98165509259</v>
      </c>
      <c r="D2075" s="8">
        <v>46099</v>
      </c>
      <c r="E2075" s="9">
        <v>0.98165509258979</v>
      </c>
      <c r="F2075" s="10" t="s">
        <v>2340</v>
      </c>
      <c r="G2075" s="10" t="s">
        <v>26</v>
      </c>
      <c r="H2075" s="10" t="s">
        <v>128</v>
      </c>
      <c r="I2075" s="10" t="s">
        <v>23</v>
      </c>
      <c r="J2075" s="11">
        <v>0.97</v>
      </c>
      <c r="K2075" s="12"/>
      <c r="L2075" s="12"/>
      <c r="M2075" s="12"/>
      <c r="N2075" s="12"/>
      <c r="O2075" s="12"/>
      <c r="P2075" s="12"/>
      <c r="Q2075" s="12"/>
      <c r="R2075" s="12"/>
      <c r="S2075" s="12"/>
    </row>
    <row r="2076" spans="1:19" ht="14.25" customHeight="1" x14ac:dyDescent="0.2">
      <c r="A2076" s="22" t="s">
        <v>95</v>
      </c>
      <c r="B2076" s="23">
        <v>46099.973495370374</v>
      </c>
      <c r="C2076" s="23">
        <v>46099.987928240742</v>
      </c>
      <c r="D2076" s="24">
        <v>46099</v>
      </c>
      <c r="E2076" s="25">
        <v>0.98792824074189411</v>
      </c>
      <c r="F2076" s="22" t="s">
        <v>2341</v>
      </c>
      <c r="G2076" s="22" t="s">
        <v>21</v>
      </c>
      <c r="H2076" s="22" t="s">
        <v>97</v>
      </c>
      <c r="I2076" s="22" t="s">
        <v>583</v>
      </c>
      <c r="J2076" s="26">
        <v>1.77</v>
      </c>
      <c r="K2076" s="26"/>
      <c r="L2076" s="26"/>
      <c r="M2076" s="26"/>
      <c r="N2076" s="26"/>
      <c r="O2076" s="26"/>
      <c r="P2076" s="26"/>
      <c r="Q2076" s="26"/>
      <c r="R2076" s="26"/>
      <c r="S2076" s="26"/>
    </row>
    <row r="2077" spans="1:19" ht="14.25" customHeight="1" x14ac:dyDescent="0.2">
      <c r="A2077" s="1" t="s">
        <v>95</v>
      </c>
      <c r="B2077" s="7">
        <v>46099.987500000003</v>
      </c>
      <c r="C2077" s="7">
        <v>46099.993090277778</v>
      </c>
      <c r="D2077" s="8">
        <v>46099</v>
      </c>
      <c r="E2077" s="9">
        <v>0.99309027777781012</v>
      </c>
      <c r="F2077" s="10" t="s">
        <v>2342</v>
      </c>
      <c r="G2077" s="10" t="s">
        <v>21</v>
      </c>
      <c r="H2077" s="10" t="s">
        <v>110</v>
      </c>
      <c r="I2077" s="10" t="s">
        <v>23</v>
      </c>
      <c r="J2077" s="11">
        <v>0.83</v>
      </c>
      <c r="K2077" s="12"/>
      <c r="L2077" s="12"/>
      <c r="M2077" s="12"/>
      <c r="N2077" s="12"/>
      <c r="O2077" s="12"/>
      <c r="P2077" s="12"/>
      <c r="Q2077" s="12"/>
      <c r="R2077" s="12"/>
      <c r="S2077" s="12"/>
    </row>
    <row r="2078" spans="1:19" ht="14.25" customHeight="1" x14ac:dyDescent="0.2">
      <c r="A2078" s="1" t="s">
        <v>19</v>
      </c>
      <c r="B2078" s="7">
        <v>46099.976921296293</v>
      </c>
      <c r="C2078" s="7">
        <v>46099.994340277779</v>
      </c>
      <c r="D2078" s="8">
        <v>46099</v>
      </c>
      <c r="E2078" s="9">
        <v>0.99434027777897427</v>
      </c>
      <c r="F2078" s="10" t="s">
        <v>2343</v>
      </c>
      <c r="G2078" s="10" t="s">
        <v>21</v>
      </c>
      <c r="H2078" s="10" t="s">
        <v>101</v>
      </c>
      <c r="I2078" s="10" t="s">
        <v>23</v>
      </c>
      <c r="J2078" s="11">
        <v>1.7</v>
      </c>
      <c r="K2078" s="12"/>
      <c r="L2078" s="12"/>
      <c r="M2078" s="12"/>
      <c r="N2078" s="12"/>
      <c r="O2078" s="12"/>
      <c r="P2078" s="12"/>
      <c r="Q2078" s="12"/>
      <c r="R2078" s="12"/>
      <c r="S2078" s="12"/>
    </row>
    <row r="2079" spans="1:19" ht="14.25" customHeight="1" x14ac:dyDescent="0.2">
      <c r="A2079" s="1" t="s">
        <v>42</v>
      </c>
      <c r="B2079" s="7">
        <v>46099.972824074073</v>
      </c>
      <c r="C2079" s="7">
        <v>46099.994745370372</v>
      </c>
      <c r="D2079" s="8">
        <v>46099</v>
      </c>
      <c r="E2079" s="9">
        <v>0.99474537037167465</v>
      </c>
      <c r="F2079" s="10" t="s">
        <v>2344</v>
      </c>
      <c r="G2079" s="10" t="s">
        <v>26</v>
      </c>
      <c r="H2079" s="10" t="s">
        <v>2345</v>
      </c>
      <c r="I2079" s="10" t="s">
        <v>23</v>
      </c>
      <c r="J2079" s="11">
        <v>0.66</v>
      </c>
      <c r="K2079" s="12"/>
      <c r="L2079" s="12"/>
      <c r="M2079" s="12"/>
      <c r="N2079" s="12"/>
      <c r="O2079" s="12"/>
      <c r="P2079" s="12"/>
      <c r="Q2079" s="12"/>
      <c r="R2079" s="12"/>
      <c r="S2079" s="12"/>
    </row>
    <row r="2080" spans="1:19" ht="14.25" customHeight="1" x14ac:dyDescent="0.2">
      <c r="A2080" s="1" t="s">
        <v>95</v>
      </c>
      <c r="B2080" s="7">
        <v>46099.974872685183</v>
      </c>
      <c r="C2080" s="7">
        <v>46099.995439814818</v>
      </c>
      <c r="D2080" s="8">
        <v>46099</v>
      </c>
      <c r="E2080" s="9">
        <v>0.99543981481838273</v>
      </c>
      <c r="F2080" s="10" t="s">
        <v>2346</v>
      </c>
      <c r="G2080" s="10" t="s">
        <v>26</v>
      </c>
      <c r="H2080" s="10" t="s">
        <v>1994</v>
      </c>
      <c r="I2080" s="10" t="s">
        <v>23</v>
      </c>
      <c r="J2080" s="11">
        <v>0.83</v>
      </c>
      <c r="K2080" s="12"/>
      <c r="L2080" s="12"/>
      <c r="M2080" s="12"/>
      <c r="N2080" s="12"/>
      <c r="O2080" s="12"/>
      <c r="P2080" s="12"/>
      <c r="Q2080" s="12"/>
      <c r="R2080" s="12"/>
      <c r="S2080" s="12"/>
    </row>
    <row r="2081" spans="1:19" ht="14.25" customHeight="1" x14ac:dyDescent="0.2">
      <c r="A2081" s="1" t="s">
        <v>24</v>
      </c>
      <c r="B2081" s="7">
        <v>46099.981249999997</v>
      </c>
      <c r="C2081" s="7">
        <v>46099.995636574073</v>
      </c>
      <c r="D2081" s="8">
        <v>46099</v>
      </c>
      <c r="E2081" s="9">
        <v>0.99563657407270512</v>
      </c>
      <c r="F2081" s="10" t="s">
        <v>2347</v>
      </c>
      <c r="G2081" s="10" t="s">
        <v>21</v>
      </c>
      <c r="H2081" s="10" t="s">
        <v>22</v>
      </c>
      <c r="I2081" s="10" t="s">
        <v>23</v>
      </c>
      <c r="J2081" s="11">
        <v>0.83</v>
      </c>
      <c r="K2081" s="12"/>
      <c r="L2081" s="12"/>
      <c r="M2081" s="12"/>
      <c r="N2081" s="12"/>
      <c r="O2081" s="12"/>
      <c r="P2081" s="12"/>
      <c r="Q2081" s="12"/>
      <c r="R2081" s="12"/>
      <c r="S2081" s="12"/>
    </row>
    <row r="2082" spans="1:19" ht="14.25" customHeight="1" x14ac:dyDescent="0.2">
      <c r="A2082" s="22" t="s">
        <v>57</v>
      </c>
      <c r="B2082" s="23">
        <v>46099.976226851853</v>
      </c>
      <c r="C2082" s="23">
        <v>46099.996736111112</v>
      </c>
      <c r="D2082" s="24">
        <v>46099</v>
      </c>
      <c r="E2082" s="25">
        <v>0.99673611111211358</v>
      </c>
      <c r="F2082" s="22" t="s">
        <v>2348</v>
      </c>
      <c r="G2082" s="22" t="s">
        <v>21</v>
      </c>
      <c r="H2082" s="22" t="s">
        <v>303</v>
      </c>
      <c r="I2082" s="22" t="s">
        <v>583</v>
      </c>
      <c r="J2082" s="26">
        <v>1.77</v>
      </c>
      <c r="K2082" s="26"/>
      <c r="L2082" s="26"/>
      <c r="M2082" s="26"/>
      <c r="N2082" s="26"/>
      <c r="O2082" s="26"/>
      <c r="P2082" s="26"/>
      <c r="Q2082" s="26"/>
      <c r="R2082" s="26"/>
      <c r="S2082" s="26"/>
    </row>
    <row r="2083" spans="1:19" ht="14.25" customHeight="1" x14ac:dyDescent="0.2">
      <c r="A2083" s="1" t="s">
        <v>57</v>
      </c>
      <c r="B2083" s="7">
        <v>46099.990474537037</v>
      </c>
      <c r="C2083" s="7">
        <v>46100.001956018517</v>
      </c>
      <c r="D2083" s="8">
        <v>46100</v>
      </c>
      <c r="E2083" s="9">
        <v>1.9560185173759237E-3</v>
      </c>
      <c r="F2083" s="10" t="s">
        <v>2349</v>
      </c>
      <c r="G2083" s="10" t="s">
        <v>21</v>
      </c>
      <c r="H2083" s="10" t="s">
        <v>59</v>
      </c>
      <c r="I2083" s="10" t="s">
        <v>23</v>
      </c>
      <c r="J2083" s="11">
        <v>0.83</v>
      </c>
      <c r="K2083" s="12"/>
      <c r="L2083" s="12">
        <f>SUM(J2083:J2101)</f>
        <v>24.369999999999997</v>
      </c>
      <c r="M2083" s="13">
        <f>L2083*65</f>
        <v>1584.0499999999997</v>
      </c>
      <c r="N2083" s="14">
        <f>MAX(500,M2083)</f>
        <v>1584.0499999999997</v>
      </c>
      <c r="O2083" s="12"/>
      <c r="P2083" s="12"/>
      <c r="Q2083" s="12"/>
      <c r="R2083" s="12"/>
      <c r="S2083" s="12"/>
    </row>
    <row r="2084" spans="1:19" ht="14.25" customHeight="1" x14ac:dyDescent="0.2">
      <c r="A2084" s="1" t="s">
        <v>33</v>
      </c>
      <c r="B2084" s="7">
        <v>46099.963993055557</v>
      </c>
      <c r="C2084" s="7">
        <v>46100.003206018519</v>
      </c>
      <c r="D2084" s="8">
        <v>46100</v>
      </c>
      <c r="E2084" s="9">
        <v>3.2060185185400769E-3</v>
      </c>
      <c r="F2084" s="10" t="s">
        <v>2350</v>
      </c>
      <c r="G2084" s="10" t="s">
        <v>26</v>
      </c>
      <c r="H2084" s="10" t="s">
        <v>2351</v>
      </c>
      <c r="I2084" s="10" t="s">
        <v>23</v>
      </c>
      <c r="J2084" s="11">
        <v>0.78</v>
      </c>
      <c r="K2084" s="12"/>
      <c r="L2084" s="12"/>
      <c r="M2084" s="12"/>
      <c r="N2084" s="12"/>
      <c r="O2084" s="12"/>
      <c r="P2084" s="12"/>
      <c r="Q2084" s="12"/>
      <c r="R2084" s="12"/>
      <c r="S2084" s="12"/>
    </row>
    <row r="2085" spans="1:19" ht="14.25" customHeight="1" x14ac:dyDescent="0.2">
      <c r="A2085" s="1" t="s">
        <v>95</v>
      </c>
      <c r="B2085" s="7">
        <v>46099.990324074075</v>
      </c>
      <c r="C2085" s="7">
        <v>46100.004050925927</v>
      </c>
      <c r="D2085" s="8">
        <v>46100</v>
      </c>
      <c r="E2085" s="9">
        <v>4.0509259270038456E-3</v>
      </c>
      <c r="F2085" s="10" t="s">
        <v>2352</v>
      </c>
      <c r="G2085" s="10" t="s">
        <v>21</v>
      </c>
      <c r="H2085" s="10" t="s">
        <v>865</v>
      </c>
      <c r="I2085" s="10" t="s">
        <v>23</v>
      </c>
      <c r="J2085" s="11">
        <v>2.9</v>
      </c>
      <c r="K2085" s="12"/>
      <c r="L2085" s="12"/>
      <c r="M2085" s="12"/>
      <c r="N2085" s="12"/>
      <c r="O2085" s="12"/>
      <c r="P2085" s="12"/>
      <c r="Q2085" s="12"/>
      <c r="R2085" s="12"/>
      <c r="S2085" s="12"/>
    </row>
    <row r="2086" spans="1:19" ht="14.25" customHeight="1" x14ac:dyDescent="0.2">
      <c r="A2086" s="1" t="s">
        <v>19</v>
      </c>
      <c r="B2086" s="7">
        <v>46099.97755787037</v>
      </c>
      <c r="C2086" s="7">
        <v>46100.004780092589</v>
      </c>
      <c r="D2086" s="8">
        <v>46100</v>
      </c>
      <c r="E2086" s="9">
        <v>4.7800925894989632E-3</v>
      </c>
      <c r="F2086" s="10" t="s">
        <v>2353</v>
      </c>
      <c r="G2086" s="10" t="s">
        <v>26</v>
      </c>
      <c r="H2086" s="10" t="s">
        <v>56</v>
      </c>
      <c r="I2086" s="10" t="s">
        <v>23</v>
      </c>
      <c r="J2086" s="11">
        <v>0.73</v>
      </c>
      <c r="K2086" s="12"/>
      <c r="L2086" s="12"/>
      <c r="M2086" s="12"/>
      <c r="N2086" s="12"/>
      <c r="O2086" s="12"/>
      <c r="P2086" s="12"/>
      <c r="Q2086" s="12"/>
      <c r="R2086" s="12"/>
      <c r="S2086" s="12"/>
    </row>
    <row r="2087" spans="1:19" ht="14.25" customHeight="1" x14ac:dyDescent="0.2">
      <c r="A2087" s="22" t="s">
        <v>33</v>
      </c>
      <c r="B2087" s="23">
        <v>46099.977962962963</v>
      </c>
      <c r="C2087" s="23">
        <v>46100.007222222222</v>
      </c>
      <c r="D2087" s="24">
        <v>46100</v>
      </c>
      <c r="E2087" s="25">
        <v>7.2222222224809229E-3</v>
      </c>
      <c r="F2087" s="22" t="s">
        <v>2354</v>
      </c>
      <c r="G2087" s="22" t="s">
        <v>21</v>
      </c>
      <c r="H2087" s="22" t="s">
        <v>39</v>
      </c>
      <c r="I2087" s="22" t="s">
        <v>583</v>
      </c>
      <c r="J2087" s="26">
        <v>1.77</v>
      </c>
      <c r="K2087" s="26"/>
      <c r="L2087" s="26"/>
      <c r="M2087" s="26"/>
      <c r="N2087" s="26"/>
      <c r="O2087" s="26"/>
      <c r="P2087" s="26"/>
      <c r="Q2087" s="26"/>
      <c r="R2087" s="26"/>
      <c r="S2087" s="26"/>
    </row>
    <row r="2088" spans="1:19" ht="14.25" customHeight="1" x14ac:dyDescent="0.2">
      <c r="A2088" s="1" t="s">
        <v>95</v>
      </c>
      <c r="B2088" s="7">
        <v>46099.999108796299</v>
      </c>
      <c r="C2088" s="7">
        <v>46100.007511574076</v>
      </c>
      <c r="D2088" s="8">
        <v>46100</v>
      </c>
      <c r="E2088" s="9">
        <v>7.5115740764886141E-3</v>
      </c>
      <c r="F2088" s="10" t="s">
        <v>2355</v>
      </c>
      <c r="G2088" s="10" t="s">
        <v>21</v>
      </c>
      <c r="H2088" s="10" t="s">
        <v>110</v>
      </c>
      <c r="I2088" s="10" t="s">
        <v>23</v>
      </c>
      <c r="J2088" s="11">
        <v>0.83</v>
      </c>
      <c r="K2088" s="12"/>
      <c r="L2088" s="12"/>
      <c r="M2088" s="12"/>
      <c r="N2088" s="12"/>
      <c r="O2088" s="12"/>
      <c r="P2088" s="12"/>
      <c r="Q2088" s="12"/>
      <c r="R2088" s="12"/>
      <c r="S2088" s="12"/>
    </row>
    <row r="2089" spans="1:19" ht="14.25" customHeight="1" x14ac:dyDescent="0.2">
      <c r="A2089" s="1" t="s">
        <v>28</v>
      </c>
      <c r="B2089" s="7">
        <v>46099.998055555552</v>
      </c>
      <c r="C2089" s="7">
        <v>46100.01085648148</v>
      </c>
      <c r="D2089" s="8">
        <v>46100</v>
      </c>
      <c r="E2089" s="9">
        <v>1.0856481480004732E-2</v>
      </c>
      <c r="F2089" s="10" t="s">
        <v>2356</v>
      </c>
      <c r="G2089" s="10" t="s">
        <v>21</v>
      </c>
      <c r="H2089" s="10" t="s">
        <v>41</v>
      </c>
      <c r="I2089" s="10" t="s">
        <v>23</v>
      </c>
      <c r="J2089" s="11">
        <v>1.77</v>
      </c>
      <c r="K2089" s="12"/>
      <c r="L2089" s="12"/>
      <c r="M2089" s="12"/>
      <c r="N2089" s="12"/>
      <c r="O2089" s="12"/>
      <c r="P2089" s="12"/>
      <c r="Q2089" s="12"/>
      <c r="R2089" s="12"/>
      <c r="S2089" s="12"/>
    </row>
    <row r="2090" spans="1:19" ht="14.25" customHeight="1" x14ac:dyDescent="0.2">
      <c r="A2090" s="1" t="s">
        <v>28</v>
      </c>
      <c r="B2090" s="7">
        <v>46099.998055555552</v>
      </c>
      <c r="C2090" s="7">
        <v>46100.011493055557</v>
      </c>
      <c r="D2090" s="8">
        <v>46100</v>
      </c>
      <c r="E2090" s="9">
        <v>1.1493055557366461E-2</v>
      </c>
      <c r="F2090" s="10" t="s">
        <v>2357</v>
      </c>
      <c r="G2090" s="10" t="s">
        <v>21</v>
      </c>
      <c r="H2090" s="10" t="s">
        <v>39</v>
      </c>
      <c r="I2090" s="10" t="s">
        <v>23</v>
      </c>
      <c r="J2090" s="11">
        <v>1.77</v>
      </c>
      <c r="K2090" s="12"/>
      <c r="L2090" s="12"/>
      <c r="M2090" s="12"/>
      <c r="N2090" s="12"/>
      <c r="O2090" s="12"/>
      <c r="P2090" s="12"/>
      <c r="Q2090" s="12"/>
      <c r="R2090" s="12"/>
      <c r="S2090" s="12"/>
    </row>
    <row r="2091" spans="1:19" ht="14.25" customHeight="1" x14ac:dyDescent="0.2">
      <c r="A2091" s="1" t="s">
        <v>95</v>
      </c>
      <c r="B2091" s="7">
        <v>46099.987997685188</v>
      </c>
      <c r="C2091" s="7">
        <v>46100.016469907408</v>
      </c>
      <c r="D2091" s="8">
        <v>46100</v>
      </c>
      <c r="E2091" s="9">
        <v>1.6469907408463769E-2</v>
      </c>
      <c r="F2091" s="10" t="s">
        <v>2358</v>
      </c>
      <c r="G2091" s="10" t="s">
        <v>21</v>
      </c>
      <c r="H2091" s="10" t="s">
        <v>551</v>
      </c>
      <c r="I2091" s="10" t="s">
        <v>23</v>
      </c>
      <c r="J2091" s="11">
        <v>1.06</v>
      </c>
      <c r="K2091" s="12"/>
      <c r="L2091" s="12"/>
      <c r="M2091" s="12"/>
      <c r="N2091" s="12"/>
      <c r="O2091" s="12"/>
      <c r="P2091" s="12"/>
      <c r="Q2091" s="12"/>
      <c r="R2091" s="12"/>
      <c r="S2091" s="12"/>
    </row>
    <row r="2092" spans="1:19" ht="14.25" customHeight="1" x14ac:dyDescent="0.2">
      <c r="A2092" s="22" t="s">
        <v>19</v>
      </c>
      <c r="B2092" s="23">
        <v>46099.995254629626</v>
      </c>
      <c r="C2092" s="23">
        <v>46100.016493055555</v>
      </c>
      <c r="D2092" s="24">
        <v>46100</v>
      </c>
      <c r="E2092" s="25">
        <v>1.6493055554747116E-2</v>
      </c>
      <c r="F2092" s="22" t="s">
        <v>2359</v>
      </c>
      <c r="G2092" s="22" t="s">
        <v>21</v>
      </c>
      <c r="H2092" s="22" t="s">
        <v>71</v>
      </c>
      <c r="I2092" s="22" t="s">
        <v>583</v>
      </c>
      <c r="J2092" s="26">
        <v>1.05</v>
      </c>
      <c r="K2092" s="26"/>
      <c r="L2092" s="26"/>
      <c r="M2092" s="26"/>
      <c r="N2092" s="26"/>
      <c r="O2092" s="26"/>
      <c r="P2092" s="26"/>
      <c r="Q2092" s="26"/>
      <c r="R2092" s="26"/>
      <c r="S2092" s="26"/>
    </row>
    <row r="2093" spans="1:19" ht="14.25" customHeight="1" x14ac:dyDescent="0.2">
      <c r="A2093" s="22" t="s">
        <v>33</v>
      </c>
      <c r="B2093" s="23">
        <v>46099.918425925927</v>
      </c>
      <c r="C2093" s="23">
        <v>46100.018333333333</v>
      </c>
      <c r="D2093" s="24">
        <v>46100</v>
      </c>
      <c r="E2093" s="25">
        <v>1.8333333333430346E-2</v>
      </c>
      <c r="F2093" s="22" t="s">
        <v>2360</v>
      </c>
      <c r="G2093" s="22" t="s">
        <v>44</v>
      </c>
      <c r="H2093" s="22" t="s">
        <v>185</v>
      </c>
      <c r="I2093" s="22" t="s">
        <v>583</v>
      </c>
      <c r="J2093" s="26">
        <v>0.18</v>
      </c>
      <c r="K2093" s="26"/>
      <c r="L2093" s="26"/>
      <c r="M2093" s="26"/>
      <c r="N2093" s="26"/>
      <c r="O2093" s="26"/>
      <c r="P2093" s="26"/>
      <c r="Q2093" s="26"/>
      <c r="R2093" s="26"/>
      <c r="S2093" s="26"/>
    </row>
    <row r="2094" spans="1:19" ht="14.25" customHeight="1" x14ac:dyDescent="0.2">
      <c r="A2094" s="1" t="s">
        <v>33</v>
      </c>
      <c r="B2094" s="7">
        <v>46100.004664351851</v>
      </c>
      <c r="C2094" s="7">
        <v>46100.021296296298</v>
      </c>
      <c r="D2094" s="8">
        <v>46100</v>
      </c>
      <c r="E2094" s="9">
        <v>2.1296296297805384E-2</v>
      </c>
      <c r="F2094" s="10" t="s">
        <v>2361</v>
      </c>
      <c r="G2094" s="10" t="s">
        <v>26</v>
      </c>
      <c r="H2094" s="10" t="s">
        <v>315</v>
      </c>
      <c r="I2094" s="10" t="s">
        <v>23</v>
      </c>
      <c r="J2094" s="11">
        <v>0.88</v>
      </c>
      <c r="K2094" s="12"/>
      <c r="L2094" s="12"/>
      <c r="M2094" s="12"/>
      <c r="N2094" s="12"/>
      <c r="O2094" s="12"/>
      <c r="P2094" s="12"/>
      <c r="Q2094" s="12"/>
      <c r="R2094" s="12"/>
      <c r="S2094" s="12"/>
    </row>
    <row r="2095" spans="1:19" ht="14.25" customHeight="1" x14ac:dyDescent="0.2">
      <c r="A2095" s="1" t="s">
        <v>42</v>
      </c>
      <c r="B2095" s="7">
        <v>46100.000335648147</v>
      </c>
      <c r="C2095" s="7">
        <v>46100.022604166668</v>
      </c>
      <c r="D2095" s="8">
        <v>46100</v>
      </c>
      <c r="E2095" s="9">
        <v>2.2604166668315884E-2</v>
      </c>
      <c r="F2095" s="10" t="s">
        <v>2362</v>
      </c>
      <c r="G2095" s="10" t="s">
        <v>26</v>
      </c>
      <c r="H2095" s="10" t="s">
        <v>56</v>
      </c>
      <c r="I2095" s="10" t="s">
        <v>23</v>
      </c>
      <c r="J2095" s="11">
        <v>0.73</v>
      </c>
      <c r="K2095" s="12"/>
      <c r="L2095" s="12"/>
      <c r="M2095" s="12"/>
      <c r="N2095" s="12"/>
      <c r="O2095" s="12"/>
      <c r="P2095" s="12"/>
      <c r="Q2095" s="12"/>
      <c r="R2095" s="12"/>
      <c r="S2095" s="12"/>
    </row>
    <row r="2096" spans="1:19" ht="14.25" customHeight="1" x14ac:dyDescent="0.2">
      <c r="A2096" s="1" t="s">
        <v>33</v>
      </c>
      <c r="B2096" s="7">
        <v>46100.014236111114</v>
      </c>
      <c r="C2096" s="7">
        <v>46100.025358796294</v>
      </c>
      <c r="D2096" s="8">
        <v>46100</v>
      </c>
      <c r="E2096" s="9">
        <v>2.5358796294312924E-2</v>
      </c>
      <c r="F2096" s="10" t="s">
        <v>2363</v>
      </c>
      <c r="G2096" s="10" t="s">
        <v>21</v>
      </c>
      <c r="H2096" s="10" t="s">
        <v>39</v>
      </c>
      <c r="I2096" s="10" t="s">
        <v>23</v>
      </c>
      <c r="J2096" s="11">
        <v>1.77</v>
      </c>
      <c r="K2096" s="12"/>
      <c r="L2096" s="12"/>
      <c r="M2096" s="12"/>
      <c r="N2096" s="12"/>
      <c r="O2096" s="12"/>
      <c r="P2096" s="12"/>
      <c r="Q2096" s="12"/>
      <c r="R2096" s="12"/>
      <c r="S2096" s="12"/>
    </row>
    <row r="2097" spans="1:19" ht="14.25" customHeight="1" x14ac:dyDescent="0.2">
      <c r="A2097" s="22" t="s">
        <v>95</v>
      </c>
      <c r="B2097" s="23">
        <v>46100.006319444445</v>
      </c>
      <c r="C2097" s="23">
        <v>46100.029722222222</v>
      </c>
      <c r="D2097" s="24">
        <v>46100</v>
      </c>
      <c r="E2097" s="25">
        <v>2.9722222221607808E-2</v>
      </c>
      <c r="F2097" s="22" t="s">
        <v>2364</v>
      </c>
      <c r="G2097" s="22" t="s">
        <v>21</v>
      </c>
      <c r="H2097" s="22" t="s">
        <v>108</v>
      </c>
      <c r="I2097" s="22" t="s">
        <v>583</v>
      </c>
      <c r="J2097" s="26">
        <v>1.7</v>
      </c>
      <c r="K2097" s="26"/>
      <c r="L2097" s="26"/>
      <c r="M2097" s="26"/>
      <c r="N2097" s="26"/>
      <c r="O2097" s="26"/>
      <c r="P2097" s="26"/>
      <c r="Q2097" s="26"/>
      <c r="R2097" s="26"/>
      <c r="S2097" s="26"/>
    </row>
    <row r="2098" spans="1:19" ht="14.25" customHeight="1" x14ac:dyDescent="0.2">
      <c r="A2098" s="1" t="s">
        <v>19</v>
      </c>
      <c r="B2098" s="7">
        <v>46100.000173611108</v>
      </c>
      <c r="C2098" s="7">
        <v>46100.034097222226</v>
      </c>
      <c r="D2098" s="8">
        <v>46100</v>
      </c>
      <c r="E2098" s="9">
        <v>3.4097222225682344E-2</v>
      </c>
      <c r="F2098" s="10" t="s">
        <v>2365</v>
      </c>
      <c r="G2098" s="10" t="s">
        <v>26</v>
      </c>
      <c r="H2098" s="10" t="s">
        <v>1347</v>
      </c>
      <c r="I2098" s="10" t="s">
        <v>23</v>
      </c>
      <c r="J2098" s="11">
        <v>0.44</v>
      </c>
      <c r="K2098" s="12"/>
      <c r="L2098" s="12"/>
      <c r="M2098" s="12"/>
      <c r="N2098" s="12"/>
      <c r="O2098" s="12"/>
      <c r="P2098" s="12"/>
      <c r="Q2098" s="12"/>
      <c r="R2098" s="12"/>
      <c r="S2098" s="12"/>
    </row>
    <row r="2099" spans="1:19" ht="14.25" customHeight="1" x14ac:dyDescent="0.2">
      <c r="A2099" s="1" t="s">
        <v>19</v>
      </c>
      <c r="B2099" s="7">
        <v>46100.016446759262</v>
      </c>
      <c r="C2099" s="7">
        <v>46100.037858796299</v>
      </c>
      <c r="D2099" s="8">
        <v>46100</v>
      </c>
      <c r="E2099" s="9">
        <v>3.7858796298678499E-2</v>
      </c>
      <c r="F2099" s="10" t="s">
        <v>2366</v>
      </c>
      <c r="G2099" s="10" t="s">
        <v>21</v>
      </c>
      <c r="H2099" s="10" t="s">
        <v>409</v>
      </c>
      <c r="I2099" s="10" t="s">
        <v>23</v>
      </c>
      <c r="J2099" s="11">
        <v>2.9</v>
      </c>
      <c r="K2099" s="12"/>
      <c r="L2099" s="12"/>
      <c r="M2099" s="12"/>
      <c r="N2099" s="12"/>
      <c r="O2099" s="12"/>
      <c r="P2099" s="12"/>
      <c r="Q2099" s="12"/>
      <c r="R2099" s="12"/>
      <c r="S2099" s="12"/>
    </row>
    <row r="2100" spans="1:19" ht="14.25" customHeight="1" x14ac:dyDescent="0.2">
      <c r="A2100" s="22" t="s">
        <v>95</v>
      </c>
      <c r="B2100" s="23">
        <v>46100.015266203707</v>
      </c>
      <c r="C2100" s="23">
        <v>46100.041087962964</v>
      </c>
      <c r="D2100" s="24">
        <v>46100</v>
      </c>
      <c r="E2100" s="25">
        <v>4.1087962963501923E-2</v>
      </c>
      <c r="F2100" s="22" t="s">
        <v>2367</v>
      </c>
      <c r="G2100" s="22" t="s">
        <v>21</v>
      </c>
      <c r="H2100" s="22" t="s">
        <v>108</v>
      </c>
      <c r="I2100" s="22" t="s">
        <v>583</v>
      </c>
      <c r="J2100" s="26">
        <v>1.7</v>
      </c>
      <c r="K2100" s="26"/>
      <c r="L2100" s="26"/>
      <c r="M2100" s="26"/>
      <c r="N2100" s="26"/>
      <c r="O2100" s="26"/>
      <c r="P2100" s="26"/>
      <c r="Q2100" s="26"/>
      <c r="R2100" s="26"/>
      <c r="S2100" s="26"/>
    </row>
    <row r="2101" spans="1:19" ht="14.25" customHeight="1" x14ac:dyDescent="0.2">
      <c r="A2101" s="1" t="s">
        <v>24</v>
      </c>
      <c r="B2101" s="7">
        <v>46100.006192129629</v>
      </c>
      <c r="C2101" s="7">
        <v>46100.041331018518</v>
      </c>
      <c r="D2101" s="8">
        <v>46100</v>
      </c>
      <c r="E2101" s="9">
        <v>4.1331018517666962E-2</v>
      </c>
      <c r="F2101" s="10" t="s">
        <v>2368</v>
      </c>
      <c r="G2101" s="10" t="s">
        <v>26</v>
      </c>
      <c r="H2101" s="10" t="s">
        <v>202</v>
      </c>
      <c r="I2101" s="10" t="s">
        <v>23</v>
      </c>
      <c r="J2101" s="11">
        <v>0.57999999999999996</v>
      </c>
      <c r="K2101" s="12"/>
      <c r="L2101" s="12"/>
      <c r="M2101" s="12"/>
      <c r="N2101" s="12"/>
      <c r="O2101" s="12"/>
      <c r="P2101" s="12"/>
      <c r="Q2101" s="12"/>
      <c r="R2101" s="12"/>
      <c r="S2101" s="12"/>
    </row>
    <row r="2102" spans="1:19" ht="14.25" customHeight="1" x14ac:dyDescent="0.2">
      <c r="A2102" s="1" t="s">
        <v>24</v>
      </c>
      <c r="B2102" s="7">
        <v>46099.99759259259</v>
      </c>
      <c r="C2102" s="7">
        <v>46100.041979166665</v>
      </c>
      <c r="D2102" s="8">
        <v>46100</v>
      </c>
      <c r="E2102" s="9">
        <v>4.1979166664532386E-2</v>
      </c>
      <c r="F2102" s="10" t="s">
        <v>2369</v>
      </c>
      <c r="G2102" s="10" t="s">
        <v>26</v>
      </c>
      <c r="H2102" s="10" t="s">
        <v>768</v>
      </c>
      <c r="I2102" s="10" t="s">
        <v>23</v>
      </c>
      <c r="J2102" s="11">
        <v>0.67</v>
      </c>
      <c r="K2102" s="12"/>
      <c r="L2102" s="12">
        <f>SUM(J2102:J2111)</f>
        <v>11.07</v>
      </c>
      <c r="M2102" s="13">
        <f>L2102*65</f>
        <v>719.55000000000007</v>
      </c>
      <c r="N2102" s="14">
        <f>MAX(500,M2102)</f>
        <v>719.55000000000007</v>
      </c>
      <c r="O2102" s="12"/>
      <c r="P2102" s="12"/>
      <c r="Q2102" s="12"/>
      <c r="R2102" s="12"/>
      <c r="S2102" s="12"/>
    </row>
    <row r="2103" spans="1:19" ht="14.25" customHeight="1" x14ac:dyDescent="0.2">
      <c r="A2103" s="22" t="s">
        <v>24</v>
      </c>
      <c r="B2103" s="23">
        <v>46099.945729166669</v>
      </c>
      <c r="C2103" s="23">
        <v>46100.04310185185</v>
      </c>
      <c r="D2103" s="24">
        <v>46100</v>
      </c>
      <c r="E2103" s="25">
        <v>4.3101851850224193E-2</v>
      </c>
      <c r="F2103" s="22" t="s">
        <v>2370</v>
      </c>
      <c r="G2103" s="22" t="s">
        <v>44</v>
      </c>
      <c r="H2103" s="22" t="s">
        <v>185</v>
      </c>
      <c r="I2103" s="22" t="s">
        <v>583</v>
      </c>
      <c r="J2103" s="26">
        <v>0.18</v>
      </c>
      <c r="K2103" s="26"/>
      <c r="L2103" s="26"/>
      <c r="M2103" s="26"/>
      <c r="N2103" s="26"/>
      <c r="O2103" s="26"/>
      <c r="P2103" s="26"/>
      <c r="Q2103" s="26"/>
      <c r="R2103" s="26"/>
      <c r="S2103" s="26"/>
    </row>
    <row r="2104" spans="1:19" ht="14.25" customHeight="1" x14ac:dyDescent="0.2">
      <c r="A2104" s="1" t="s">
        <v>95</v>
      </c>
      <c r="B2104" s="7">
        <v>46100.031585648147</v>
      </c>
      <c r="C2104" s="7">
        <v>46100.045208333337</v>
      </c>
      <c r="D2104" s="8">
        <v>46100</v>
      </c>
      <c r="E2104" s="9">
        <v>4.5208333336631767E-2</v>
      </c>
      <c r="F2104" s="10" t="s">
        <v>2371</v>
      </c>
      <c r="G2104" s="10" t="s">
        <v>21</v>
      </c>
      <c r="H2104" s="10" t="s">
        <v>2372</v>
      </c>
      <c r="I2104" s="10" t="s">
        <v>23</v>
      </c>
      <c r="J2104" s="11">
        <v>0.98</v>
      </c>
      <c r="K2104" s="12"/>
      <c r="L2104" s="12"/>
      <c r="M2104" s="12"/>
      <c r="N2104" s="12"/>
      <c r="O2104" s="12"/>
      <c r="P2104" s="12"/>
      <c r="Q2104" s="12"/>
      <c r="R2104" s="12"/>
      <c r="S2104" s="12"/>
    </row>
    <row r="2105" spans="1:19" ht="14.25" customHeight="1" x14ac:dyDescent="0.2">
      <c r="A2105" s="1" t="s">
        <v>24</v>
      </c>
      <c r="B2105" s="7">
        <v>46100.018854166665</v>
      </c>
      <c r="C2105" s="7">
        <v>46100.049537037034</v>
      </c>
      <c r="D2105" s="8">
        <v>46100</v>
      </c>
      <c r="E2105" s="9">
        <v>4.9537037033587694E-2</v>
      </c>
      <c r="F2105" s="10" t="s">
        <v>2373</v>
      </c>
      <c r="G2105" s="10" t="s">
        <v>21</v>
      </c>
      <c r="H2105" s="10" t="s">
        <v>41</v>
      </c>
      <c r="I2105" s="10" t="s">
        <v>23</v>
      </c>
      <c r="J2105" s="11">
        <v>1.77</v>
      </c>
      <c r="K2105" s="12"/>
      <c r="L2105" s="12"/>
      <c r="M2105" s="12"/>
      <c r="N2105" s="12"/>
      <c r="O2105" s="12"/>
      <c r="P2105" s="12"/>
      <c r="Q2105" s="12"/>
      <c r="R2105" s="12"/>
      <c r="S2105" s="12"/>
    </row>
    <row r="2106" spans="1:19" ht="14.25" customHeight="1" x14ac:dyDescent="0.2">
      <c r="A2106" s="1" t="s">
        <v>24</v>
      </c>
      <c r="B2106" s="7">
        <v>46100.012511574074</v>
      </c>
      <c r="C2106" s="7">
        <v>46100.05190972222</v>
      </c>
      <c r="D2106" s="8">
        <v>46100</v>
      </c>
      <c r="E2106" s="9">
        <v>5.1909722220443655E-2</v>
      </c>
      <c r="F2106" s="10" t="s">
        <v>2374</v>
      </c>
      <c r="G2106" s="10" t="s">
        <v>21</v>
      </c>
      <c r="H2106" s="10" t="s">
        <v>41</v>
      </c>
      <c r="I2106" s="10" t="s">
        <v>23</v>
      </c>
      <c r="J2106" s="11">
        <v>1.77</v>
      </c>
      <c r="K2106" s="12"/>
      <c r="L2106" s="12"/>
      <c r="M2106" s="12"/>
      <c r="N2106" s="12"/>
      <c r="O2106" s="12"/>
      <c r="P2106" s="12"/>
      <c r="Q2106" s="12"/>
      <c r="R2106" s="12"/>
      <c r="S2106" s="12"/>
    </row>
    <row r="2107" spans="1:19" ht="14.25" customHeight="1" x14ac:dyDescent="0.2">
      <c r="A2107" s="1" t="s">
        <v>24</v>
      </c>
      <c r="B2107" s="7">
        <v>46100.037152777775</v>
      </c>
      <c r="C2107" s="7">
        <v>46100.056805555556</v>
      </c>
      <c r="D2107" s="8">
        <v>46100</v>
      </c>
      <c r="E2107" s="9">
        <v>5.6805555555911269E-2</v>
      </c>
      <c r="F2107" s="10" t="s">
        <v>2375</v>
      </c>
      <c r="G2107" s="10" t="s">
        <v>21</v>
      </c>
      <c r="H2107" s="10" t="s">
        <v>41</v>
      </c>
      <c r="I2107" s="10" t="s">
        <v>23</v>
      </c>
      <c r="J2107" s="11">
        <v>1.77</v>
      </c>
      <c r="K2107" s="12"/>
      <c r="L2107" s="12"/>
      <c r="M2107" s="12"/>
      <c r="N2107" s="12"/>
      <c r="O2107" s="12"/>
      <c r="P2107" s="12"/>
      <c r="Q2107" s="12"/>
      <c r="R2107" s="12"/>
      <c r="S2107" s="12"/>
    </row>
    <row r="2108" spans="1:19" ht="14.25" customHeight="1" x14ac:dyDescent="0.2">
      <c r="A2108" s="1" t="s">
        <v>95</v>
      </c>
      <c r="B2108" s="7">
        <v>46100.061585648145</v>
      </c>
      <c r="C2108" s="7">
        <v>46100.080497685187</v>
      </c>
      <c r="D2108" s="8">
        <v>46100</v>
      </c>
      <c r="E2108" s="9">
        <v>8.0497685186855961E-2</v>
      </c>
      <c r="F2108" s="10" t="s">
        <v>2376</v>
      </c>
      <c r="G2108" s="10" t="s">
        <v>21</v>
      </c>
      <c r="H2108" s="10" t="s">
        <v>154</v>
      </c>
      <c r="I2108" s="10" t="s">
        <v>23</v>
      </c>
      <c r="J2108" s="11">
        <v>1.77</v>
      </c>
      <c r="K2108" s="12"/>
      <c r="L2108" s="12"/>
      <c r="M2108" s="12"/>
      <c r="N2108" s="12"/>
      <c r="O2108" s="12"/>
      <c r="P2108" s="12"/>
      <c r="Q2108" s="12"/>
      <c r="R2108" s="12"/>
      <c r="S2108" s="12"/>
    </row>
    <row r="2109" spans="1:19" ht="14.25" customHeight="1" x14ac:dyDescent="0.2">
      <c r="A2109" s="1" t="s">
        <v>42</v>
      </c>
      <c r="B2109" s="7">
        <v>46100.053807870368</v>
      </c>
      <c r="C2109" s="7">
        <v>46100.081574074073</v>
      </c>
      <c r="D2109" s="8">
        <v>46100</v>
      </c>
      <c r="E2109" s="9">
        <v>8.1574074072705116E-2</v>
      </c>
      <c r="F2109" s="10" t="s">
        <v>2377</v>
      </c>
      <c r="G2109" s="10" t="s">
        <v>44</v>
      </c>
      <c r="H2109" s="10" t="s">
        <v>48</v>
      </c>
      <c r="I2109" s="10" t="s">
        <v>23</v>
      </c>
      <c r="J2109" s="11">
        <v>0.21</v>
      </c>
      <c r="K2109" s="12"/>
      <c r="L2109" s="12"/>
      <c r="M2109" s="12"/>
      <c r="N2109" s="12"/>
      <c r="O2109" s="12"/>
      <c r="P2109" s="12"/>
      <c r="Q2109" s="12"/>
      <c r="R2109" s="12"/>
      <c r="S2109" s="12"/>
    </row>
    <row r="2110" spans="1:19" ht="14.25" customHeight="1" x14ac:dyDescent="0.2">
      <c r="A2110" s="1" t="s">
        <v>95</v>
      </c>
      <c r="B2110" s="7">
        <v>46100.062071759261</v>
      </c>
      <c r="C2110" s="7">
        <v>46100.082835648151</v>
      </c>
      <c r="D2110" s="8">
        <v>46100</v>
      </c>
      <c r="E2110" s="9">
        <v>8.2835648150648922E-2</v>
      </c>
      <c r="F2110" s="10" t="s">
        <v>2378</v>
      </c>
      <c r="G2110" s="10" t="s">
        <v>21</v>
      </c>
      <c r="H2110" s="10" t="s">
        <v>97</v>
      </c>
      <c r="I2110" s="10" t="s">
        <v>23</v>
      </c>
      <c r="J2110" s="11">
        <v>1.77</v>
      </c>
      <c r="K2110" s="12"/>
      <c r="L2110" s="12"/>
      <c r="M2110" s="12"/>
      <c r="N2110" s="12"/>
      <c r="O2110" s="12"/>
      <c r="P2110" s="12"/>
      <c r="Q2110" s="12"/>
      <c r="R2110" s="12"/>
      <c r="S2110" s="12"/>
    </row>
    <row r="2111" spans="1:19" ht="14.25" customHeight="1" x14ac:dyDescent="0.2">
      <c r="A2111" s="1" t="s">
        <v>95</v>
      </c>
      <c r="B2111" s="7">
        <v>46100.000543981485</v>
      </c>
      <c r="C2111" s="7">
        <v>46100.083055555559</v>
      </c>
      <c r="D2111" s="8">
        <v>46100</v>
      </c>
      <c r="E2111" s="9">
        <v>8.3055555558530614E-2</v>
      </c>
      <c r="F2111" s="10" t="s">
        <v>2379</v>
      </c>
      <c r="G2111" s="10" t="s">
        <v>44</v>
      </c>
      <c r="H2111" s="10" t="s">
        <v>2380</v>
      </c>
      <c r="I2111" s="10" t="s">
        <v>23</v>
      </c>
      <c r="J2111" s="11">
        <v>0.18</v>
      </c>
      <c r="K2111" s="12"/>
      <c r="L2111" s="12"/>
      <c r="M2111" s="12"/>
      <c r="N2111" s="12"/>
      <c r="O2111" s="12"/>
      <c r="P2111" s="12"/>
      <c r="Q2111" s="12"/>
      <c r="R2111" s="12"/>
      <c r="S2111" s="12"/>
    </row>
    <row r="2112" spans="1:19" ht="14.25" customHeight="1" x14ac:dyDescent="0.2">
      <c r="A2112" s="1" t="s">
        <v>33</v>
      </c>
      <c r="B2112" s="7">
        <v>46100.032268518517</v>
      </c>
      <c r="C2112" s="7">
        <v>46100.090590277781</v>
      </c>
      <c r="D2112" s="8">
        <v>46100</v>
      </c>
      <c r="E2112" s="9">
        <v>9.0590277781302575E-2</v>
      </c>
      <c r="F2112" s="10" t="s">
        <v>2381</v>
      </c>
      <c r="G2112" s="10" t="s">
        <v>26</v>
      </c>
      <c r="H2112" s="10" t="s">
        <v>92</v>
      </c>
      <c r="I2112" s="10" t="s">
        <v>23</v>
      </c>
      <c r="J2112" s="11">
        <v>0.63</v>
      </c>
      <c r="K2112" s="12"/>
      <c r="L2112" s="12">
        <f>SUM(J2112:J2118)</f>
        <v>9.14</v>
      </c>
      <c r="M2112" s="13">
        <f>L2112*65</f>
        <v>594.1</v>
      </c>
      <c r="N2112" s="14">
        <f>MAX(500,M2112)</f>
        <v>594.1</v>
      </c>
      <c r="O2112" s="12"/>
      <c r="P2112" s="12"/>
      <c r="Q2112" s="12"/>
      <c r="R2112" s="12"/>
      <c r="S2112" s="12"/>
    </row>
    <row r="2113" spans="1:19" ht="14.25" customHeight="1" x14ac:dyDescent="0.2">
      <c r="A2113" s="1" t="s">
        <v>95</v>
      </c>
      <c r="B2113" s="7">
        <v>46100.079988425925</v>
      </c>
      <c r="C2113" s="7">
        <v>46100.090960648151</v>
      </c>
      <c r="D2113" s="8">
        <v>46100</v>
      </c>
      <c r="E2113" s="9">
        <v>9.096064815093996E-2</v>
      </c>
      <c r="F2113" s="10" t="s">
        <v>2382</v>
      </c>
      <c r="G2113" s="10" t="s">
        <v>21</v>
      </c>
      <c r="H2113" s="10" t="s">
        <v>154</v>
      </c>
      <c r="I2113" s="10" t="s">
        <v>23</v>
      </c>
      <c r="J2113" s="11">
        <v>1.77</v>
      </c>
      <c r="K2113" s="12"/>
      <c r="L2113" s="12"/>
      <c r="M2113" s="12"/>
      <c r="N2113" s="12"/>
      <c r="O2113" s="12"/>
      <c r="P2113" s="12"/>
      <c r="Q2113" s="12"/>
      <c r="R2113" s="12"/>
      <c r="S2113" s="12"/>
    </row>
    <row r="2114" spans="1:19" ht="14.25" customHeight="1" x14ac:dyDescent="0.2">
      <c r="A2114" s="1" t="s">
        <v>19</v>
      </c>
      <c r="B2114" s="7">
        <v>46100.076342592591</v>
      </c>
      <c r="C2114" s="7">
        <v>46100.093981481485</v>
      </c>
      <c r="D2114" s="8">
        <v>46100</v>
      </c>
      <c r="E2114" s="9">
        <v>9.3981481484661344E-2</v>
      </c>
      <c r="F2114" s="10" t="s">
        <v>2383</v>
      </c>
      <c r="G2114" s="10" t="s">
        <v>21</v>
      </c>
      <c r="H2114" s="10" t="s">
        <v>22</v>
      </c>
      <c r="I2114" s="10" t="s">
        <v>23</v>
      </c>
      <c r="J2114" s="11">
        <v>0.83</v>
      </c>
      <c r="K2114" s="12"/>
      <c r="L2114" s="12"/>
      <c r="M2114" s="12"/>
      <c r="N2114" s="12"/>
      <c r="O2114" s="12"/>
      <c r="P2114" s="12"/>
      <c r="Q2114" s="12"/>
      <c r="R2114" s="12"/>
      <c r="S2114" s="12"/>
    </row>
    <row r="2115" spans="1:19" ht="14.25" customHeight="1" x14ac:dyDescent="0.2">
      <c r="A2115" s="1" t="s">
        <v>19</v>
      </c>
      <c r="B2115" s="7">
        <v>46100.028726851851</v>
      </c>
      <c r="C2115" s="7">
        <v>46100.094305555554</v>
      </c>
      <c r="D2115" s="8">
        <v>46100</v>
      </c>
      <c r="E2115" s="9">
        <v>9.4305555554456078E-2</v>
      </c>
      <c r="F2115" s="10" t="s">
        <v>2384</v>
      </c>
      <c r="G2115" s="10" t="s">
        <v>21</v>
      </c>
      <c r="H2115" s="10" t="s">
        <v>41</v>
      </c>
      <c r="I2115" s="10" t="s">
        <v>23</v>
      </c>
      <c r="J2115" s="11">
        <v>1.77</v>
      </c>
      <c r="K2115" s="12"/>
      <c r="L2115" s="12"/>
      <c r="M2115" s="12"/>
      <c r="N2115" s="12"/>
      <c r="O2115" s="12"/>
      <c r="P2115" s="12"/>
      <c r="Q2115" s="12"/>
      <c r="R2115" s="12"/>
      <c r="S2115" s="12"/>
    </row>
    <row r="2116" spans="1:19" ht="14.25" customHeight="1" x14ac:dyDescent="0.2">
      <c r="A2116" s="1" t="s">
        <v>33</v>
      </c>
      <c r="B2116" s="7">
        <v>46100.055902777778</v>
      </c>
      <c r="C2116" s="7">
        <v>46100.095208333332</v>
      </c>
      <c r="D2116" s="8">
        <v>46100</v>
      </c>
      <c r="E2116" s="9">
        <v>9.5208333332266193E-2</v>
      </c>
      <c r="F2116" s="10" t="s">
        <v>2385</v>
      </c>
      <c r="G2116" s="10" t="s">
        <v>21</v>
      </c>
      <c r="H2116" s="10" t="s">
        <v>101</v>
      </c>
      <c r="I2116" s="10" t="s">
        <v>23</v>
      </c>
      <c r="J2116" s="11">
        <v>1.7</v>
      </c>
      <c r="K2116" s="12"/>
      <c r="L2116" s="12"/>
      <c r="M2116" s="12"/>
      <c r="N2116" s="12"/>
      <c r="O2116" s="12"/>
      <c r="P2116" s="12"/>
      <c r="Q2116" s="12"/>
      <c r="R2116" s="12"/>
      <c r="S2116" s="12"/>
    </row>
    <row r="2117" spans="1:19" ht="14.25" customHeight="1" x14ac:dyDescent="0.2">
      <c r="A2117" s="1" t="s">
        <v>42</v>
      </c>
      <c r="B2117" s="7">
        <v>46100.070833333331</v>
      </c>
      <c r="C2117" s="7">
        <v>46100.095810185187</v>
      </c>
      <c r="D2117" s="8">
        <v>46100</v>
      </c>
      <c r="E2117" s="9">
        <v>9.5810185186564922E-2</v>
      </c>
      <c r="F2117" s="10" t="s">
        <v>2386</v>
      </c>
      <c r="G2117" s="10" t="s">
        <v>26</v>
      </c>
      <c r="H2117" s="10" t="s">
        <v>172</v>
      </c>
      <c r="I2117" s="10" t="s">
        <v>23</v>
      </c>
      <c r="J2117" s="11">
        <v>0.67</v>
      </c>
      <c r="K2117" s="12"/>
      <c r="L2117" s="12"/>
      <c r="M2117" s="12"/>
      <c r="N2117" s="12"/>
      <c r="O2117" s="12"/>
      <c r="P2117" s="12"/>
      <c r="Q2117" s="12"/>
      <c r="R2117" s="12"/>
      <c r="S2117" s="12"/>
    </row>
    <row r="2118" spans="1:19" ht="14.25" customHeight="1" x14ac:dyDescent="0.2">
      <c r="A2118" s="1" t="s">
        <v>19</v>
      </c>
      <c r="B2118" s="7">
        <v>46100.089583333334</v>
      </c>
      <c r="C2118" s="7">
        <v>46100.101701388892</v>
      </c>
      <c r="D2118" s="8">
        <v>46100</v>
      </c>
      <c r="E2118" s="9">
        <v>0.101701388892252</v>
      </c>
      <c r="F2118" s="10" t="s">
        <v>2387</v>
      </c>
      <c r="G2118" s="10" t="s">
        <v>21</v>
      </c>
      <c r="H2118" s="10" t="s">
        <v>41</v>
      </c>
      <c r="I2118" s="10" t="s">
        <v>23</v>
      </c>
      <c r="J2118" s="11">
        <v>1.77</v>
      </c>
      <c r="K2118" s="12"/>
      <c r="L2118" s="12"/>
      <c r="M2118" s="12"/>
      <c r="N2118" s="12"/>
      <c r="O2118" s="12"/>
      <c r="P2118" s="12"/>
      <c r="Q2118" s="12"/>
      <c r="R2118" s="12"/>
      <c r="S2118" s="12"/>
    </row>
    <row r="2119" spans="1:19" ht="14.25" customHeight="1" x14ac:dyDescent="0.2">
      <c r="A2119" s="1" t="s">
        <v>95</v>
      </c>
      <c r="B2119" s="7">
        <v>46100.086481481485</v>
      </c>
      <c r="C2119" s="7">
        <v>46100.129861111112</v>
      </c>
      <c r="D2119" s="8">
        <v>46100</v>
      </c>
      <c r="E2119" s="9">
        <v>0.12986111111240461</v>
      </c>
      <c r="F2119" s="10" t="s">
        <v>2388</v>
      </c>
      <c r="G2119" s="10" t="s">
        <v>21</v>
      </c>
      <c r="H2119" s="10" t="s">
        <v>110</v>
      </c>
      <c r="I2119" s="10" t="s">
        <v>23</v>
      </c>
      <c r="J2119" s="11">
        <v>0.83</v>
      </c>
      <c r="K2119" s="12">
        <f>SUM(J2119:J2144)</f>
        <v>31.179999999999989</v>
      </c>
      <c r="L2119" s="12">
        <f>SUM(J2119:J2132)</f>
        <v>15.659999999999998</v>
      </c>
      <c r="M2119" s="13">
        <f>L2119*65</f>
        <v>1017.8999999999999</v>
      </c>
      <c r="N2119" s="14">
        <f>MAX(500,M2119)</f>
        <v>1017.8999999999999</v>
      </c>
      <c r="O2119" s="12"/>
      <c r="P2119" s="12"/>
      <c r="Q2119" s="12"/>
      <c r="R2119" s="12"/>
      <c r="S2119" s="12"/>
    </row>
    <row r="2120" spans="1:19" ht="14.25" customHeight="1" x14ac:dyDescent="0.2">
      <c r="A2120" s="1" t="s">
        <v>24</v>
      </c>
      <c r="B2120" s="7">
        <v>46100.081504629627</v>
      </c>
      <c r="C2120" s="7">
        <v>46100.130289351851</v>
      </c>
      <c r="D2120" s="8">
        <v>46100</v>
      </c>
      <c r="E2120" s="9">
        <v>0.13028935185138835</v>
      </c>
      <c r="F2120" s="10" t="s">
        <v>2389</v>
      </c>
      <c r="G2120" s="10" t="s">
        <v>21</v>
      </c>
      <c r="H2120" s="10" t="s">
        <v>2390</v>
      </c>
      <c r="I2120" s="10" t="s">
        <v>23</v>
      </c>
      <c r="J2120" s="11">
        <v>1.24</v>
      </c>
      <c r="K2120" s="12"/>
      <c r="L2120" s="12"/>
      <c r="M2120" s="12"/>
      <c r="N2120" s="12"/>
      <c r="O2120" s="12"/>
      <c r="P2120" s="12"/>
      <c r="Q2120" s="12"/>
      <c r="R2120" s="12"/>
      <c r="S2120" s="12"/>
    </row>
    <row r="2121" spans="1:19" ht="14.25" customHeight="1" x14ac:dyDescent="0.2">
      <c r="A2121" s="1" t="s">
        <v>95</v>
      </c>
      <c r="B2121" s="7">
        <v>46100.086481481485</v>
      </c>
      <c r="C2121" s="7">
        <v>46100.130671296298</v>
      </c>
      <c r="D2121" s="8">
        <v>46100</v>
      </c>
      <c r="E2121" s="9">
        <v>0.13067129629780538</v>
      </c>
      <c r="F2121" s="10" t="s">
        <v>2391</v>
      </c>
      <c r="G2121" s="10" t="s">
        <v>21</v>
      </c>
      <c r="H2121" s="10" t="s">
        <v>52</v>
      </c>
      <c r="I2121" s="10" t="s">
        <v>23</v>
      </c>
      <c r="J2121" s="11">
        <v>0.98</v>
      </c>
      <c r="K2121" s="12"/>
      <c r="L2121" s="12"/>
      <c r="M2121" s="12"/>
      <c r="N2121" s="12"/>
      <c r="O2121" s="12"/>
      <c r="P2121" s="12"/>
      <c r="Q2121" s="12"/>
      <c r="R2121" s="12"/>
      <c r="S2121" s="12"/>
    </row>
    <row r="2122" spans="1:19" ht="14.25" customHeight="1" x14ac:dyDescent="0.2">
      <c r="A2122" s="1" t="s">
        <v>95</v>
      </c>
      <c r="B2122" s="7">
        <v>46100.086481481485</v>
      </c>
      <c r="C2122" s="7">
        <v>46100.130983796298</v>
      </c>
      <c r="D2122" s="8">
        <v>46100</v>
      </c>
      <c r="E2122" s="9">
        <v>0.13098379629809642</v>
      </c>
      <c r="F2122" s="10" t="s">
        <v>2392</v>
      </c>
      <c r="G2122" s="10" t="s">
        <v>21</v>
      </c>
      <c r="H2122" s="10" t="s">
        <v>189</v>
      </c>
      <c r="I2122" s="10" t="s">
        <v>23</v>
      </c>
      <c r="J2122" s="11">
        <v>0.83</v>
      </c>
      <c r="K2122" s="12"/>
      <c r="L2122" s="12"/>
      <c r="M2122" s="12"/>
      <c r="N2122" s="12"/>
      <c r="O2122" s="12"/>
      <c r="P2122" s="12"/>
      <c r="Q2122" s="12"/>
      <c r="R2122" s="12"/>
      <c r="S2122" s="12"/>
    </row>
    <row r="2123" spans="1:19" ht="14.25" customHeight="1" x14ac:dyDescent="0.2">
      <c r="A2123" s="1" t="s">
        <v>95</v>
      </c>
      <c r="B2123" s="7">
        <v>46100.114965277775</v>
      </c>
      <c r="C2123" s="7">
        <v>46100.133148148147</v>
      </c>
      <c r="D2123" s="8">
        <v>46100</v>
      </c>
      <c r="E2123" s="9">
        <v>0.13314814814657439</v>
      </c>
      <c r="F2123" s="10" t="s">
        <v>2393</v>
      </c>
      <c r="G2123" s="10" t="s">
        <v>21</v>
      </c>
      <c r="H2123" s="10" t="s">
        <v>97</v>
      </c>
      <c r="I2123" s="10" t="s">
        <v>23</v>
      </c>
      <c r="J2123" s="11">
        <v>1.77</v>
      </c>
      <c r="K2123" s="12"/>
      <c r="L2123" s="12"/>
      <c r="M2123" s="12"/>
      <c r="N2123" s="12"/>
      <c r="O2123" s="12"/>
      <c r="P2123" s="12"/>
      <c r="Q2123" s="12"/>
      <c r="R2123" s="12"/>
      <c r="S2123" s="12"/>
    </row>
    <row r="2124" spans="1:19" ht="14.25" customHeight="1" x14ac:dyDescent="0.2">
      <c r="A2124" s="1" t="s">
        <v>28</v>
      </c>
      <c r="B2124" s="7">
        <v>46100.108506944445</v>
      </c>
      <c r="C2124" s="7">
        <v>46100.134039351855</v>
      </c>
      <c r="D2124" s="8">
        <v>46100</v>
      </c>
      <c r="E2124" s="9">
        <v>0.13403935185488081</v>
      </c>
      <c r="F2124" s="10" t="s">
        <v>2394</v>
      </c>
      <c r="G2124" s="10" t="s">
        <v>21</v>
      </c>
      <c r="H2124" s="10" t="s">
        <v>41</v>
      </c>
      <c r="I2124" s="10" t="s">
        <v>23</v>
      </c>
      <c r="J2124" s="11">
        <v>1.77</v>
      </c>
      <c r="K2124" s="12"/>
      <c r="L2124" s="12"/>
      <c r="M2124" s="12"/>
      <c r="N2124" s="12"/>
      <c r="O2124" s="12"/>
      <c r="P2124" s="12"/>
      <c r="Q2124" s="12"/>
      <c r="R2124" s="12"/>
      <c r="S2124" s="12"/>
    </row>
    <row r="2125" spans="1:19" ht="14.25" customHeight="1" x14ac:dyDescent="0.2">
      <c r="A2125" s="1" t="s">
        <v>95</v>
      </c>
      <c r="B2125" s="7">
        <v>46100.100428240738</v>
      </c>
      <c r="C2125" s="7">
        <v>46100.134976851848</v>
      </c>
      <c r="D2125" s="8">
        <v>46100</v>
      </c>
      <c r="E2125" s="9">
        <v>0.13497685184847796</v>
      </c>
      <c r="F2125" s="10" t="s">
        <v>2395</v>
      </c>
      <c r="G2125" s="10" t="s">
        <v>21</v>
      </c>
      <c r="H2125" s="10" t="s">
        <v>97</v>
      </c>
      <c r="I2125" s="10" t="s">
        <v>23</v>
      </c>
      <c r="J2125" s="11">
        <v>1.77</v>
      </c>
      <c r="K2125" s="12"/>
      <c r="L2125" s="12"/>
      <c r="M2125" s="12"/>
      <c r="N2125" s="12"/>
      <c r="O2125" s="12"/>
      <c r="P2125" s="12"/>
      <c r="Q2125" s="12"/>
      <c r="R2125" s="12"/>
      <c r="S2125" s="12"/>
    </row>
    <row r="2126" spans="1:19" ht="14.25" customHeight="1" x14ac:dyDescent="0.2">
      <c r="A2126" s="1" t="s">
        <v>95</v>
      </c>
      <c r="B2126" s="7">
        <v>46100.124108796299</v>
      </c>
      <c r="C2126" s="7">
        <v>46100.139965277776</v>
      </c>
      <c r="D2126" s="8">
        <v>46100</v>
      </c>
      <c r="E2126" s="9">
        <v>0.13996527777635492</v>
      </c>
      <c r="F2126" s="10" t="s">
        <v>2396</v>
      </c>
      <c r="G2126" s="10" t="s">
        <v>21</v>
      </c>
      <c r="H2126" s="10" t="s">
        <v>97</v>
      </c>
      <c r="I2126" s="10" t="s">
        <v>23</v>
      </c>
      <c r="J2126" s="11">
        <v>1.77</v>
      </c>
      <c r="K2126" s="12"/>
      <c r="L2126" s="12"/>
      <c r="M2126" s="12"/>
      <c r="N2126" s="12"/>
      <c r="O2126" s="12"/>
      <c r="P2126" s="12"/>
      <c r="Q2126" s="12"/>
      <c r="R2126" s="12"/>
      <c r="S2126" s="12"/>
    </row>
    <row r="2127" spans="1:19" ht="14.25" customHeight="1" x14ac:dyDescent="0.2">
      <c r="A2127" s="1" t="s">
        <v>33</v>
      </c>
      <c r="B2127" s="7">
        <v>46100.090682870374</v>
      </c>
      <c r="C2127" s="7">
        <v>46100.141331018516</v>
      </c>
      <c r="D2127" s="8">
        <v>46100</v>
      </c>
      <c r="E2127" s="9">
        <v>0.14133101851621177</v>
      </c>
      <c r="F2127" s="10" t="s">
        <v>2397</v>
      </c>
      <c r="G2127" s="10" t="s">
        <v>26</v>
      </c>
      <c r="H2127" s="10" t="s">
        <v>650</v>
      </c>
      <c r="I2127" s="10" t="s">
        <v>23</v>
      </c>
      <c r="J2127" s="11">
        <v>0.44</v>
      </c>
      <c r="K2127" s="12"/>
      <c r="L2127" s="12"/>
      <c r="M2127" s="12"/>
      <c r="N2127" s="12"/>
      <c r="O2127" s="12"/>
      <c r="P2127" s="12"/>
      <c r="Q2127" s="12"/>
      <c r="R2127" s="12"/>
      <c r="S2127" s="12"/>
    </row>
    <row r="2128" spans="1:19" ht="14.25" customHeight="1" x14ac:dyDescent="0.2">
      <c r="A2128" s="1" t="s">
        <v>95</v>
      </c>
      <c r="B2128" s="7">
        <v>46100.139293981483</v>
      </c>
      <c r="C2128" s="7">
        <v>46100.147187499999</v>
      </c>
      <c r="D2128" s="8">
        <v>46100</v>
      </c>
      <c r="E2128" s="9">
        <v>0.14718749999883585</v>
      </c>
      <c r="F2128" s="10" t="s">
        <v>2398</v>
      </c>
      <c r="G2128" s="10" t="s">
        <v>180</v>
      </c>
      <c r="H2128" s="10" t="s">
        <v>504</v>
      </c>
      <c r="I2128" s="10" t="s">
        <v>23</v>
      </c>
      <c r="J2128" s="11">
        <v>1.44</v>
      </c>
      <c r="K2128" s="12"/>
      <c r="L2128" s="12"/>
      <c r="M2128" s="12"/>
      <c r="N2128" s="12"/>
      <c r="O2128" s="12"/>
      <c r="P2128" s="12"/>
      <c r="Q2128" s="12"/>
      <c r="R2128" s="12"/>
      <c r="S2128" s="12"/>
    </row>
    <row r="2129" spans="1:19" ht="14.25" customHeight="1" x14ac:dyDescent="0.2">
      <c r="A2129" s="1" t="s">
        <v>24</v>
      </c>
      <c r="B2129" s="7">
        <v>46100.116759259261</v>
      </c>
      <c r="C2129" s="7">
        <v>46100.153449074074</v>
      </c>
      <c r="D2129" s="8">
        <v>46100</v>
      </c>
      <c r="E2129" s="9">
        <v>0.15344907407416031</v>
      </c>
      <c r="F2129" s="10" t="s">
        <v>2399</v>
      </c>
      <c r="G2129" s="10" t="s">
        <v>21</v>
      </c>
      <c r="H2129" s="10" t="s">
        <v>22</v>
      </c>
      <c r="I2129" s="10" t="s">
        <v>23</v>
      </c>
      <c r="J2129" s="11">
        <v>0.83</v>
      </c>
      <c r="K2129" s="12"/>
      <c r="L2129" s="12"/>
      <c r="M2129" s="12"/>
      <c r="N2129" s="12"/>
      <c r="O2129" s="12"/>
      <c r="P2129" s="12"/>
      <c r="Q2129" s="12"/>
      <c r="R2129" s="12"/>
      <c r="S2129" s="12"/>
    </row>
    <row r="2130" spans="1:19" ht="14.25" customHeight="1" x14ac:dyDescent="0.2">
      <c r="A2130" s="1" t="s">
        <v>95</v>
      </c>
      <c r="B2130" s="7">
        <v>46100.130902777775</v>
      </c>
      <c r="C2130" s="7">
        <v>46100.157141203701</v>
      </c>
      <c r="D2130" s="8">
        <v>46100</v>
      </c>
      <c r="E2130" s="9">
        <v>0.15714120370103046</v>
      </c>
      <c r="F2130" s="10" t="s">
        <v>2400</v>
      </c>
      <c r="G2130" s="10" t="s">
        <v>44</v>
      </c>
      <c r="H2130" s="10" t="s">
        <v>45</v>
      </c>
      <c r="I2130" s="10" t="s">
        <v>23</v>
      </c>
      <c r="J2130" s="11">
        <v>0.18</v>
      </c>
      <c r="K2130" s="12"/>
      <c r="L2130" s="12"/>
      <c r="M2130" s="12"/>
      <c r="N2130" s="12"/>
      <c r="O2130" s="12"/>
      <c r="P2130" s="12"/>
      <c r="Q2130" s="12"/>
      <c r="R2130" s="12"/>
      <c r="S2130" s="12"/>
    </row>
    <row r="2131" spans="1:19" ht="14.25" customHeight="1" x14ac:dyDescent="0.2">
      <c r="A2131" s="1" t="s">
        <v>95</v>
      </c>
      <c r="B2131" s="7">
        <v>46100.150752314818</v>
      </c>
      <c r="C2131" s="7">
        <v>46100.165844907409</v>
      </c>
      <c r="D2131" s="8">
        <v>46100</v>
      </c>
      <c r="E2131" s="9">
        <v>0.16584490740933688</v>
      </c>
      <c r="F2131" s="10" t="s">
        <v>2401</v>
      </c>
      <c r="G2131" s="10" t="s">
        <v>21</v>
      </c>
      <c r="H2131" s="10" t="s">
        <v>110</v>
      </c>
      <c r="I2131" s="10" t="s">
        <v>23</v>
      </c>
      <c r="J2131" s="11">
        <v>0.83</v>
      </c>
      <c r="K2131" s="12"/>
      <c r="L2131" s="12"/>
      <c r="M2131" s="12"/>
      <c r="N2131" s="12"/>
      <c r="O2131" s="12"/>
      <c r="P2131" s="12"/>
      <c r="Q2131" s="12"/>
      <c r="R2131" s="12"/>
      <c r="S2131" s="12"/>
    </row>
    <row r="2132" spans="1:19" ht="14.25" customHeight="1" x14ac:dyDescent="0.2">
      <c r="A2132" s="1" t="s">
        <v>95</v>
      </c>
      <c r="B2132" s="7">
        <v>46100.150752314818</v>
      </c>
      <c r="C2132" s="7">
        <v>46100.166122685187</v>
      </c>
      <c r="D2132" s="8">
        <v>46100</v>
      </c>
      <c r="E2132" s="9">
        <v>0.16612268518656492</v>
      </c>
      <c r="F2132" s="10" t="s">
        <v>2402</v>
      </c>
      <c r="G2132" s="10" t="s">
        <v>21</v>
      </c>
      <c r="H2132" s="10" t="s">
        <v>52</v>
      </c>
      <c r="I2132" s="10" t="s">
        <v>23</v>
      </c>
      <c r="J2132" s="11">
        <v>0.98</v>
      </c>
      <c r="K2132" s="12"/>
      <c r="L2132" s="12"/>
      <c r="M2132" s="12"/>
      <c r="N2132" s="12"/>
      <c r="O2132" s="12"/>
      <c r="P2132" s="12"/>
      <c r="Q2132" s="12"/>
      <c r="R2132" s="12"/>
      <c r="S2132" s="12"/>
    </row>
    <row r="2133" spans="1:19" ht="14.25" customHeight="1" x14ac:dyDescent="0.2">
      <c r="A2133" s="1" t="s">
        <v>24</v>
      </c>
      <c r="B2133" s="7">
        <v>46100.159074074072</v>
      </c>
      <c r="C2133" s="7">
        <v>46100.178043981483</v>
      </c>
      <c r="D2133" s="8">
        <v>46100</v>
      </c>
      <c r="E2133" s="9">
        <v>0.17804398148291511</v>
      </c>
      <c r="F2133" s="10" t="s">
        <v>2403</v>
      </c>
      <c r="G2133" s="10" t="s">
        <v>21</v>
      </c>
      <c r="H2133" s="10" t="s">
        <v>399</v>
      </c>
      <c r="I2133" s="10" t="s">
        <v>23</v>
      </c>
      <c r="J2133" s="11">
        <v>3.92</v>
      </c>
      <c r="K2133" s="12"/>
      <c r="L2133" s="12">
        <f>SUM(J2133:J2143)</f>
        <v>13.749999999999998</v>
      </c>
      <c r="M2133" s="13">
        <f>L2133*65</f>
        <v>893.74999999999989</v>
      </c>
      <c r="N2133" s="14">
        <f>MAX(500,M2133)</f>
        <v>893.74999999999989</v>
      </c>
      <c r="O2133" s="12"/>
      <c r="P2133" s="12"/>
      <c r="Q2133" s="12"/>
      <c r="R2133" s="12"/>
      <c r="S2133" s="12"/>
    </row>
    <row r="2134" spans="1:19" ht="14.25" customHeight="1" x14ac:dyDescent="0.2">
      <c r="A2134" s="1" t="s">
        <v>33</v>
      </c>
      <c r="B2134" s="7">
        <v>46100.164768518516</v>
      </c>
      <c r="C2134" s="7">
        <v>46100.178287037037</v>
      </c>
      <c r="D2134" s="8">
        <v>46100</v>
      </c>
      <c r="E2134" s="9">
        <v>0.17828703703708015</v>
      </c>
      <c r="F2134" s="10" t="s">
        <v>2404</v>
      </c>
      <c r="G2134" s="10" t="s">
        <v>21</v>
      </c>
      <c r="H2134" s="10" t="s">
        <v>22</v>
      </c>
      <c r="I2134" s="10" t="s">
        <v>23</v>
      </c>
      <c r="J2134" s="11">
        <v>0.83</v>
      </c>
      <c r="K2134" s="12"/>
      <c r="L2134" s="12"/>
      <c r="M2134" s="12"/>
      <c r="N2134" s="12"/>
      <c r="O2134" s="12"/>
      <c r="P2134" s="12"/>
      <c r="Q2134" s="12"/>
      <c r="R2134" s="12"/>
      <c r="S2134" s="12"/>
    </row>
    <row r="2135" spans="1:19" ht="14.25" customHeight="1" x14ac:dyDescent="0.2">
      <c r="A2135" s="1" t="s">
        <v>24</v>
      </c>
      <c r="B2135" s="7">
        <v>46100.167337962965</v>
      </c>
      <c r="C2135" s="7">
        <v>46100.180914351855</v>
      </c>
      <c r="D2135" s="8">
        <v>46100</v>
      </c>
      <c r="E2135" s="9">
        <v>0.18091435185488081</v>
      </c>
      <c r="F2135" s="10" t="s">
        <v>2405</v>
      </c>
      <c r="G2135" s="10" t="s">
        <v>21</v>
      </c>
      <c r="H2135" s="10" t="s">
        <v>52</v>
      </c>
      <c r="I2135" s="10" t="s">
        <v>23</v>
      </c>
      <c r="J2135" s="11">
        <v>0.98</v>
      </c>
      <c r="K2135" s="12"/>
      <c r="L2135" s="12"/>
      <c r="M2135" s="12"/>
      <c r="N2135" s="12"/>
      <c r="O2135" s="12"/>
      <c r="P2135" s="12"/>
      <c r="Q2135" s="12"/>
      <c r="R2135" s="12"/>
      <c r="S2135" s="12"/>
    </row>
    <row r="2136" spans="1:19" ht="14.25" customHeight="1" x14ac:dyDescent="0.2">
      <c r="A2136" s="1" t="s">
        <v>24</v>
      </c>
      <c r="B2136" s="7">
        <v>46100.167337962965</v>
      </c>
      <c r="C2136" s="7">
        <v>46100.181527777779</v>
      </c>
      <c r="D2136" s="8">
        <v>46100</v>
      </c>
      <c r="E2136" s="9">
        <v>0.18152777777868323</v>
      </c>
      <c r="F2136" s="10" t="s">
        <v>2406</v>
      </c>
      <c r="G2136" s="10" t="s">
        <v>21</v>
      </c>
      <c r="H2136" s="10" t="s">
        <v>22</v>
      </c>
      <c r="I2136" s="10" t="s">
        <v>23</v>
      </c>
      <c r="J2136" s="11">
        <v>0.83</v>
      </c>
      <c r="K2136" s="12"/>
      <c r="L2136" s="12"/>
      <c r="M2136" s="12"/>
      <c r="N2136" s="12"/>
      <c r="O2136" s="12"/>
      <c r="P2136" s="12"/>
      <c r="Q2136" s="12"/>
      <c r="R2136" s="12"/>
      <c r="S2136" s="12"/>
    </row>
    <row r="2137" spans="1:19" ht="14.25" customHeight="1" x14ac:dyDescent="0.2">
      <c r="A2137" s="1" t="s">
        <v>24</v>
      </c>
      <c r="B2137" s="7">
        <v>46099.989374999997</v>
      </c>
      <c r="C2137" s="7">
        <v>46100.182210648149</v>
      </c>
      <c r="D2137" s="8">
        <v>46100</v>
      </c>
      <c r="E2137" s="9">
        <v>0.18221064814861165</v>
      </c>
      <c r="F2137" s="10" t="s">
        <v>2407</v>
      </c>
      <c r="G2137" s="10" t="s">
        <v>44</v>
      </c>
      <c r="H2137" s="10" t="s">
        <v>185</v>
      </c>
      <c r="I2137" s="10" t="s">
        <v>23</v>
      </c>
      <c r="J2137" s="11">
        <v>0.18</v>
      </c>
      <c r="K2137" s="12"/>
      <c r="L2137" s="12"/>
      <c r="M2137" s="12"/>
      <c r="N2137" s="12"/>
      <c r="O2137" s="12"/>
      <c r="P2137" s="12"/>
      <c r="Q2137" s="12"/>
      <c r="R2137" s="12"/>
      <c r="S2137" s="12"/>
    </row>
    <row r="2138" spans="1:19" ht="14.25" customHeight="1" x14ac:dyDescent="0.2">
      <c r="A2138" s="1" t="s">
        <v>24</v>
      </c>
      <c r="B2138" s="7">
        <v>46100.134074074071</v>
      </c>
      <c r="C2138" s="7">
        <v>46100.183564814812</v>
      </c>
      <c r="D2138" s="8">
        <v>46100</v>
      </c>
      <c r="E2138" s="9">
        <v>0.18356481481168885</v>
      </c>
      <c r="F2138" s="10" t="s">
        <v>2408</v>
      </c>
      <c r="G2138" s="10" t="s">
        <v>21</v>
      </c>
      <c r="H2138" s="10" t="s">
        <v>101</v>
      </c>
      <c r="I2138" s="10" t="s">
        <v>23</v>
      </c>
      <c r="J2138" s="11">
        <v>1.7</v>
      </c>
      <c r="K2138" s="12"/>
      <c r="L2138" s="12"/>
      <c r="M2138" s="12"/>
      <c r="N2138" s="12"/>
      <c r="O2138" s="12"/>
      <c r="P2138" s="12"/>
      <c r="Q2138" s="12"/>
      <c r="R2138" s="12"/>
      <c r="S2138" s="12"/>
    </row>
    <row r="2139" spans="1:19" ht="14.25" customHeight="1" x14ac:dyDescent="0.2">
      <c r="A2139" s="1" t="s">
        <v>19</v>
      </c>
      <c r="B2139" s="7">
        <v>46100.171076388891</v>
      </c>
      <c r="C2139" s="7">
        <v>46100.184756944444</v>
      </c>
      <c r="D2139" s="8">
        <v>46100</v>
      </c>
      <c r="E2139" s="9">
        <v>0.18475694444350665</v>
      </c>
      <c r="F2139" s="10" t="s">
        <v>2409</v>
      </c>
      <c r="G2139" s="10" t="s">
        <v>21</v>
      </c>
      <c r="H2139" s="10" t="s">
        <v>101</v>
      </c>
      <c r="I2139" s="10" t="s">
        <v>23</v>
      </c>
      <c r="J2139" s="11">
        <v>1.7</v>
      </c>
      <c r="K2139" s="12"/>
      <c r="L2139" s="12"/>
      <c r="M2139" s="12"/>
      <c r="N2139" s="12"/>
      <c r="O2139" s="12"/>
      <c r="P2139" s="12"/>
      <c r="Q2139" s="12"/>
      <c r="R2139" s="12"/>
      <c r="S2139" s="12"/>
    </row>
    <row r="2140" spans="1:19" ht="14.25" customHeight="1" x14ac:dyDescent="0.2">
      <c r="A2140" s="1" t="s">
        <v>33</v>
      </c>
      <c r="B2140" s="7">
        <v>46100.153645833336</v>
      </c>
      <c r="C2140" s="7">
        <v>46100.187395833331</v>
      </c>
      <c r="D2140" s="8">
        <v>46100</v>
      </c>
      <c r="E2140" s="9">
        <v>0.187395833330811</v>
      </c>
      <c r="F2140" s="10" t="s">
        <v>2410</v>
      </c>
      <c r="G2140" s="10" t="s">
        <v>26</v>
      </c>
      <c r="H2140" s="10" t="s">
        <v>205</v>
      </c>
      <c r="I2140" s="10" t="s">
        <v>23</v>
      </c>
      <c r="J2140" s="11">
        <v>0.57999999999999996</v>
      </c>
      <c r="K2140" s="12"/>
      <c r="L2140" s="12"/>
      <c r="M2140" s="12"/>
      <c r="N2140" s="12"/>
      <c r="O2140" s="12"/>
      <c r="P2140" s="12"/>
      <c r="Q2140" s="12"/>
      <c r="R2140" s="12"/>
      <c r="S2140" s="12"/>
    </row>
    <row r="2141" spans="1:19" ht="14.25" customHeight="1" x14ac:dyDescent="0.2">
      <c r="A2141" s="1" t="s">
        <v>95</v>
      </c>
      <c r="B2141" s="7">
        <v>46100.174004629633</v>
      </c>
      <c r="C2141" s="7">
        <v>46100.190081018518</v>
      </c>
      <c r="D2141" s="8">
        <v>46100</v>
      </c>
      <c r="E2141" s="9">
        <v>0.190081018517958</v>
      </c>
      <c r="F2141" s="10" t="s">
        <v>2411</v>
      </c>
      <c r="G2141" s="10" t="s">
        <v>21</v>
      </c>
      <c r="H2141" s="10" t="s">
        <v>154</v>
      </c>
      <c r="I2141" s="10" t="s">
        <v>23</v>
      </c>
      <c r="J2141" s="11">
        <v>1.77</v>
      </c>
      <c r="K2141" s="12"/>
      <c r="L2141" s="12"/>
      <c r="M2141" s="12"/>
      <c r="N2141" s="12"/>
      <c r="O2141" s="12"/>
      <c r="P2141" s="12"/>
      <c r="Q2141" s="12"/>
      <c r="R2141" s="12"/>
      <c r="S2141" s="12"/>
    </row>
    <row r="2142" spans="1:19" ht="14.25" customHeight="1" x14ac:dyDescent="0.2">
      <c r="A2142" s="1" t="s">
        <v>24</v>
      </c>
      <c r="B2142" s="7">
        <v>46100.043576388889</v>
      </c>
      <c r="C2142" s="7">
        <v>46100.199050925927</v>
      </c>
      <c r="D2142" s="8">
        <v>46100</v>
      </c>
      <c r="E2142" s="9">
        <v>0.19905092592671281</v>
      </c>
      <c r="F2142" s="10" t="s">
        <v>2412</v>
      </c>
      <c r="G2142" s="10" t="s">
        <v>26</v>
      </c>
      <c r="H2142" s="10" t="s">
        <v>202</v>
      </c>
      <c r="I2142" s="10" t="s">
        <v>23</v>
      </c>
      <c r="J2142" s="11">
        <v>0.57999999999999996</v>
      </c>
      <c r="K2142" s="12"/>
      <c r="L2142" s="12"/>
      <c r="M2142" s="12"/>
      <c r="N2142" s="12"/>
      <c r="O2142" s="12"/>
      <c r="P2142" s="12"/>
      <c r="Q2142" s="12"/>
      <c r="R2142" s="12"/>
      <c r="S2142" s="12"/>
    </row>
    <row r="2143" spans="1:19" ht="14.25" customHeight="1" x14ac:dyDescent="0.2">
      <c r="A2143" s="1" t="s">
        <v>24</v>
      </c>
      <c r="B2143" s="7">
        <v>46100.161874999998</v>
      </c>
      <c r="C2143" s="7">
        <v>46100.207881944443</v>
      </c>
      <c r="D2143" s="8">
        <v>46100</v>
      </c>
      <c r="E2143" s="9">
        <v>0.20788194444321562</v>
      </c>
      <c r="F2143" s="10" t="s">
        <v>2413</v>
      </c>
      <c r="G2143" s="10" t="s">
        <v>26</v>
      </c>
      <c r="H2143" s="10" t="s">
        <v>27</v>
      </c>
      <c r="I2143" s="10" t="s">
        <v>23</v>
      </c>
      <c r="J2143" s="11">
        <v>0.68</v>
      </c>
      <c r="K2143" s="12"/>
      <c r="L2143" s="12"/>
      <c r="M2143" s="12"/>
      <c r="N2143" s="12"/>
      <c r="O2143" s="12"/>
      <c r="P2143" s="12"/>
      <c r="Q2143" s="12"/>
      <c r="R2143" s="12"/>
      <c r="S2143" s="12"/>
    </row>
    <row r="2144" spans="1:19" ht="14.25" customHeight="1" x14ac:dyDescent="0.2">
      <c r="A2144" s="1" t="s">
        <v>95</v>
      </c>
      <c r="B2144" s="7">
        <v>46100.213993055557</v>
      </c>
      <c r="C2144" s="7">
        <v>46100.219224537039</v>
      </c>
      <c r="D2144" s="8">
        <v>46100</v>
      </c>
      <c r="E2144" s="9">
        <v>0.21922453703882638</v>
      </c>
      <c r="F2144" s="10" t="s">
        <v>2414</v>
      </c>
      <c r="G2144" s="10" t="s">
        <v>21</v>
      </c>
      <c r="H2144" s="10" t="s">
        <v>97</v>
      </c>
      <c r="I2144" s="10" t="s">
        <v>23</v>
      </c>
      <c r="J2144" s="11">
        <v>1.77</v>
      </c>
      <c r="K2144" s="12"/>
      <c r="L2144" s="12">
        <f>SUM(J2144)</f>
        <v>1.77</v>
      </c>
      <c r="M2144" s="13">
        <f t="shared" ref="M2144:M2145" si="16">L2144*65</f>
        <v>115.05</v>
      </c>
      <c r="N2144" s="14">
        <f t="shared" ref="N2144:N2145" si="17">MAX(500,M2144)</f>
        <v>500</v>
      </c>
      <c r="O2144" s="12"/>
      <c r="P2144" s="12"/>
      <c r="Q2144" s="12"/>
      <c r="R2144" s="12"/>
      <c r="S2144" s="12"/>
    </row>
    <row r="2145" spans="1:19" ht="14.25" customHeight="1" x14ac:dyDescent="0.2">
      <c r="A2145" s="1" t="s">
        <v>42</v>
      </c>
      <c r="B2145" s="7">
        <v>46100.853888888887</v>
      </c>
      <c r="C2145" s="7">
        <v>46100.879745370374</v>
      </c>
      <c r="D2145" s="8">
        <v>46100</v>
      </c>
      <c r="E2145" s="9">
        <v>0.87974537037371192</v>
      </c>
      <c r="F2145" s="10" t="s">
        <v>2415</v>
      </c>
      <c r="G2145" s="10" t="s">
        <v>26</v>
      </c>
      <c r="H2145" s="10" t="s">
        <v>391</v>
      </c>
      <c r="I2145" s="10" t="s">
        <v>23</v>
      </c>
      <c r="J2145" s="11">
        <v>0.67</v>
      </c>
      <c r="K2145" s="12">
        <f>SUM(J2145:J2178,J2180,J2182,J2186:J2189,J2191:J2198,J2200:J2202,J2204:J2207,J2209:J2211,J2213,J2218,J2221:J2224,J2227,J2229:J2256)</f>
        <v>119.64999999999996</v>
      </c>
      <c r="L2145" s="12">
        <f>SUM(J2145:J2156)</f>
        <v>11.149999999999999</v>
      </c>
      <c r="M2145" s="13">
        <f t="shared" si="16"/>
        <v>724.74999999999989</v>
      </c>
      <c r="N2145" s="14">
        <f t="shared" si="17"/>
        <v>724.74999999999989</v>
      </c>
      <c r="O2145" s="12"/>
      <c r="P2145" s="12"/>
      <c r="Q2145" s="12"/>
      <c r="R2145" s="12"/>
      <c r="S2145" s="12"/>
    </row>
    <row r="2146" spans="1:19" ht="14.25" customHeight="1" x14ac:dyDescent="0.2">
      <c r="A2146" s="1" t="s">
        <v>57</v>
      </c>
      <c r="B2146" s="7">
        <v>46100.872337962966</v>
      </c>
      <c r="C2146" s="7">
        <v>46100.880358796298</v>
      </c>
      <c r="D2146" s="8">
        <v>46100</v>
      </c>
      <c r="E2146" s="9">
        <v>0.88035879629751435</v>
      </c>
      <c r="F2146" s="10" t="s">
        <v>2416</v>
      </c>
      <c r="G2146" s="10" t="s">
        <v>21</v>
      </c>
      <c r="H2146" s="10" t="s">
        <v>192</v>
      </c>
      <c r="I2146" s="10" t="s">
        <v>23</v>
      </c>
      <c r="J2146" s="11">
        <v>0.98</v>
      </c>
      <c r="K2146" s="12"/>
      <c r="L2146" s="12"/>
      <c r="M2146" s="12"/>
      <c r="N2146" s="12"/>
      <c r="O2146" s="12"/>
      <c r="P2146" s="12"/>
      <c r="Q2146" s="12"/>
      <c r="R2146" s="12"/>
      <c r="S2146" s="12"/>
    </row>
    <row r="2147" spans="1:19" ht="14.25" customHeight="1" x14ac:dyDescent="0.2">
      <c r="A2147" s="1" t="s">
        <v>42</v>
      </c>
      <c r="B2147" s="7">
        <v>46100.857974537037</v>
      </c>
      <c r="C2147" s="7">
        <v>46100.886145833334</v>
      </c>
      <c r="D2147" s="8">
        <v>46100</v>
      </c>
      <c r="E2147" s="9">
        <v>0.88614583333401242</v>
      </c>
      <c r="F2147" s="10" t="s">
        <v>2417</v>
      </c>
      <c r="G2147" s="10" t="s">
        <v>26</v>
      </c>
      <c r="H2147" s="10" t="s">
        <v>125</v>
      </c>
      <c r="I2147" s="10" t="s">
        <v>23</v>
      </c>
      <c r="J2147" s="11">
        <v>0.63</v>
      </c>
      <c r="K2147" s="12"/>
      <c r="L2147" s="12"/>
      <c r="M2147" s="12"/>
      <c r="N2147" s="12"/>
      <c r="O2147" s="12"/>
      <c r="P2147" s="12"/>
      <c r="Q2147" s="12"/>
      <c r="R2147" s="12"/>
      <c r="S2147" s="12"/>
    </row>
    <row r="2148" spans="1:19" ht="14.25" customHeight="1" x14ac:dyDescent="0.2">
      <c r="A2148" s="1" t="s">
        <v>24</v>
      </c>
      <c r="B2148" s="7">
        <v>46100.865254629629</v>
      </c>
      <c r="C2148" s="7">
        <v>46100.891018518516</v>
      </c>
      <c r="D2148" s="8">
        <v>46100</v>
      </c>
      <c r="E2148" s="9">
        <v>0.89101851851592073</v>
      </c>
      <c r="F2148" s="10" t="s">
        <v>2418</v>
      </c>
      <c r="G2148" s="10" t="s">
        <v>21</v>
      </c>
      <c r="H2148" s="10" t="s">
        <v>41</v>
      </c>
      <c r="I2148" s="10" t="s">
        <v>23</v>
      </c>
      <c r="J2148" s="11">
        <v>1.77</v>
      </c>
      <c r="K2148" s="12"/>
      <c r="L2148" s="12"/>
      <c r="M2148" s="12"/>
      <c r="N2148" s="12"/>
      <c r="O2148" s="12"/>
      <c r="P2148" s="12"/>
      <c r="Q2148" s="12"/>
      <c r="R2148" s="12"/>
      <c r="S2148" s="12"/>
    </row>
    <row r="2149" spans="1:19" ht="14.25" customHeight="1" x14ac:dyDescent="0.2">
      <c r="A2149" s="1" t="s">
        <v>24</v>
      </c>
      <c r="B2149" s="7">
        <v>46100.872129629628</v>
      </c>
      <c r="C2149" s="7">
        <v>46100.896157407406</v>
      </c>
      <c r="D2149" s="8">
        <v>46100</v>
      </c>
      <c r="E2149" s="9">
        <v>0.89615740740555339</v>
      </c>
      <c r="F2149" s="10" t="s">
        <v>2419</v>
      </c>
      <c r="G2149" s="10" t="s">
        <v>21</v>
      </c>
      <c r="H2149" s="10" t="s">
        <v>41</v>
      </c>
      <c r="I2149" s="10" t="s">
        <v>23</v>
      </c>
      <c r="J2149" s="11">
        <v>1.77</v>
      </c>
      <c r="K2149" s="12"/>
      <c r="L2149" s="12"/>
      <c r="M2149" s="12"/>
      <c r="N2149" s="12"/>
      <c r="O2149" s="12"/>
      <c r="P2149" s="12"/>
      <c r="Q2149" s="12"/>
      <c r="R2149" s="12"/>
      <c r="S2149" s="12"/>
    </row>
    <row r="2150" spans="1:19" ht="14.25" customHeight="1" x14ac:dyDescent="0.2">
      <c r="A2150" s="1" t="s">
        <v>19</v>
      </c>
      <c r="B2150" s="7">
        <v>46100.88113425926</v>
      </c>
      <c r="C2150" s="7">
        <v>46100.896620370368</v>
      </c>
      <c r="D2150" s="8">
        <v>46100</v>
      </c>
      <c r="E2150" s="9">
        <v>0.89662037036760012</v>
      </c>
      <c r="F2150" s="10" t="s">
        <v>2420</v>
      </c>
      <c r="G2150" s="10" t="s">
        <v>26</v>
      </c>
      <c r="H2150" s="10" t="s">
        <v>205</v>
      </c>
      <c r="I2150" s="10" t="s">
        <v>23</v>
      </c>
      <c r="J2150" s="11">
        <v>0.57999999999999996</v>
      </c>
      <c r="K2150" s="12"/>
      <c r="L2150" s="12"/>
      <c r="M2150" s="12"/>
      <c r="N2150" s="12"/>
      <c r="O2150" s="12"/>
      <c r="P2150" s="12"/>
      <c r="Q2150" s="12"/>
      <c r="R2150" s="12"/>
      <c r="S2150" s="12"/>
    </row>
    <row r="2151" spans="1:19" ht="14.25" customHeight="1" x14ac:dyDescent="0.2">
      <c r="A2151" s="1" t="s">
        <v>24</v>
      </c>
      <c r="B2151" s="7">
        <v>46100.883530092593</v>
      </c>
      <c r="C2151" s="7">
        <v>46100.902557870373</v>
      </c>
      <c r="D2151" s="8">
        <v>46100</v>
      </c>
      <c r="E2151" s="9">
        <v>0.90255787037312984</v>
      </c>
      <c r="F2151" s="10" t="s">
        <v>2421</v>
      </c>
      <c r="G2151" s="10" t="s">
        <v>21</v>
      </c>
      <c r="H2151" s="10" t="s">
        <v>41</v>
      </c>
      <c r="I2151" s="10" t="s">
        <v>23</v>
      </c>
      <c r="J2151" s="11">
        <v>1.77</v>
      </c>
      <c r="K2151" s="12"/>
      <c r="L2151" s="12"/>
      <c r="M2151" s="12"/>
      <c r="N2151" s="12"/>
      <c r="O2151" s="12"/>
      <c r="P2151" s="12"/>
      <c r="Q2151" s="12"/>
      <c r="R2151" s="12"/>
      <c r="S2151" s="12"/>
    </row>
    <row r="2152" spans="1:19" ht="14.25" customHeight="1" x14ac:dyDescent="0.2">
      <c r="A2152" s="1" t="s">
        <v>57</v>
      </c>
      <c r="B2152" s="7">
        <v>46100.885937500003</v>
      </c>
      <c r="C2152" s="7">
        <v>46100.905798611115</v>
      </c>
      <c r="D2152" s="8">
        <v>46100</v>
      </c>
      <c r="E2152" s="9">
        <v>0.90579861111473292</v>
      </c>
      <c r="F2152" s="10" t="s">
        <v>2422</v>
      </c>
      <c r="G2152" s="10" t="s">
        <v>44</v>
      </c>
      <c r="H2152" s="10" t="s">
        <v>606</v>
      </c>
      <c r="I2152" s="10" t="s">
        <v>23</v>
      </c>
      <c r="J2152" s="11">
        <v>0.18</v>
      </c>
      <c r="K2152" s="12"/>
      <c r="L2152" s="12"/>
      <c r="M2152" s="12"/>
      <c r="N2152" s="12"/>
      <c r="O2152" s="12"/>
      <c r="P2152" s="12"/>
      <c r="Q2152" s="12"/>
      <c r="R2152" s="12"/>
      <c r="S2152" s="12"/>
    </row>
    <row r="2153" spans="1:19" ht="14.25" customHeight="1" x14ac:dyDescent="0.2">
      <c r="A2153" s="1" t="s">
        <v>57</v>
      </c>
      <c r="B2153" s="7">
        <v>46100.887418981481</v>
      </c>
      <c r="C2153" s="7">
        <v>46100.9059837963</v>
      </c>
      <c r="D2153" s="8">
        <v>46100</v>
      </c>
      <c r="E2153" s="9">
        <v>0.90598379629955161</v>
      </c>
      <c r="F2153" s="10" t="s">
        <v>2423</v>
      </c>
      <c r="G2153" s="10" t="s">
        <v>44</v>
      </c>
      <c r="H2153" s="10" t="s">
        <v>2424</v>
      </c>
      <c r="I2153" s="10" t="s">
        <v>23</v>
      </c>
      <c r="J2153" s="11">
        <v>0.18</v>
      </c>
      <c r="K2153" s="12"/>
      <c r="L2153" s="12"/>
      <c r="M2153" s="12"/>
      <c r="N2153" s="12"/>
      <c r="O2153" s="12"/>
      <c r="P2153" s="12"/>
      <c r="Q2153" s="12"/>
      <c r="R2153" s="12"/>
      <c r="S2153" s="12"/>
    </row>
    <row r="2154" spans="1:19" ht="14.25" customHeight="1" x14ac:dyDescent="0.2">
      <c r="A2154" s="1" t="s">
        <v>19</v>
      </c>
      <c r="B2154" s="7">
        <v>46100.894050925926</v>
      </c>
      <c r="C2154" s="7">
        <v>46100.913483796299</v>
      </c>
      <c r="D2154" s="8">
        <v>46100</v>
      </c>
      <c r="E2154" s="9">
        <v>0.91348379629926058</v>
      </c>
      <c r="F2154" s="10" t="s">
        <v>2425</v>
      </c>
      <c r="G2154" s="10" t="s">
        <v>44</v>
      </c>
      <c r="H2154" s="10" t="s">
        <v>2426</v>
      </c>
      <c r="I2154" s="10" t="s">
        <v>23</v>
      </c>
      <c r="J2154" s="11">
        <v>0.18</v>
      </c>
      <c r="K2154" s="12"/>
      <c r="L2154" s="12"/>
      <c r="M2154" s="12"/>
      <c r="N2154" s="12"/>
      <c r="O2154" s="12"/>
      <c r="P2154" s="12"/>
      <c r="Q2154" s="12"/>
      <c r="R2154" s="12"/>
      <c r="S2154" s="12"/>
    </row>
    <row r="2155" spans="1:19" ht="14.25" customHeight="1" x14ac:dyDescent="0.2">
      <c r="A2155" s="1" t="s">
        <v>28</v>
      </c>
      <c r="B2155" s="7">
        <v>46100.894571759258</v>
      </c>
      <c r="C2155" s="7">
        <v>46100.914004629631</v>
      </c>
      <c r="D2155" s="8">
        <v>46100</v>
      </c>
      <c r="E2155" s="9">
        <v>0.91400462963065365</v>
      </c>
      <c r="F2155" s="10" t="s">
        <v>2427</v>
      </c>
      <c r="G2155" s="10" t="s">
        <v>21</v>
      </c>
      <c r="H2155" s="10" t="s">
        <v>41</v>
      </c>
      <c r="I2155" s="10" t="s">
        <v>23</v>
      </c>
      <c r="J2155" s="11">
        <v>1.77</v>
      </c>
      <c r="K2155" s="12"/>
      <c r="L2155" s="12"/>
      <c r="M2155" s="12"/>
      <c r="N2155" s="12"/>
      <c r="O2155" s="12"/>
      <c r="P2155" s="12"/>
      <c r="Q2155" s="12"/>
      <c r="R2155" s="12"/>
      <c r="S2155" s="12"/>
    </row>
    <row r="2156" spans="1:19" ht="14.25" customHeight="1" x14ac:dyDescent="0.2">
      <c r="A2156" s="1" t="s">
        <v>24</v>
      </c>
      <c r="B2156" s="7">
        <v>46100.884594907409</v>
      </c>
      <c r="C2156" s="7">
        <v>46100.914456018516</v>
      </c>
      <c r="D2156" s="8">
        <v>46100</v>
      </c>
      <c r="E2156" s="9">
        <v>0.91445601851592073</v>
      </c>
      <c r="F2156" s="10" t="s">
        <v>2428</v>
      </c>
      <c r="G2156" s="10" t="s">
        <v>26</v>
      </c>
      <c r="H2156" s="10" t="s">
        <v>1019</v>
      </c>
      <c r="I2156" s="10" t="s">
        <v>23</v>
      </c>
      <c r="J2156" s="11">
        <v>0.67</v>
      </c>
      <c r="K2156" s="12"/>
      <c r="L2156" s="12"/>
      <c r="M2156" s="12"/>
      <c r="N2156" s="12"/>
      <c r="O2156" s="12"/>
      <c r="P2156" s="12"/>
      <c r="Q2156" s="12"/>
      <c r="R2156" s="12"/>
      <c r="S2156" s="12"/>
    </row>
    <row r="2157" spans="1:19" ht="14.25" customHeight="1" x14ac:dyDescent="0.2">
      <c r="A2157" s="1" t="s">
        <v>24</v>
      </c>
      <c r="B2157" s="7">
        <v>46100.905578703707</v>
      </c>
      <c r="C2157" s="7">
        <v>46100.918796296297</v>
      </c>
      <c r="D2157" s="8">
        <v>46100</v>
      </c>
      <c r="E2157" s="9">
        <v>0.91879629629693227</v>
      </c>
      <c r="F2157" s="10" t="s">
        <v>2429</v>
      </c>
      <c r="G2157" s="10" t="s">
        <v>21</v>
      </c>
      <c r="H2157" s="10" t="s">
        <v>22</v>
      </c>
      <c r="I2157" s="10" t="s">
        <v>23</v>
      </c>
      <c r="J2157" s="11">
        <v>0.83</v>
      </c>
      <c r="K2157" s="12"/>
      <c r="L2157" s="12">
        <f>SUM(J2157:J2177)</f>
        <v>29.819999999999997</v>
      </c>
      <c r="M2157" s="13">
        <f>L2157*65</f>
        <v>1938.2999999999997</v>
      </c>
      <c r="N2157" s="14">
        <f>MAX(500,M2157)</f>
        <v>1938.2999999999997</v>
      </c>
      <c r="O2157" s="12"/>
      <c r="P2157" s="12"/>
      <c r="Q2157" s="12"/>
      <c r="R2157" s="12"/>
      <c r="S2157" s="12"/>
    </row>
    <row r="2158" spans="1:19" ht="14.25" customHeight="1" x14ac:dyDescent="0.2">
      <c r="A2158" s="1" t="s">
        <v>19</v>
      </c>
      <c r="B2158" s="7">
        <v>46100.909988425927</v>
      </c>
      <c r="C2158" s="7">
        <v>46100.921203703707</v>
      </c>
      <c r="D2158" s="8">
        <v>46100</v>
      </c>
      <c r="E2158" s="9">
        <v>0.92120370370685123</v>
      </c>
      <c r="F2158" s="10" t="s">
        <v>2430</v>
      </c>
      <c r="G2158" s="10" t="s">
        <v>21</v>
      </c>
      <c r="H2158" s="10" t="s">
        <v>52</v>
      </c>
      <c r="I2158" s="10" t="s">
        <v>23</v>
      </c>
      <c r="J2158" s="11">
        <v>0.98</v>
      </c>
      <c r="K2158" s="12"/>
      <c r="L2158" s="12"/>
      <c r="M2158" s="12"/>
      <c r="N2158" s="12"/>
      <c r="O2158" s="12"/>
      <c r="P2158" s="12"/>
      <c r="Q2158" s="12"/>
      <c r="R2158" s="12"/>
      <c r="S2158" s="12"/>
    </row>
    <row r="2159" spans="1:19" ht="14.25" customHeight="1" x14ac:dyDescent="0.2">
      <c r="A2159" s="1" t="s">
        <v>33</v>
      </c>
      <c r="B2159" s="7">
        <v>46100.904097222221</v>
      </c>
      <c r="C2159" s="7">
        <v>46100.921886574077</v>
      </c>
      <c r="D2159" s="8">
        <v>46100</v>
      </c>
      <c r="E2159" s="9">
        <v>0.92188657407677965</v>
      </c>
      <c r="F2159" s="10" t="s">
        <v>2431</v>
      </c>
      <c r="G2159" s="10" t="s">
        <v>21</v>
      </c>
      <c r="H2159" s="10" t="s">
        <v>2432</v>
      </c>
      <c r="I2159" s="10" t="s">
        <v>23</v>
      </c>
      <c r="J2159" s="11">
        <v>1.77</v>
      </c>
      <c r="K2159" s="12"/>
      <c r="L2159" s="12"/>
      <c r="M2159" s="12"/>
      <c r="N2159" s="12"/>
      <c r="O2159" s="12"/>
      <c r="P2159" s="12"/>
      <c r="Q2159" s="12"/>
      <c r="R2159" s="12"/>
      <c r="S2159" s="12"/>
    </row>
    <row r="2160" spans="1:19" ht="14.25" customHeight="1" x14ac:dyDescent="0.2">
      <c r="A2160" s="1" t="s">
        <v>19</v>
      </c>
      <c r="B2160" s="7">
        <v>46100.909988425927</v>
      </c>
      <c r="C2160" s="7">
        <v>46100.925127314818</v>
      </c>
      <c r="D2160" s="8">
        <v>46100</v>
      </c>
      <c r="E2160" s="9">
        <v>0.92512731481838273</v>
      </c>
      <c r="F2160" s="10" t="s">
        <v>2433</v>
      </c>
      <c r="G2160" s="10" t="s">
        <v>21</v>
      </c>
      <c r="H2160" s="10" t="s">
        <v>409</v>
      </c>
      <c r="I2160" s="10" t="s">
        <v>23</v>
      </c>
      <c r="J2160" s="11">
        <v>2.9</v>
      </c>
      <c r="K2160" s="12"/>
      <c r="L2160" s="12"/>
      <c r="M2160" s="12"/>
      <c r="N2160" s="12"/>
      <c r="O2160" s="12"/>
      <c r="P2160" s="12"/>
      <c r="Q2160" s="12"/>
      <c r="R2160" s="12"/>
      <c r="S2160" s="12"/>
    </row>
    <row r="2161" spans="1:19" ht="14.25" customHeight="1" x14ac:dyDescent="0.2">
      <c r="A2161" s="1" t="s">
        <v>24</v>
      </c>
      <c r="B2161" s="7">
        <v>46100.90997685185</v>
      </c>
      <c r="C2161" s="7">
        <v>46100.925451388888</v>
      </c>
      <c r="D2161" s="8">
        <v>46100</v>
      </c>
      <c r="E2161" s="9">
        <v>0.92545138888817746</v>
      </c>
      <c r="F2161" s="10" t="s">
        <v>2434</v>
      </c>
      <c r="G2161" s="10" t="s">
        <v>21</v>
      </c>
      <c r="H2161" s="10" t="s">
        <v>39</v>
      </c>
      <c r="I2161" s="10" t="s">
        <v>23</v>
      </c>
      <c r="J2161" s="11">
        <v>1.77</v>
      </c>
      <c r="K2161" s="12"/>
      <c r="L2161" s="12"/>
      <c r="M2161" s="12"/>
      <c r="N2161" s="12"/>
      <c r="O2161" s="12"/>
      <c r="P2161" s="12"/>
      <c r="Q2161" s="12"/>
      <c r="R2161" s="12"/>
      <c r="S2161" s="12"/>
    </row>
    <row r="2162" spans="1:19" ht="14.25" customHeight="1" x14ac:dyDescent="0.2">
      <c r="A2162" s="1" t="s">
        <v>28</v>
      </c>
      <c r="B2162" s="7">
        <v>46100.913518518515</v>
      </c>
      <c r="C2162" s="7">
        <v>46100.92659722222</v>
      </c>
      <c r="D2162" s="8">
        <v>46100</v>
      </c>
      <c r="E2162" s="9">
        <v>0.92659722222015262</v>
      </c>
      <c r="F2162" s="10" t="s">
        <v>2435</v>
      </c>
      <c r="G2162" s="10" t="s">
        <v>21</v>
      </c>
      <c r="H2162" s="10" t="s">
        <v>41</v>
      </c>
      <c r="I2162" s="10" t="s">
        <v>23</v>
      </c>
      <c r="J2162" s="11">
        <v>1.77</v>
      </c>
      <c r="K2162" s="12"/>
      <c r="L2162" s="12"/>
      <c r="M2162" s="12"/>
      <c r="N2162" s="12"/>
      <c r="O2162" s="12"/>
      <c r="P2162" s="12"/>
      <c r="Q2162" s="12"/>
      <c r="R2162" s="12"/>
      <c r="S2162" s="12"/>
    </row>
    <row r="2163" spans="1:19" ht="14.25" customHeight="1" x14ac:dyDescent="0.2">
      <c r="A2163" s="1" t="s">
        <v>24</v>
      </c>
      <c r="B2163" s="7">
        <v>46100.914259259262</v>
      </c>
      <c r="C2163" s="7">
        <v>46100.933298611111</v>
      </c>
      <c r="D2163" s="8">
        <v>46100</v>
      </c>
      <c r="E2163" s="9">
        <v>0.93329861111124046</v>
      </c>
      <c r="F2163" s="10" t="s">
        <v>2436</v>
      </c>
      <c r="G2163" s="10" t="s">
        <v>26</v>
      </c>
      <c r="H2163" s="10" t="s">
        <v>1490</v>
      </c>
      <c r="I2163" s="10" t="s">
        <v>23</v>
      </c>
      <c r="J2163" s="11">
        <v>0.75</v>
      </c>
      <c r="K2163" s="12"/>
      <c r="L2163" s="12"/>
      <c r="M2163" s="12"/>
      <c r="N2163" s="12"/>
      <c r="O2163" s="12"/>
      <c r="P2163" s="12"/>
      <c r="Q2163" s="12"/>
      <c r="R2163" s="12"/>
      <c r="S2163" s="12"/>
    </row>
    <row r="2164" spans="1:19" ht="14.25" customHeight="1" x14ac:dyDescent="0.2">
      <c r="A2164" s="1" t="s">
        <v>19</v>
      </c>
      <c r="B2164" s="7">
        <v>46100.919409722221</v>
      </c>
      <c r="C2164" s="7">
        <v>46100.940682870372</v>
      </c>
      <c r="D2164" s="8">
        <v>46100</v>
      </c>
      <c r="E2164" s="9">
        <v>0.94068287037225673</v>
      </c>
      <c r="F2164" s="10" t="s">
        <v>2437</v>
      </c>
      <c r="G2164" s="10" t="s">
        <v>21</v>
      </c>
      <c r="H2164" s="10" t="s">
        <v>41</v>
      </c>
      <c r="I2164" s="10" t="s">
        <v>23</v>
      </c>
      <c r="J2164" s="11">
        <v>1.77</v>
      </c>
      <c r="K2164" s="12"/>
      <c r="L2164" s="12"/>
      <c r="M2164" s="12"/>
      <c r="N2164" s="12"/>
      <c r="O2164" s="12"/>
      <c r="P2164" s="12"/>
      <c r="Q2164" s="12"/>
      <c r="R2164" s="12"/>
      <c r="S2164" s="12"/>
    </row>
    <row r="2165" spans="1:19" ht="14.25" customHeight="1" x14ac:dyDescent="0.2">
      <c r="A2165" s="1" t="s">
        <v>28</v>
      </c>
      <c r="B2165" s="7">
        <v>46100.922662037039</v>
      </c>
      <c r="C2165" s="7">
        <v>46100.941006944442</v>
      </c>
      <c r="D2165" s="8">
        <v>46100</v>
      </c>
      <c r="E2165" s="9">
        <v>0.94100694444205146</v>
      </c>
      <c r="F2165" s="10" t="s">
        <v>2438</v>
      </c>
      <c r="G2165" s="10" t="s">
        <v>21</v>
      </c>
      <c r="H2165" s="10" t="s">
        <v>1082</v>
      </c>
      <c r="I2165" s="10" t="s">
        <v>23</v>
      </c>
      <c r="J2165" s="11">
        <v>1.19</v>
      </c>
      <c r="K2165" s="12"/>
      <c r="L2165" s="12"/>
      <c r="M2165" s="12"/>
      <c r="N2165" s="12"/>
      <c r="O2165" s="12"/>
      <c r="P2165" s="12"/>
      <c r="Q2165" s="12"/>
      <c r="R2165" s="12"/>
      <c r="S2165" s="12"/>
    </row>
    <row r="2166" spans="1:19" ht="14.25" customHeight="1" x14ac:dyDescent="0.2">
      <c r="A2166" s="1" t="s">
        <v>33</v>
      </c>
      <c r="B2166" s="7">
        <v>46100.866759259261</v>
      </c>
      <c r="C2166" s="7">
        <v>46100.941770833335</v>
      </c>
      <c r="D2166" s="8">
        <v>46100</v>
      </c>
      <c r="E2166" s="9">
        <v>0.94177083333488554</v>
      </c>
      <c r="F2166" s="10" t="s">
        <v>2439</v>
      </c>
      <c r="G2166" s="10" t="s">
        <v>180</v>
      </c>
      <c r="H2166" s="10" t="s">
        <v>181</v>
      </c>
      <c r="I2166" s="10" t="s">
        <v>23</v>
      </c>
      <c r="J2166" s="11">
        <v>2.23</v>
      </c>
      <c r="K2166" s="12"/>
      <c r="L2166" s="12"/>
      <c r="M2166" s="12"/>
      <c r="N2166" s="12"/>
      <c r="O2166" s="12"/>
      <c r="P2166" s="12"/>
      <c r="Q2166" s="12"/>
      <c r="R2166" s="12"/>
      <c r="S2166" s="12"/>
    </row>
    <row r="2167" spans="1:19" ht="14.25" customHeight="1" x14ac:dyDescent="0.2">
      <c r="A2167" s="1" t="s">
        <v>33</v>
      </c>
      <c r="B2167" s="7">
        <v>46100.866759259261</v>
      </c>
      <c r="C2167" s="7">
        <v>46100.942060185182</v>
      </c>
      <c r="D2167" s="8">
        <v>46100</v>
      </c>
      <c r="E2167" s="9">
        <v>0.94206018518161727</v>
      </c>
      <c r="F2167" s="10" t="s">
        <v>2440</v>
      </c>
      <c r="G2167" s="10" t="s">
        <v>180</v>
      </c>
      <c r="H2167" s="10" t="s">
        <v>2441</v>
      </c>
      <c r="I2167" s="10" t="s">
        <v>23</v>
      </c>
      <c r="J2167" s="11">
        <v>2.1</v>
      </c>
      <c r="K2167" s="12"/>
      <c r="L2167" s="12"/>
      <c r="M2167" s="12"/>
      <c r="N2167" s="12"/>
      <c r="O2167" s="12"/>
      <c r="P2167" s="12"/>
      <c r="Q2167" s="12"/>
      <c r="R2167" s="12"/>
      <c r="S2167" s="12"/>
    </row>
    <row r="2168" spans="1:19" ht="14.25" customHeight="1" x14ac:dyDescent="0.2">
      <c r="A2168" s="1" t="s">
        <v>24</v>
      </c>
      <c r="B2168" s="7">
        <v>46100.92628472222</v>
      </c>
      <c r="C2168" s="7">
        <v>46100.942488425928</v>
      </c>
      <c r="D2168" s="8">
        <v>46100</v>
      </c>
      <c r="E2168" s="9">
        <v>0.94248842592787696</v>
      </c>
      <c r="F2168" s="10" t="s">
        <v>2442</v>
      </c>
      <c r="G2168" s="10" t="s">
        <v>21</v>
      </c>
      <c r="H2168" s="10" t="s">
        <v>39</v>
      </c>
      <c r="I2168" s="10" t="s">
        <v>23</v>
      </c>
      <c r="J2168" s="11">
        <v>1.77</v>
      </c>
      <c r="K2168" s="12"/>
      <c r="L2168" s="12"/>
      <c r="M2168" s="12"/>
      <c r="N2168" s="12"/>
      <c r="O2168" s="12"/>
      <c r="P2168" s="12"/>
      <c r="Q2168" s="12"/>
      <c r="R2168" s="12"/>
      <c r="S2168" s="12"/>
    </row>
    <row r="2169" spans="1:19" ht="14.25" customHeight="1" x14ac:dyDescent="0.2">
      <c r="A2169" s="1" t="s">
        <v>19</v>
      </c>
      <c r="B2169" s="7">
        <v>46100.855254629627</v>
      </c>
      <c r="C2169" s="7">
        <v>46100.944687499999</v>
      </c>
      <c r="D2169" s="8">
        <v>46100</v>
      </c>
      <c r="E2169" s="9">
        <v>0.94468749999941792</v>
      </c>
      <c r="F2169" s="10" t="s">
        <v>2443</v>
      </c>
      <c r="G2169" s="10" t="s">
        <v>21</v>
      </c>
      <c r="H2169" s="10" t="s">
        <v>399</v>
      </c>
      <c r="I2169" s="10" t="s">
        <v>23</v>
      </c>
      <c r="J2169" s="11">
        <v>3.92</v>
      </c>
      <c r="K2169" s="12"/>
      <c r="L2169" s="12"/>
      <c r="M2169" s="12"/>
      <c r="N2169" s="12"/>
      <c r="O2169" s="12"/>
      <c r="P2169" s="12"/>
      <c r="Q2169" s="12"/>
      <c r="R2169" s="12"/>
      <c r="S2169" s="12"/>
    </row>
    <row r="2170" spans="1:19" ht="14.25" customHeight="1" x14ac:dyDescent="0.2">
      <c r="A2170" s="1" t="s">
        <v>19</v>
      </c>
      <c r="B2170" s="7">
        <v>46100.935173611113</v>
      </c>
      <c r="C2170" s="7">
        <v>46100.944872685184</v>
      </c>
      <c r="D2170" s="8">
        <v>46100</v>
      </c>
      <c r="E2170" s="9">
        <v>0.94487268518423662</v>
      </c>
      <c r="F2170" s="10" t="s">
        <v>2444</v>
      </c>
      <c r="G2170" s="10" t="s">
        <v>21</v>
      </c>
      <c r="H2170" s="10" t="s">
        <v>22</v>
      </c>
      <c r="I2170" s="10" t="s">
        <v>23</v>
      </c>
      <c r="J2170" s="11">
        <v>0.83</v>
      </c>
      <c r="K2170" s="12"/>
      <c r="L2170" s="12"/>
      <c r="M2170" s="12"/>
      <c r="N2170" s="12"/>
      <c r="O2170" s="12"/>
      <c r="P2170" s="12"/>
      <c r="Q2170" s="12"/>
      <c r="R2170" s="12"/>
      <c r="S2170" s="12"/>
    </row>
    <row r="2171" spans="1:19" ht="14.25" customHeight="1" x14ac:dyDescent="0.2">
      <c r="A2171" s="1" t="s">
        <v>24</v>
      </c>
      <c r="B2171" s="7">
        <v>46100.926006944443</v>
      </c>
      <c r="C2171" s="7">
        <v>46100.945034722223</v>
      </c>
      <c r="D2171" s="8">
        <v>46100</v>
      </c>
      <c r="E2171" s="9">
        <v>0.94503472222277196</v>
      </c>
      <c r="F2171" s="10" t="s">
        <v>2445</v>
      </c>
      <c r="G2171" s="10" t="s">
        <v>44</v>
      </c>
      <c r="H2171" s="10" t="s">
        <v>185</v>
      </c>
      <c r="I2171" s="10" t="s">
        <v>23</v>
      </c>
      <c r="J2171" s="11">
        <v>0.18</v>
      </c>
      <c r="K2171" s="12"/>
      <c r="L2171" s="12"/>
      <c r="M2171" s="12"/>
      <c r="N2171" s="12"/>
      <c r="O2171" s="12"/>
      <c r="P2171" s="12"/>
      <c r="Q2171" s="12"/>
      <c r="R2171" s="12"/>
      <c r="S2171" s="12"/>
    </row>
    <row r="2172" spans="1:19" ht="14.25" customHeight="1" x14ac:dyDescent="0.2">
      <c r="A2172" s="1" t="s">
        <v>19</v>
      </c>
      <c r="B2172" s="7">
        <v>46100.829780092594</v>
      </c>
      <c r="C2172" s="7">
        <v>46100.94803240741</v>
      </c>
      <c r="D2172" s="8">
        <v>46100</v>
      </c>
      <c r="E2172" s="9">
        <v>0.94803240741021</v>
      </c>
      <c r="F2172" s="10" t="s">
        <v>2446</v>
      </c>
      <c r="G2172" s="10" t="s">
        <v>44</v>
      </c>
      <c r="H2172" s="10" t="s">
        <v>2447</v>
      </c>
      <c r="I2172" s="10" t="s">
        <v>23</v>
      </c>
      <c r="J2172" s="11">
        <v>0.18</v>
      </c>
      <c r="K2172" s="12"/>
      <c r="L2172" s="12"/>
      <c r="M2172" s="12"/>
      <c r="N2172" s="12"/>
      <c r="O2172" s="12"/>
      <c r="P2172" s="12"/>
      <c r="Q2172" s="12"/>
      <c r="R2172" s="12"/>
      <c r="S2172" s="12"/>
    </row>
    <row r="2173" spans="1:19" ht="14.25" customHeight="1" x14ac:dyDescent="0.2">
      <c r="A2173" s="1" t="s">
        <v>19</v>
      </c>
      <c r="B2173" s="7">
        <v>46100.829780092594</v>
      </c>
      <c r="C2173" s="7">
        <v>46100.948333333334</v>
      </c>
      <c r="D2173" s="8">
        <v>46100</v>
      </c>
      <c r="E2173" s="9">
        <v>0.94833333333372138</v>
      </c>
      <c r="F2173" s="10" t="s">
        <v>2448</v>
      </c>
      <c r="G2173" s="10" t="s">
        <v>44</v>
      </c>
      <c r="H2173" s="10" t="s">
        <v>2449</v>
      </c>
      <c r="I2173" s="10" t="s">
        <v>23</v>
      </c>
      <c r="J2173" s="11">
        <v>0.37</v>
      </c>
      <c r="K2173" s="12"/>
      <c r="L2173" s="12"/>
      <c r="M2173" s="12"/>
      <c r="N2173" s="12"/>
      <c r="O2173" s="12"/>
      <c r="P2173" s="12"/>
      <c r="Q2173" s="12"/>
      <c r="R2173" s="12"/>
      <c r="S2173" s="12"/>
    </row>
    <row r="2174" spans="1:19" ht="14.25" customHeight="1" x14ac:dyDescent="0.2">
      <c r="A2174" s="1" t="s">
        <v>19</v>
      </c>
      <c r="B2174" s="7">
        <v>46100.829780092594</v>
      </c>
      <c r="C2174" s="7">
        <v>46100.948495370372</v>
      </c>
      <c r="D2174" s="8">
        <v>46100</v>
      </c>
      <c r="E2174" s="9">
        <v>0.94849537037225673</v>
      </c>
      <c r="F2174" s="10" t="s">
        <v>2450</v>
      </c>
      <c r="G2174" s="10" t="s">
        <v>44</v>
      </c>
      <c r="H2174" s="10" t="s">
        <v>2451</v>
      </c>
      <c r="I2174" s="10" t="s">
        <v>23</v>
      </c>
      <c r="J2174" s="11">
        <v>0.21</v>
      </c>
      <c r="K2174" s="12"/>
      <c r="L2174" s="12"/>
      <c r="M2174" s="12"/>
      <c r="N2174" s="12"/>
      <c r="O2174" s="12"/>
      <c r="P2174" s="12"/>
      <c r="Q2174" s="12"/>
      <c r="R2174" s="12"/>
      <c r="S2174" s="12"/>
    </row>
    <row r="2175" spans="1:19" ht="14.25" customHeight="1" x14ac:dyDescent="0.2">
      <c r="A2175" s="1" t="s">
        <v>24</v>
      </c>
      <c r="B2175" s="7">
        <v>46100.936562499999</v>
      </c>
      <c r="C2175" s="7">
        <v>46100.949166666665</v>
      </c>
      <c r="D2175" s="8">
        <v>46100</v>
      </c>
      <c r="E2175" s="9">
        <v>0.9491666666654055</v>
      </c>
      <c r="F2175" s="10" t="s">
        <v>2452</v>
      </c>
      <c r="G2175" s="10" t="s">
        <v>21</v>
      </c>
      <c r="H2175" s="10" t="s">
        <v>41</v>
      </c>
      <c r="I2175" s="10" t="s">
        <v>23</v>
      </c>
      <c r="J2175" s="11">
        <v>1.77</v>
      </c>
      <c r="K2175" s="12"/>
      <c r="L2175" s="12"/>
      <c r="M2175" s="12"/>
      <c r="N2175" s="12"/>
      <c r="O2175" s="12"/>
      <c r="P2175" s="12"/>
      <c r="Q2175" s="12"/>
      <c r="R2175" s="12"/>
      <c r="S2175" s="12"/>
    </row>
    <row r="2176" spans="1:19" ht="14.25" customHeight="1" x14ac:dyDescent="0.2">
      <c r="A2176" s="1" t="s">
        <v>28</v>
      </c>
      <c r="B2176" s="7">
        <v>46100.937835648147</v>
      </c>
      <c r="C2176" s="7">
        <v>46100.957430555558</v>
      </c>
      <c r="D2176" s="8">
        <v>46100</v>
      </c>
      <c r="E2176" s="9">
        <v>0.95743055555794854</v>
      </c>
      <c r="F2176" s="10" t="s">
        <v>2453</v>
      </c>
      <c r="G2176" s="10" t="s">
        <v>21</v>
      </c>
      <c r="H2176" s="10" t="s">
        <v>22</v>
      </c>
      <c r="I2176" s="10" t="s">
        <v>23</v>
      </c>
      <c r="J2176" s="11">
        <v>0.83</v>
      </c>
      <c r="K2176" s="12"/>
      <c r="L2176" s="12"/>
      <c r="M2176" s="12"/>
      <c r="N2176" s="12"/>
      <c r="O2176" s="12"/>
      <c r="P2176" s="12"/>
      <c r="Q2176" s="12"/>
      <c r="R2176" s="12"/>
      <c r="S2176" s="12"/>
    </row>
    <row r="2177" spans="1:19" ht="14.25" customHeight="1" x14ac:dyDescent="0.2">
      <c r="A2177" s="1" t="s">
        <v>148</v>
      </c>
      <c r="B2177" s="7">
        <v>46100.935300925928</v>
      </c>
      <c r="C2177" s="7">
        <v>46100.958113425928</v>
      </c>
      <c r="D2177" s="8">
        <v>46100</v>
      </c>
      <c r="E2177" s="9">
        <v>0.95811342592787696</v>
      </c>
      <c r="F2177" s="10" t="s">
        <v>2454</v>
      </c>
      <c r="G2177" s="10" t="s">
        <v>21</v>
      </c>
      <c r="H2177" s="10" t="s">
        <v>1834</v>
      </c>
      <c r="I2177" s="10" t="s">
        <v>23</v>
      </c>
      <c r="J2177" s="11">
        <v>1.7</v>
      </c>
      <c r="K2177" s="12"/>
      <c r="L2177" s="12"/>
      <c r="M2177" s="12"/>
      <c r="N2177" s="12"/>
      <c r="O2177" s="12"/>
      <c r="P2177" s="12"/>
      <c r="Q2177" s="12"/>
      <c r="R2177" s="12"/>
      <c r="S2177" s="12"/>
    </row>
    <row r="2178" spans="1:19" ht="14.25" customHeight="1" x14ac:dyDescent="0.2">
      <c r="A2178" s="1" t="s">
        <v>19</v>
      </c>
      <c r="B2178" s="7">
        <v>46100.943692129629</v>
      </c>
      <c r="C2178" s="7">
        <v>46100.959328703706</v>
      </c>
      <c r="D2178" s="8">
        <v>46100</v>
      </c>
      <c r="E2178" s="9">
        <v>0.95932870370597811</v>
      </c>
      <c r="F2178" s="10" t="s">
        <v>2455</v>
      </c>
      <c r="G2178" s="10" t="s">
        <v>21</v>
      </c>
      <c r="H2178" s="10" t="s">
        <v>101</v>
      </c>
      <c r="I2178" s="10" t="s">
        <v>23</v>
      </c>
      <c r="J2178" s="11">
        <v>1.7</v>
      </c>
      <c r="K2178" s="12"/>
      <c r="L2178" s="12">
        <f>SUM(J2178:J2201)</f>
        <v>29.31</v>
      </c>
      <c r="M2178" s="13">
        <f>L2178*65</f>
        <v>1905.1499999999999</v>
      </c>
      <c r="N2178" s="14">
        <f>MAX(500,M2178)</f>
        <v>1905.1499999999999</v>
      </c>
      <c r="O2178" s="12"/>
      <c r="P2178" s="12"/>
      <c r="Q2178" s="12"/>
      <c r="R2178" s="12"/>
      <c r="S2178" s="12"/>
    </row>
    <row r="2179" spans="1:19" ht="14.25" customHeight="1" x14ac:dyDescent="0.2">
      <c r="A2179" s="22" t="s">
        <v>24</v>
      </c>
      <c r="B2179" s="23">
        <v>46100.857060185182</v>
      </c>
      <c r="C2179" s="23">
        <v>46100.961319444446</v>
      </c>
      <c r="D2179" s="24">
        <v>46100</v>
      </c>
      <c r="E2179" s="25">
        <v>0.96131944444641704</v>
      </c>
      <c r="F2179" s="22" t="s">
        <v>2456</v>
      </c>
      <c r="G2179" s="22" t="s">
        <v>44</v>
      </c>
      <c r="H2179" s="22" t="s">
        <v>185</v>
      </c>
      <c r="I2179" s="22" t="s">
        <v>583</v>
      </c>
      <c r="J2179" s="26">
        <v>0.18</v>
      </c>
      <c r="K2179" s="26"/>
      <c r="L2179" s="26"/>
      <c r="M2179" s="26"/>
      <c r="N2179" s="26"/>
      <c r="O2179" s="26"/>
      <c r="P2179" s="26"/>
      <c r="Q2179" s="26"/>
      <c r="R2179" s="26"/>
      <c r="S2179" s="26"/>
    </row>
    <row r="2180" spans="1:19" ht="14.25" customHeight="1" x14ac:dyDescent="0.2">
      <c r="A2180" s="1" t="s">
        <v>42</v>
      </c>
      <c r="B2180" s="7">
        <v>46100.93613425926</v>
      </c>
      <c r="C2180" s="7">
        <v>46100.962372685186</v>
      </c>
      <c r="D2180" s="8">
        <v>46100</v>
      </c>
      <c r="E2180" s="9">
        <v>0.96237268518598285</v>
      </c>
      <c r="F2180" s="10" t="s">
        <v>2457</v>
      </c>
      <c r="G2180" s="10" t="s">
        <v>21</v>
      </c>
      <c r="H2180" s="10" t="s">
        <v>97</v>
      </c>
      <c r="I2180" s="10" t="s">
        <v>23</v>
      </c>
      <c r="J2180" s="11">
        <v>1.77</v>
      </c>
      <c r="K2180" s="12"/>
      <c r="L2180" s="12"/>
      <c r="M2180" s="12"/>
      <c r="N2180" s="12"/>
      <c r="O2180" s="12"/>
      <c r="P2180" s="12"/>
      <c r="Q2180" s="12"/>
      <c r="R2180" s="12"/>
      <c r="S2180" s="12"/>
    </row>
    <row r="2181" spans="1:19" ht="14.25" customHeight="1" x14ac:dyDescent="0.2">
      <c r="A2181" s="22" t="s">
        <v>33</v>
      </c>
      <c r="B2181" s="23">
        <v>46100.946620370371</v>
      </c>
      <c r="C2181" s="23">
        <v>46100.967604166668</v>
      </c>
      <c r="D2181" s="24">
        <v>46100</v>
      </c>
      <c r="E2181" s="25">
        <v>0.96760416666802485</v>
      </c>
      <c r="F2181" s="22" t="s">
        <v>2458</v>
      </c>
      <c r="G2181" s="22" t="s">
        <v>21</v>
      </c>
      <c r="H2181" s="22" t="s">
        <v>39</v>
      </c>
      <c r="I2181" s="22" t="s">
        <v>583</v>
      </c>
      <c r="J2181" s="26">
        <v>1.77</v>
      </c>
      <c r="K2181" s="26"/>
      <c r="L2181" s="26"/>
      <c r="M2181" s="26"/>
      <c r="N2181" s="26"/>
      <c r="O2181" s="26"/>
      <c r="P2181" s="26"/>
      <c r="Q2181" s="26"/>
      <c r="R2181" s="26"/>
      <c r="S2181" s="26"/>
    </row>
    <row r="2182" spans="1:19" ht="14.25" customHeight="1" x14ac:dyDescent="0.2">
      <c r="A2182" s="1" t="s">
        <v>19</v>
      </c>
      <c r="B2182" s="7">
        <v>46100.951689814814</v>
      </c>
      <c r="C2182" s="7">
        <v>46100.968912037039</v>
      </c>
      <c r="D2182" s="8">
        <v>46100</v>
      </c>
      <c r="E2182" s="9">
        <v>0.96891203703853535</v>
      </c>
      <c r="F2182" s="10" t="s">
        <v>2459</v>
      </c>
      <c r="G2182" s="10" t="s">
        <v>21</v>
      </c>
      <c r="H2182" s="10" t="s">
        <v>101</v>
      </c>
      <c r="I2182" s="10" t="s">
        <v>23</v>
      </c>
      <c r="J2182" s="11">
        <v>1.7</v>
      </c>
      <c r="K2182" s="12"/>
      <c r="L2182" s="12"/>
      <c r="M2182" s="12"/>
      <c r="N2182" s="12"/>
      <c r="O2182" s="12"/>
      <c r="P2182" s="12"/>
      <c r="Q2182" s="12"/>
      <c r="R2182" s="12"/>
      <c r="S2182" s="12"/>
    </row>
    <row r="2183" spans="1:19" ht="14.25" customHeight="1" x14ac:dyDescent="0.2">
      <c r="A2183" s="22" t="s">
        <v>24</v>
      </c>
      <c r="B2183" s="23">
        <v>46100.862673611111</v>
      </c>
      <c r="C2183" s="23">
        <v>46100.969305555554</v>
      </c>
      <c r="D2183" s="24">
        <v>46100</v>
      </c>
      <c r="E2183" s="25">
        <v>0.96930555555445608</v>
      </c>
      <c r="F2183" s="22" t="s">
        <v>2460</v>
      </c>
      <c r="G2183" s="22" t="s">
        <v>44</v>
      </c>
      <c r="H2183" s="22" t="s">
        <v>185</v>
      </c>
      <c r="I2183" s="22" t="s">
        <v>583</v>
      </c>
      <c r="J2183" s="26">
        <v>0.18</v>
      </c>
      <c r="K2183" s="26"/>
      <c r="L2183" s="26"/>
      <c r="M2183" s="26"/>
      <c r="N2183" s="26"/>
      <c r="O2183" s="26"/>
      <c r="P2183" s="26"/>
      <c r="Q2183" s="26"/>
      <c r="R2183" s="26"/>
      <c r="S2183" s="26"/>
    </row>
    <row r="2184" spans="1:19" ht="14.25" customHeight="1" x14ac:dyDescent="0.2">
      <c r="A2184" s="22" t="s">
        <v>33</v>
      </c>
      <c r="B2184" s="23">
        <v>46100.871701388889</v>
      </c>
      <c r="C2184" s="23">
        <v>46100.970682870371</v>
      </c>
      <c r="D2184" s="24">
        <v>46100</v>
      </c>
      <c r="E2184" s="25">
        <v>0.97068287037109258</v>
      </c>
      <c r="F2184" s="22" t="s">
        <v>2461</v>
      </c>
      <c r="G2184" s="22" t="s">
        <v>44</v>
      </c>
      <c r="H2184" s="22" t="s">
        <v>185</v>
      </c>
      <c r="I2184" s="22" t="s">
        <v>583</v>
      </c>
      <c r="J2184" s="26">
        <v>0.18</v>
      </c>
      <c r="K2184" s="26"/>
      <c r="L2184" s="26"/>
      <c r="M2184" s="26"/>
      <c r="N2184" s="26"/>
      <c r="O2184" s="26"/>
      <c r="P2184" s="26"/>
      <c r="Q2184" s="26"/>
      <c r="R2184" s="26"/>
      <c r="S2184" s="26"/>
    </row>
    <row r="2185" spans="1:19" ht="14.25" customHeight="1" x14ac:dyDescent="0.2">
      <c r="A2185" s="22" t="s">
        <v>33</v>
      </c>
      <c r="B2185" s="23">
        <v>46100.912905092591</v>
      </c>
      <c r="C2185" s="23">
        <v>46100.972199074073</v>
      </c>
      <c r="D2185" s="24">
        <v>46100</v>
      </c>
      <c r="E2185" s="25">
        <v>0.97219907407270512</v>
      </c>
      <c r="F2185" s="22" t="s">
        <v>2462</v>
      </c>
      <c r="G2185" s="22" t="s">
        <v>44</v>
      </c>
      <c r="H2185" s="22" t="s">
        <v>185</v>
      </c>
      <c r="I2185" s="22" t="s">
        <v>583</v>
      </c>
      <c r="J2185" s="26">
        <v>0.18</v>
      </c>
      <c r="K2185" s="26"/>
      <c r="L2185" s="26"/>
      <c r="M2185" s="26"/>
      <c r="N2185" s="26"/>
      <c r="O2185" s="26"/>
      <c r="P2185" s="26"/>
      <c r="Q2185" s="26"/>
      <c r="R2185" s="26"/>
      <c r="S2185" s="26"/>
    </row>
    <row r="2186" spans="1:19" ht="14.25" customHeight="1" x14ac:dyDescent="0.2">
      <c r="A2186" s="1" t="s">
        <v>95</v>
      </c>
      <c r="B2186" s="7">
        <v>46100.951655092591</v>
      </c>
      <c r="C2186" s="7">
        <v>46100.977673611109</v>
      </c>
      <c r="D2186" s="8">
        <v>46100</v>
      </c>
      <c r="E2186" s="9">
        <v>0.97767361110891216</v>
      </c>
      <c r="F2186" s="10" t="s">
        <v>2463</v>
      </c>
      <c r="G2186" s="10" t="s">
        <v>21</v>
      </c>
      <c r="H2186" s="10" t="s">
        <v>154</v>
      </c>
      <c r="I2186" s="10" t="s">
        <v>23</v>
      </c>
      <c r="J2186" s="11">
        <v>1.77</v>
      </c>
      <c r="K2186" s="12"/>
      <c r="L2186" s="12"/>
      <c r="M2186" s="12"/>
      <c r="N2186" s="12"/>
      <c r="O2186" s="12"/>
      <c r="P2186" s="12"/>
      <c r="Q2186" s="12"/>
      <c r="R2186" s="12"/>
      <c r="S2186" s="12"/>
    </row>
    <row r="2187" spans="1:19" ht="14.25" customHeight="1" x14ac:dyDescent="0.2">
      <c r="A2187" s="1" t="s">
        <v>95</v>
      </c>
      <c r="B2187" s="7">
        <v>46100.961770833332</v>
      </c>
      <c r="C2187" s="7">
        <v>46100.978946759256</v>
      </c>
      <c r="D2187" s="8">
        <v>46100</v>
      </c>
      <c r="E2187" s="9">
        <v>0.97894675925635966</v>
      </c>
      <c r="F2187" s="10" t="s">
        <v>2464</v>
      </c>
      <c r="G2187" s="10" t="s">
        <v>21</v>
      </c>
      <c r="H2187" s="10" t="s">
        <v>97</v>
      </c>
      <c r="I2187" s="10" t="s">
        <v>23</v>
      </c>
      <c r="J2187" s="11">
        <v>1.77</v>
      </c>
      <c r="K2187" s="12"/>
      <c r="L2187" s="12"/>
      <c r="M2187" s="12"/>
      <c r="N2187" s="12"/>
      <c r="O2187" s="12"/>
      <c r="P2187" s="12"/>
      <c r="Q2187" s="12"/>
      <c r="R2187" s="12"/>
      <c r="S2187" s="12"/>
    </row>
    <row r="2188" spans="1:19" ht="14.25" customHeight="1" x14ac:dyDescent="0.2">
      <c r="A2188" s="1" t="s">
        <v>57</v>
      </c>
      <c r="B2188" s="7">
        <v>46100.968344907407</v>
      </c>
      <c r="C2188" s="7">
        <v>46100.979328703703</v>
      </c>
      <c r="D2188" s="8">
        <v>46100</v>
      </c>
      <c r="E2188" s="9">
        <v>0.97932870370277669</v>
      </c>
      <c r="F2188" s="10" t="s">
        <v>2465</v>
      </c>
      <c r="G2188" s="10" t="s">
        <v>21</v>
      </c>
      <c r="H2188" s="10" t="s">
        <v>303</v>
      </c>
      <c r="I2188" s="10" t="s">
        <v>23</v>
      </c>
      <c r="J2188" s="11">
        <v>1.77</v>
      </c>
      <c r="K2188" s="12"/>
      <c r="L2188" s="12"/>
      <c r="M2188" s="12"/>
      <c r="N2188" s="12"/>
      <c r="O2188" s="12"/>
      <c r="P2188" s="12"/>
      <c r="Q2188" s="12"/>
      <c r="R2188" s="12"/>
      <c r="S2188" s="12"/>
    </row>
    <row r="2189" spans="1:19" ht="14.25" customHeight="1" x14ac:dyDescent="0.2">
      <c r="A2189" s="1" t="s">
        <v>95</v>
      </c>
      <c r="B2189" s="7">
        <v>46100.96775462963</v>
      </c>
      <c r="C2189" s="7">
        <v>46100.981828703705</v>
      </c>
      <c r="D2189" s="8">
        <v>46100</v>
      </c>
      <c r="E2189" s="9">
        <v>0.981828703705105</v>
      </c>
      <c r="F2189" s="10" t="s">
        <v>2466</v>
      </c>
      <c r="G2189" s="10" t="s">
        <v>21</v>
      </c>
      <c r="H2189" s="10" t="s">
        <v>110</v>
      </c>
      <c r="I2189" s="10" t="s">
        <v>23</v>
      </c>
      <c r="J2189" s="11">
        <v>0.83</v>
      </c>
      <c r="K2189" s="12"/>
      <c r="L2189" s="12"/>
      <c r="M2189" s="12"/>
      <c r="N2189" s="12"/>
      <c r="O2189" s="12"/>
      <c r="P2189" s="12"/>
      <c r="Q2189" s="12"/>
      <c r="R2189" s="12"/>
      <c r="S2189" s="12"/>
    </row>
    <row r="2190" spans="1:19" ht="14.25" customHeight="1" x14ac:dyDescent="0.2">
      <c r="A2190" s="22" t="s">
        <v>28</v>
      </c>
      <c r="B2190" s="23">
        <v>46100.958356481482</v>
      </c>
      <c r="C2190" s="23">
        <v>46100.982060185182</v>
      </c>
      <c r="D2190" s="24">
        <v>46100</v>
      </c>
      <c r="E2190" s="25">
        <v>0.98206018518249039</v>
      </c>
      <c r="F2190" s="22" t="s">
        <v>2467</v>
      </c>
      <c r="G2190" s="22" t="s">
        <v>21</v>
      </c>
      <c r="H2190" s="22" t="s">
        <v>41</v>
      </c>
      <c r="I2190" s="22" t="s">
        <v>583</v>
      </c>
      <c r="J2190" s="26">
        <v>1.77</v>
      </c>
      <c r="K2190" s="26"/>
      <c r="L2190" s="26"/>
      <c r="M2190" s="26"/>
      <c r="N2190" s="26"/>
      <c r="O2190" s="26"/>
      <c r="P2190" s="26"/>
      <c r="Q2190" s="26"/>
      <c r="R2190" s="26"/>
      <c r="S2190" s="26"/>
    </row>
    <row r="2191" spans="1:19" ht="14.25" customHeight="1" x14ac:dyDescent="0.2">
      <c r="A2191" s="1" t="s">
        <v>28</v>
      </c>
      <c r="B2191" s="7">
        <v>46100.956782407404</v>
      </c>
      <c r="C2191" s="7">
        <v>46100.982152777775</v>
      </c>
      <c r="D2191" s="8">
        <v>46100</v>
      </c>
      <c r="E2191" s="9">
        <v>0.98215277777489973</v>
      </c>
      <c r="F2191" s="10" t="s">
        <v>2468</v>
      </c>
      <c r="G2191" s="10" t="s">
        <v>26</v>
      </c>
      <c r="H2191" s="10" t="s">
        <v>1019</v>
      </c>
      <c r="I2191" s="10" t="s">
        <v>23</v>
      </c>
      <c r="J2191" s="11">
        <v>0.67</v>
      </c>
      <c r="K2191" s="12"/>
      <c r="L2191" s="12"/>
      <c r="M2191" s="12"/>
      <c r="N2191" s="12"/>
      <c r="O2191" s="12"/>
      <c r="P2191" s="12"/>
      <c r="Q2191" s="12"/>
      <c r="R2191" s="12"/>
      <c r="S2191" s="12"/>
    </row>
    <row r="2192" spans="1:19" ht="14.25" customHeight="1" x14ac:dyDescent="0.2">
      <c r="A2192" s="1" t="s">
        <v>19</v>
      </c>
      <c r="B2192" s="7">
        <v>46100.962569444448</v>
      </c>
      <c r="C2192" s="7">
        <v>46100.982731481483</v>
      </c>
      <c r="D2192" s="8">
        <v>46100</v>
      </c>
      <c r="E2192" s="9">
        <v>0.98273148148291511</v>
      </c>
      <c r="F2192" s="10" t="s">
        <v>2469</v>
      </c>
      <c r="G2192" s="10" t="s">
        <v>21</v>
      </c>
      <c r="H2192" s="10" t="s">
        <v>260</v>
      </c>
      <c r="I2192" s="10" t="s">
        <v>23</v>
      </c>
      <c r="J2192" s="11">
        <v>1.1000000000000001</v>
      </c>
      <c r="K2192" s="12"/>
      <c r="L2192" s="12"/>
      <c r="M2192" s="12"/>
      <c r="N2192" s="12"/>
      <c r="O2192" s="12"/>
      <c r="P2192" s="12"/>
      <c r="Q2192" s="12"/>
      <c r="R2192" s="12"/>
      <c r="S2192" s="12"/>
    </row>
    <row r="2193" spans="1:19" ht="14.25" customHeight="1" x14ac:dyDescent="0.2">
      <c r="A2193" s="1" t="s">
        <v>19</v>
      </c>
      <c r="B2193" s="7">
        <v>46100.969930555555</v>
      </c>
      <c r="C2193" s="7">
        <v>46100.982905092591</v>
      </c>
      <c r="D2193" s="8">
        <v>46100</v>
      </c>
      <c r="E2193" s="9">
        <v>0.98290509259095415</v>
      </c>
      <c r="F2193" s="10" t="s">
        <v>2470</v>
      </c>
      <c r="G2193" s="10" t="s">
        <v>21</v>
      </c>
      <c r="H2193" s="10" t="s">
        <v>52</v>
      </c>
      <c r="I2193" s="10" t="s">
        <v>23</v>
      </c>
      <c r="J2193" s="11">
        <v>0.98</v>
      </c>
      <c r="K2193" s="12"/>
      <c r="L2193" s="12"/>
      <c r="M2193" s="12"/>
      <c r="N2193" s="12"/>
      <c r="O2193" s="12"/>
      <c r="P2193" s="12"/>
      <c r="Q2193" s="12"/>
      <c r="R2193" s="12"/>
      <c r="S2193" s="12"/>
    </row>
    <row r="2194" spans="1:19" ht="14.25" customHeight="1" x14ac:dyDescent="0.2">
      <c r="A2194" s="1" t="s">
        <v>19</v>
      </c>
      <c r="B2194" s="7">
        <v>46100.972256944442</v>
      </c>
      <c r="C2194" s="7">
        <v>46100.983148148145</v>
      </c>
      <c r="D2194" s="8">
        <v>46100</v>
      </c>
      <c r="E2194" s="9">
        <v>0.98314814814511919</v>
      </c>
      <c r="F2194" s="10" t="s">
        <v>2471</v>
      </c>
      <c r="G2194" s="10" t="s">
        <v>21</v>
      </c>
      <c r="H2194" s="10" t="s">
        <v>22</v>
      </c>
      <c r="I2194" s="10" t="s">
        <v>23</v>
      </c>
      <c r="J2194" s="11">
        <v>0.83</v>
      </c>
      <c r="K2194" s="12"/>
      <c r="L2194" s="12"/>
      <c r="M2194" s="12"/>
      <c r="N2194" s="12"/>
      <c r="O2194" s="12"/>
      <c r="P2194" s="12"/>
      <c r="Q2194" s="12"/>
      <c r="R2194" s="12"/>
      <c r="S2194" s="12"/>
    </row>
    <row r="2195" spans="1:19" ht="14.25" customHeight="1" x14ac:dyDescent="0.2">
      <c r="A2195" s="1" t="s">
        <v>24</v>
      </c>
      <c r="B2195" s="7">
        <v>46100.962222222224</v>
      </c>
      <c r="C2195" s="7">
        <v>46100.98364583333</v>
      </c>
      <c r="D2195" s="8">
        <v>46100</v>
      </c>
      <c r="E2195" s="9">
        <v>0.98364583333022892</v>
      </c>
      <c r="F2195" s="10" t="s">
        <v>2472</v>
      </c>
      <c r="G2195" s="10" t="s">
        <v>21</v>
      </c>
      <c r="H2195" s="10" t="s">
        <v>41</v>
      </c>
      <c r="I2195" s="10" t="s">
        <v>23</v>
      </c>
      <c r="J2195" s="11">
        <v>1.77</v>
      </c>
      <c r="K2195" s="12"/>
      <c r="L2195" s="12"/>
      <c r="M2195" s="12"/>
      <c r="N2195" s="12"/>
      <c r="O2195" s="12"/>
      <c r="P2195" s="12"/>
      <c r="Q2195" s="12"/>
      <c r="R2195" s="12"/>
      <c r="S2195" s="12"/>
    </row>
    <row r="2196" spans="1:19" ht="14.25" customHeight="1" x14ac:dyDescent="0.2">
      <c r="A2196" s="1" t="s">
        <v>24</v>
      </c>
      <c r="B2196" s="7">
        <v>46100.962222222224</v>
      </c>
      <c r="C2196" s="7">
        <v>46100.983981481484</v>
      </c>
      <c r="D2196" s="8">
        <v>46100</v>
      </c>
      <c r="E2196" s="9">
        <v>0.98398148148407927</v>
      </c>
      <c r="F2196" s="10" t="s">
        <v>2473</v>
      </c>
      <c r="G2196" s="10" t="s">
        <v>21</v>
      </c>
      <c r="H2196" s="10" t="s">
        <v>39</v>
      </c>
      <c r="I2196" s="10" t="s">
        <v>23</v>
      </c>
      <c r="J2196" s="11">
        <v>1.77</v>
      </c>
      <c r="K2196" s="12"/>
      <c r="L2196" s="12"/>
      <c r="M2196" s="12"/>
      <c r="N2196" s="12"/>
      <c r="O2196" s="12"/>
      <c r="P2196" s="12"/>
      <c r="Q2196" s="12"/>
      <c r="R2196" s="12"/>
      <c r="S2196" s="12"/>
    </row>
    <row r="2197" spans="1:19" ht="14.25" customHeight="1" x14ac:dyDescent="0.2">
      <c r="A2197" s="1" t="s">
        <v>24</v>
      </c>
      <c r="B2197" s="7">
        <v>46100.935740740744</v>
      </c>
      <c r="C2197" s="7">
        <v>46100.984837962962</v>
      </c>
      <c r="D2197" s="8">
        <v>46100</v>
      </c>
      <c r="E2197" s="9">
        <v>0.98483796296204673</v>
      </c>
      <c r="F2197" s="10" t="s">
        <v>2474</v>
      </c>
      <c r="G2197" s="10" t="s">
        <v>26</v>
      </c>
      <c r="H2197" s="10" t="s">
        <v>768</v>
      </c>
      <c r="I2197" s="10" t="s">
        <v>23</v>
      </c>
      <c r="J2197" s="11">
        <v>0.67</v>
      </c>
      <c r="K2197" s="12"/>
      <c r="L2197" s="12"/>
      <c r="M2197" s="12"/>
      <c r="N2197" s="12"/>
      <c r="O2197" s="12"/>
      <c r="P2197" s="12"/>
      <c r="Q2197" s="12"/>
      <c r="R2197" s="12"/>
      <c r="S2197" s="12"/>
    </row>
    <row r="2198" spans="1:19" ht="14.25" customHeight="1" x14ac:dyDescent="0.2">
      <c r="A2198" s="1" t="s">
        <v>24</v>
      </c>
      <c r="B2198" s="7">
        <v>46100.965509259258</v>
      </c>
      <c r="C2198" s="7">
        <v>46100.985497685186</v>
      </c>
      <c r="D2198" s="8">
        <v>46100</v>
      </c>
      <c r="E2198" s="9">
        <v>0.98549768518569181</v>
      </c>
      <c r="F2198" s="10" t="s">
        <v>2475</v>
      </c>
      <c r="G2198" s="10" t="s">
        <v>26</v>
      </c>
      <c r="H2198" s="10" t="s">
        <v>92</v>
      </c>
      <c r="I2198" s="10" t="s">
        <v>23</v>
      </c>
      <c r="J2198" s="11">
        <v>0.63</v>
      </c>
      <c r="K2198" s="12"/>
      <c r="L2198" s="12"/>
      <c r="M2198" s="12"/>
      <c r="N2198" s="12"/>
      <c r="O2198" s="12"/>
      <c r="P2198" s="12"/>
      <c r="Q2198" s="12"/>
      <c r="R2198" s="12"/>
      <c r="S2198" s="12"/>
    </row>
    <row r="2199" spans="1:19" ht="14.25" customHeight="1" x14ac:dyDescent="0.2">
      <c r="A2199" s="22" t="s">
        <v>28</v>
      </c>
      <c r="B2199" s="23">
        <v>46100.940509259257</v>
      </c>
      <c r="C2199" s="23">
        <v>46100.99181712963</v>
      </c>
      <c r="D2199" s="24">
        <v>46100</v>
      </c>
      <c r="E2199" s="25">
        <v>0.99181712963036261</v>
      </c>
      <c r="F2199" s="22" t="s">
        <v>2476</v>
      </c>
      <c r="G2199" s="22" t="s">
        <v>21</v>
      </c>
      <c r="H2199" s="22" t="s">
        <v>281</v>
      </c>
      <c r="I2199" s="22" t="s">
        <v>583</v>
      </c>
      <c r="J2199" s="26">
        <v>2.5</v>
      </c>
      <c r="K2199" s="26"/>
      <c r="L2199" s="26"/>
      <c r="M2199" s="26"/>
      <c r="N2199" s="26"/>
      <c r="O2199" s="26"/>
      <c r="P2199" s="26"/>
      <c r="Q2199" s="26"/>
      <c r="R2199" s="26"/>
      <c r="S2199" s="26"/>
    </row>
    <row r="2200" spans="1:19" ht="14.25" customHeight="1" x14ac:dyDescent="0.2">
      <c r="A2200" s="1" t="s">
        <v>24</v>
      </c>
      <c r="B2200" s="7">
        <v>46100.971516203703</v>
      </c>
      <c r="C2200" s="7">
        <v>46100.992060185185</v>
      </c>
      <c r="D2200" s="8">
        <v>46100</v>
      </c>
      <c r="E2200" s="9">
        <v>0.99206018518452765</v>
      </c>
      <c r="F2200" s="10" t="s">
        <v>2477</v>
      </c>
      <c r="G2200" s="10" t="s">
        <v>21</v>
      </c>
      <c r="H2200" s="10" t="s">
        <v>39</v>
      </c>
      <c r="I2200" s="10" t="s">
        <v>23</v>
      </c>
      <c r="J2200" s="11">
        <v>1.77</v>
      </c>
      <c r="K2200" s="12"/>
      <c r="L2200" s="12"/>
      <c r="M2200" s="12"/>
      <c r="N2200" s="12"/>
      <c r="O2200" s="12"/>
      <c r="P2200" s="12"/>
      <c r="Q2200" s="12"/>
      <c r="R2200" s="12"/>
      <c r="S2200" s="12"/>
    </row>
    <row r="2201" spans="1:19" ht="14.25" customHeight="1" x14ac:dyDescent="0.2">
      <c r="A2201" s="1" t="s">
        <v>24</v>
      </c>
      <c r="B2201" s="7">
        <v>46100.976782407408</v>
      </c>
      <c r="C2201" s="7">
        <v>46100.992638888885</v>
      </c>
      <c r="D2201" s="8">
        <v>46100</v>
      </c>
      <c r="E2201" s="9">
        <v>0.99263888888526708</v>
      </c>
      <c r="F2201" s="10" t="s">
        <v>2478</v>
      </c>
      <c r="G2201" s="10" t="s">
        <v>21</v>
      </c>
      <c r="H2201" s="10" t="s">
        <v>71</v>
      </c>
      <c r="I2201" s="10" t="s">
        <v>23</v>
      </c>
      <c r="J2201" s="11">
        <v>1.05</v>
      </c>
      <c r="K2201" s="12"/>
      <c r="L2201" s="12"/>
      <c r="M2201" s="12"/>
      <c r="N2201" s="12"/>
      <c r="O2201" s="12"/>
      <c r="P2201" s="12"/>
      <c r="Q2201" s="12"/>
      <c r="R2201" s="12"/>
      <c r="S2201" s="12"/>
    </row>
    <row r="2202" spans="1:19" ht="14.25" customHeight="1" x14ac:dyDescent="0.2">
      <c r="A2202" s="1" t="s">
        <v>28</v>
      </c>
      <c r="B2202" s="7">
        <v>46100.98809027778</v>
      </c>
      <c r="C2202" s="7">
        <v>46101.000798611109</v>
      </c>
      <c r="D2202" s="8">
        <v>46101</v>
      </c>
      <c r="E2202" s="9">
        <v>7.9861110862111673E-4</v>
      </c>
      <c r="F2202" s="10" t="s">
        <v>2479</v>
      </c>
      <c r="G2202" s="10" t="s">
        <v>21</v>
      </c>
      <c r="H2202" s="10" t="s">
        <v>22</v>
      </c>
      <c r="I2202" s="10" t="s">
        <v>23</v>
      </c>
      <c r="J2202" s="11">
        <v>0.83</v>
      </c>
      <c r="K2202" s="12"/>
      <c r="L2202" s="12">
        <f>SUM(J2202:J2226)</f>
        <v>27.969999999999995</v>
      </c>
      <c r="M2202" s="13">
        <f>L2202*65</f>
        <v>1818.0499999999997</v>
      </c>
      <c r="N2202" s="14">
        <f>MAX(500,M2202)</f>
        <v>1818.0499999999997</v>
      </c>
      <c r="O2202" s="12"/>
      <c r="P2202" s="12"/>
      <c r="Q2202" s="12"/>
      <c r="R2202" s="12"/>
      <c r="S2202" s="12"/>
    </row>
    <row r="2203" spans="1:19" ht="14.25" customHeight="1" x14ac:dyDescent="0.2">
      <c r="A2203" s="22" t="s">
        <v>57</v>
      </c>
      <c r="B2203" s="23">
        <v>46100.980787037035</v>
      </c>
      <c r="C2203" s="23">
        <v>46101.000821759262</v>
      </c>
      <c r="D2203" s="24">
        <v>46101</v>
      </c>
      <c r="E2203" s="25">
        <v>8.217592621804215E-4</v>
      </c>
      <c r="F2203" s="22" t="s">
        <v>2480</v>
      </c>
      <c r="G2203" s="22" t="s">
        <v>21</v>
      </c>
      <c r="H2203" s="22" t="s">
        <v>303</v>
      </c>
      <c r="I2203" s="22" t="s">
        <v>583</v>
      </c>
      <c r="J2203" s="26">
        <v>1.77</v>
      </c>
      <c r="K2203" s="26"/>
      <c r="L2203" s="26"/>
      <c r="M2203" s="26"/>
      <c r="N2203" s="26"/>
      <c r="O2203" s="26"/>
      <c r="P2203" s="26"/>
      <c r="Q2203" s="26"/>
      <c r="R2203" s="26"/>
      <c r="S2203" s="26"/>
    </row>
    <row r="2204" spans="1:19" ht="14.25" customHeight="1" x14ac:dyDescent="0.2">
      <c r="A2204" s="1" t="s">
        <v>95</v>
      </c>
      <c r="B2204" s="7">
        <v>46100.986342592594</v>
      </c>
      <c r="C2204" s="7">
        <v>46101.002708333333</v>
      </c>
      <c r="D2204" s="8">
        <v>46101</v>
      </c>
      <c r="E2204" s="9">
        <v>2.7083333334303461E-3</v>
      </c>
      <c r="F2204" s="10" t="s">
        <v>2481</v>
      </c>
      <c r="G2204" s="10" t="s">
        <v>21</v>
      </c>
      <c r="H2204" s="10" t="s">
        <v>108</v>
      </c>
      <c r="I2204" s="10" t="s">
        <v>23</v>
      </c>
      <c r="J2204" s="11">
        <v>1.7</v>
      </c>
      <c r="K2204" s="12"/>
      <c r="L2204" s="12"/>
      <c r="M2204" s="12"/>
      <c r="N2204" s="12"/>
      <c r="O2204" s="12"/>
      <c r="P2204" s="12"/>
      <c r="Q2204" s="12"/>
      <c r="R2204" s="12"/>
      <c r="S2204" s="12"/>
    </row>
    <row r="2205" spans="1:19" ht="14.25" customHeight="1" x14ac:dyDescent="0.2">
      <c r="A2205" s="1" t="s">
        <v>95</v>
      </c>
      <c r="B2205" s="7">
        <v>46100.922962962963</v>
      </c>
      <c r="C2205" s="7">
        <v>46101.007002314815</v>
      </c>
      <c r="D2205" s="8">
        <v>46101</v>
      </c>
      <c r="E2205" s="9">
        <v>7.0023148145992309E-3</v>
      </c>
      <c r="F2205" s="10" t="s">
        <v>2482</v>
      </c>
      <c r="G2205" s="10" t="s">
        <v>26</v>
      </c>
      <c r="H2205" s="10" t="s">
        <v>251</v>
      </c>
      <c r="I2205" s="10" t="s">
        <v>23</v>
      </c>
      <c r="J2205" s="11">
        <v>0.62</v>
      </c>
      <c r="K2205" s="12"/>
      <c r="L2205" s="12"/>
      <c r="M2205" s="12"/>
      <c r="N2205" s="12"/>
      <c r="O2205" s="12"/>
      <c r="P2205" s="12"/>
      <c r="Q2205" s="12"/>
      <c r="R2205" s="12"/>
      <c r="S2205" s="12"/>
    </row>
    <row r="2206" spans="1:19" ht="14.25" customHeight="1" x14ac:dyDescent="0.2">
      <c r="A2206" s="1" t="s">
        <v>95</v>
      </c>
      <c r="B2206" s="7">
        <v>46100.962812500002</v>
      </c>
      <c r="C2206" s="7">
        <v>46101.007881944446</v>
      </c>
      <c r="D2206" s="8">
        <v>46101</v>
      </c>
      <c r="E2206" s="9">
        <v>7.8819444461259991E-3</v>
      </c>
      <c r="F2206" s="10" t="s">
        <v>2483</v>
      </c>
      <c r="G2206" s="10" t="s">
        <v>21</v>
      </c>
      <c r="H2206" s="10" t="s">
        <v>110</v>
      </c>
      <c r="I2206" s="10" t="s">
        <v>23</v>
      </c>
      <c r="J2206" s="11">
        <v>0.83</v>
      </c>
      <c r="K2206" s="12"/>
      <c r="L2206" s="12"/>
      <c r="M2206" s="12"/>
      <c r="N2206" s="12"/>
      <c r="O2206" s="12"/>
      <c r="P2206" s="12"/>
      <c r="Q2206" s="12"/>
      <c r="R2206" s="12"/>
      <c r="S2206" s="12"/>
    </row>
    <row r="2207" spans="1:19" ht="14.25" customHeight="1" x14ac:dyDescent="0.2">
      <c r="A2207" s="1" t="s">
        <v>95</v>
      </c>
      <c r="B2207" s="7">
        <v>46100.994212962964</v>
      </c>
      <c r="C2207" s="7">
        <v>46101.009131944447</v>
      </c>
      <c r="D2207" s="8">
        <v>46101</v>
      </c>
      <c r="E2207" s="9">
        <v>9.1319444472901523E-3</v>
      </c>
      <c r="F2207" s="10" t="s">
        <v>2484</v>
      </c>
      <c r="G2207" s="10" t="s">
        <v>21</v>
      </c>
      <c r="H2207" s="10" t="s">
        <v>97</v>
      </c>
      <c r="I2207" s="10" t="s">
        <v>23</v>
      </c>
      <c r="J2207" s="11">
        <v>1.77</v>
      </c>
      <c r="K2207" s="12"/>
      <c r="L2207" s="12"/>
      <c r="M2207" s="12"/>
      <c r="N2207" s="12"/>
      <c r="O2207" s="12"/>
      <c r="P2207" s="12"/>
      <c r="Q2207" s="12"/>
      <c r="R2207" s="12"/>
      <c r="S2207" s="12"/>
    </row>
    <row r="2208" spans="1:19" ht="14.25" customHeight="1" x14ac:dyDescent="0.2">
      <c r="A2208" s="22" t="s">
        <v>95</v>
      </c>
      <c r="B2208" s="23">
        <v>46100.982835648145</v>
      </c>
      <c r="C2208" s="23">
        <v>46101.009432870371</v>
      </c>
      <c r="D2208" s="24">
        <v>46101</v>
      </c>
      <c r="E2208" s="25">
        <v>9.4328703708015382E-3</v>
      </c>
      <c r="F2208" s="22" t="s">
        <v>2485</v>
      </c>
      <c r="G2208" s="22" t="s">
        <v>21</v>
      </c>
      <c r="H2208" s="22" t="s">
        <v>154</v>
      </c>
      <c r="I2208" s="22" t="s">
        <v>583</v>
      </c>
      <c r="J2208" s="26">
        <v>1.77</v>
      </c>
      <c r="K2208" s="26"/>
      <c r="L2208" s="26"/>
      <c r="M2208" s="26"/>
      <c r="N2208" s="26"/>
      <c r="O2208" s="26"/>
      <c r="P2208" s="26"/>
      <c r="Q2208" s="26"/>
      <c r="R2208" s="26"/>
      <c r="S2208" s="26"/>
    </row>
    <row r="2209" spans="1:19" ht="14.25" customHeight="1" x14ac:dyDescent="0.2">
      <c r="A2209" s="1" t="s">
        <v>24</v>
      </c>
      <c r="B2209" s="7">
        <v>46100.988449074073</v>
      </c>
      <c r="C2209" s="7">
        <v>46101.009571759256</v>
      </c>
      <c r="D2209" s="8">
        <v>46101</v>
      </c>
      <c r="E2209" s="9">
        <v>9.5717592557775788E-3</v>
      </c>
      <c r="F2209" s="10" t="s">
        <v>2486</v>
      </c>
      <c r="G2209" s="10" t="s">
        <v>21</v>
      </c>
      <c r="H2209" s="10" t="s">
        <v>41</v>
      </c>
      <c r="I2209" s="10" t="s">
        <v>23</v>
      </c>
      <c r="J2209" s="11">
        <v>1.77</v>
      </c>
      <c r="K2209" s="12"/>
      <c r="L2209" s="12"/>
      <c r="M2209" s="12"/>
      <c r="N2209" s="12"/>
      <c r="O2209" s="12"/>
      <c r="P2209" s="12"/>
      <c r="Q2209" s="12"/>
      <c r="R2209" s="12"/>
      <c r="S2209" s="12"/>
    </row>
    <row r="2210" spans="1:19" ht="14.25" customHeight="1" x14ac:dyDescent="0.2">
      <c r="A2210" s="1" t="s">
        <v>24</v>
      </c>
      <c r="B2210" s="7">
        <v>46100.985856481479</v>
      </c>
      <c r="C2210" s="7">
        <v>46101.010416666664</v>
      </c>
      <c r="D2210" s="8">
        <v>46101</v>
      </c>
      <c r="E2210" s="9">
        <v>1.0416666664241347E-2</v>
      </c>
      <c r="F2210" s="10" t="s">
        <v>2487</v>
      </c>
      <c r="G2210" s="10" t="s">
        <v>26</v>
      </c>
      <c r="H2210" s="10" t="s">
        <v>128</v>
      </c>
      <c r="I2210" s="10" t="s">
        <v>23</v>
      </c>
      <c r="J2210" s="11">
        <v>0.97</v>
      </c>
      <c r="K2210" s="12"/>
      <c r="L2210" s="12"/>
      <c r="M2210" s="12"/>
      <c r="N2210" s="12"/>
      <c r="O2210" s="12"/>
      <c r="P2210" s="12"/>
      <c r="Q2210" s="12"/>
      <c r="R2210" s="12"/>
      <c r="S2210" s="12"/>
    </row>
    <row r="2211" spans="1:19" ht="14.25" customHeight="1" x14ac:dyDescent="0.2">
      <c r="A2211" s="1" t="s">
        <v>19</v>
      </c>
      <c r="B2211" s="7">
        <v>46101.00309027778</v>
      </c>
      <c r="C2211" s="7">
        <v>46101.013807870368</v>
      </c>
      <c r="D2211" s="8">
        <v>46101</v>
      </c>
      <c r="E2211" s="9">
        <v>1.3807870367600117E-2</v>
      </c>
      <c r="F2211" s="10" t="s">
        <v>2488</v>
      </c>
      <c r="G2211" s="10" t="s">
        <v>21</v>
      </c>
      <c r="H2211" s="10" t="s">
        <v>467</v>
      </c>
      <c r="I2211" s="10" t="s">
        <v>23</v>
      </c>
      <c r="J2211" s="11">
        <v>2.75</v>
      </c>
      <c r="K2211" s="12"/>
      <c r="L2211" s="12"/>
      <c r="M2211" s="12"/>
      <c r="N2211" s="12"/>
      <c r="O2211" s="12"/>
      <c r="P2211" s="12"/>
      <c r="Q2211" s="12"/>
      <c r="R2211" s="12"/>
      <c r="S2211" s="12"/>
    </row>
    <row r="2212" spans="1:19" ht="14.25" customHeight="1" x14ac:dyDescent="0.2">
      <c r="A2212" s="22" t="s">
        <v>95</v>
      </c>
      <c r="B2212" s="23">
        <v>46100.993113425924</v>
      </c>
      <c r="C2212" s="23">
        <v>46101.016550925924</v>
      </c>
      <c r="D2212" s="24">
        <v>46101</v>
      </c>
      <c r="E2212" s="25">
        <v>1.6550925924093463E-2</v>
      </c>
      <c r="F2212" s="22" t="s">
        <v>2489</v>
      </c>
      <c r="G2212" s="22" t="s">
        <v>21</v>
      </c>
      <c r="H2212" s="22" t="s">
        <v>97</v>
      </c>
      <c r="I2212" s="22" t="s">
        <v>583</v>
      </c>
      <c r="J2212" s="26">
        <v>1.77</v>
      </c>
      <c r="K2212" s="26"/>
      <c r="L2212" s="26"/>
      <c r="M2212" s="26"/>
      <c r="N2212" s="26"/>
      <c r="O2212" s="26"/>
      <c r="P2212" s="26"/>
      <c r="Q2212" s="26"/>
      <c r="R2212" s="26"/>
      <c r="S2212" s="26"/>
    </row>
    <row r="2213" spans="1:19" ht="14.25" customHeight="1" x14ac:dyDescent="0.2">
      <c r="A2213" s="1" t="s">
        <v>19</v>
      </c>
      <c r="B2213" s="7">
        <v>46100.989074074074</v>
      </c>
      <c r="C2213" s="7">
        <v>46101.01699074074</v>
      </c>
      <c r="D2213" s="8">
        <v>46101</v>
      </c>
      <c r="E2213" s="9">
        <v>1.6990740739856847E-2</v>
      </c>
      <c r="F2213" s="10" t="s">
        <v>2490</v>
      </c>
      <c r="G2213" s="10" t="s">
        <v>26</v>
      </c>
      <c r="H2213" s="10" t="s">
        <v>1614</v>
      </c>
      <c r="I2213" s="10" t="s">
        <v>23</v>
      </c>
      <c r="J2213" s="11">
        <v>0.62</v>
      </c>
      <c r="K2213" s="12"/>
      <c r="L2213" s="12"/>
      <c r="M2213" s="12"/>
      <c r="N2213" s="12"/>
      <c r="O2213" s="12"/>
      <c r="P2213" s="12"/>
      <c r="Q2213" s="12"/>
      <c r="R2213" s="12"/>
      <c r="S2213" s="12"/>
    </row>
    <row r="2214" spans="1:19" ht="14.25" customHeight="1" x14ac:dyDescent="0.2">
      <c r="A2214" s="22" t="s">
        <v>19</v>
      </c>
      <c r="B2214" s="23">
        <v>46100.917546296296</v>
      </c>
      <c r="C2214" s="23">
        <v>46101.018206018518</v>
      </c>
      <c r="D2214" s="24">
        <v>46101</v>
      </c>
      <c r="E2214" s="25">
        <v>1.8206018517958E-2</v>
      </c>
      <c r="F2214" s="22" t="s">
        <v>2491</v>
      </c>
      <c r="G2214" s="22" t="s">
        <v>44</v>
      </c>
      <c r="H2214" s="22" t="s">
        <v>185</v>
      </c>
      <c r="I2214" s="22" t="s">
        <v>583</v>
      </c>
      <c r="J2214" s="26">
        <v>0.18</v>
      </c>
      <c r="K2214" s="26"/>
      <c r="L2214" s="26"/>
      <c r="M2214" s="26"/>
      <c r="N2214" s="26"/>
      <c r="O2214" s="26"/>
      <c r="P2214" s="26"/>
      <c r="Q2214" s="26"/>
      <c r="R2214" s="26"/>
      <c r="S2214" s="26"/>
    </row>
    <row r="2215" spans="1:19" ht="14.25" customHeight="1" x14ac:dyDescent="0.2">
      <c r="A2215" s="22" t="s">
        <v>24</v>
      </c>
      <c r="B2215" s="23">
        <v>46100.903969907406</v>
      </c>
      <c r="C2215" s="23">
        <v>46101.019513888888</v>
      </c>
      <c r="D2215" s="24">
        <v>46101</v>
      </c>
      <c r="E2215" s="25">
        <v>1.95138888884685E-2</v>
      </c>
      <c r="F2215" s="22" t="s">
        <v>2492</v>
      </c>
      <c r="G2215" s="22" t="s">
        <v>44</v>
      </c>
      <c r="H2215" s="22" t="s">
        <v>185</v>
      </c>
      <c r="I2215" s="22" t="s">
        <v>583</v>
      </c>
      <c r="J2215" s="26">
        <v>0.18</v>
      </c>
      <c r="K2215" s="26"/>
      <c r="L2215" s="26"/>
      <c r="M2215" s="26"/>
      <c r="N2215" s="26"/>
      <c r="O2215" s="26"/>
      <c r="P2215" s="26"/>
      <c r="Q2215" s="26"/>
      <c r="R2215" s="26"/>
      <c r="S2215" s="26"/>
    </row>
    <row r="2216" spans="1:19" ht="14.25" customHeight="1" x14ac:dyDescent="0.2">
      <c r="A2216" s="22" t="s">
        <v>28</v>
      </c>
      <c r="B2216" s="23">
        <v>46100.956932870373</v>
      </c>
      <c r="C2216" s="23">
        <v>46101.021493055552</v>
      </c>
      <c r="D2216" s="24">
        <v>46101</v>
      </c>
      <c r="E2216" s="25">
        <v>2.1493055552127771E-2</v>
      </c>
      <c r="F2216" s="22" t="s">
        <v>2493</v>
      </c>
      <c r="G2216" s="22" t="s">
        <v>44</v>
      </c>
      <c r="H2216" s="22" t="s">
        <v>185</v>
      </c>
      <c r="I2216" s="22" t="s">
        <v>583</v>
      </c>
      <c r="J2216" s="26">
        <v>0.18</v>
      </c>
      <c r="K2216" s="26"/>
      <c r="L2216" s="26"/>
      <c r="M2216" s="26"/>
      <c r="N2216" s="26"/>
      <c r="O2216" s="26"/>
      <c r="P2216" s="26"/>
      <c r="Q2216" s="26"/>
      <c r="R2216" s="26"/>
      <c r="S2216" s="26"/>
    </row>
    <row r="2217" spans="1:19" ht="14.25" customHeight="1" x14ac:dyDescent="0.2">
      <c r="A2217" s="22" t="s">
        <v>63</v>
      </c>
      <c r="B2217" s="23">
        <v>46100.96025462963</v>
      </c>
      <c r="C2217" s="23">
        <v>46101.023043981484</v>
      </c>
      <c r="D2217" s="24">
        <v>46101</v>
      </c>
      <c r="E2217" s="25">
        <v>2.3043981484079268E-2</v>
      </c>
      <c r="F2217" s="22" t="s">
        <v>2494</v>
      </c>
      <c r="G2217" s="22" t="s">
        <v>44</v>
      </c>
      <c r="H2217" s="22" t="s">
        <v>45</v>
      </c>
      <c r="I2217" s="22" t="s">
        <v>583</v>
      </c>
      <c r="J2217" s="26">
        <v>0.18</v>
      </c>
      <c r="K2217" s="26"/>
      <c r="L2217" s="26"/>
      <c r="M2217" s="26"/>
      <c r="N2217" s="26"/>
      <c r="O2217" s="26"/>
      <c r="P2217" s="26"/>
      <c r="Q2217" s="26"/>
      <c r="R2217" s="26"/>
      <c r="S2217" s="26"/>
    </row>
    <row r="2218" spans="1:19" ht="14.25" customHeight="1" x14ac:dyDescent="0.2">
      <c r="A2218" s="1" t="s">
        <v>19</v>
      </c>
      <c r="B2218" s="7">
        <v>46100.993622685186</v>
      </c>
      <c r="C2218" s="7">
        <v>46101.024155092593</v>
      </c>
      <c r="D2218" s="8">
        <v>46101</v>
      </c>
      <c r="E2218" s="9">
        <v>2.4155092592991423E-2</v>
      </c>
      <c r="F2218" s="10" t="s">
        <v>2495</v>
      </c>
      <c r="G2218" s="10" t="s">
        <v>44</v>
      </c>
      <c r="H2218" s="10" t="s">
        <v>185</v>
      </c>
      <c r="I2218" s="10" t="s">
        <v>23</v>
      </c>
      <c r="J2218" s="11">
        <v>0.18</v>
      </c>
      <c r="K2218" s="12"/>
      <c r="L2218" s="12"/>
      <c r="M2218" s="12"/>
      <c r="N2218" s="12"/>
      <c r="O2218" s="12"/>
      <c r="P2218" s="12"/>
      <c r="Q2218" s="12"/>
      <c r="R2218" s="12"/>
      <c r="S2218" s="12"/>
    </row>
    <row r="2219" spans="1:19" ht="14.25" customHeight="1" x14ac:dyDescent="0.2">
      <c r="A2219" s="22" t="s">
        <v>95</v>
      </c>
      <c r="B2219" s="23">
        <v>46101.000821759262</v>
      </c>
      <c r="C2219" s="23">
        <v>46101.033252314817</v>
      </c>
      <c r="D2219" s="24">
        <v>46101</v>
      </c>
      <c r="E2219" s="25">
        <v>3.3252314817218576E-2</v>
      </c>
      <c r="F2219" s="22" t="s">
        <v>2496</v>
      </c>
      <c r="G2219" s="22" t="s">
        <v>21</v>
      </c>
      <c r="H2219" s="22" t="s">
        <v>52</v>
      </c>
      <c r="I2219" s="22" t="s">
        <v>583</v>
      </c>
      <c r="J2219" s="26">
        <v>0.98</v>
      </c>
      <c r="K2219" s="26"/>
      <c r="L2219" s="26"/>
      <c r="M2219" s="26"/>
      <c r="N2219" s="26"/>
      <c r="O2219" s="26"/>
      <c r="P2219" s="26"/>
      <c r="Q2219" s="26"/>
      <c r="R2219" s="26"/>
      <c r="S2219" s="26"/>
    </row>
    <row r="2220" spans="1:19" ht="14.25" customHeight="1" x14ac:dyDescent="0.2">
      <c r="A2220" s="22" t="s">
        <v>95</v>
      </c>
      <c r="B2220" s="23">
        <v>46101.000821759262</v>
      </c>
      <c r="C2220" s="23">
        <v>46101.033252314817</v>
      </c>
      <c r="D2220" s="24">
        <v>46101</v>
      </c>
      <c r="E2220" s="25">
        <v>3.3252314817218576E-2</v>
      </c>
      <c r="F2220" s="22" t="s">
        <v>2497</v>
      </c>
      <c r="G2220" s="22" t="s">
        <v>21</v>
      </c>
      <c r="H2220" s="22" t="s">
        <v>110</v>
      </c>
      <c r="I2220" s="22" t="s">
        <v>583</v>
      </c>
      <c r="J2220" s="26">
        <v>0.83</v>
      </c>
      <c r="K2220" s="26"/>
      <c r="L2220" s="26"/>
      <c r="M2220" s="26"/>
      <c r="N2220" s="26"/>
      <c r="O2220" s="26"/>
      <c r="P2220" s="26"/>
      <c r="Q2220" s="26"/>
      <c r="R2220" s="26"/>
      <c r="S2220" s="26"/>
    </row>
    <row r="2221" spans="1:19" ht="14.25" customHeight="1" x14ac:dyDescent="0.2">
      <c r="A2221" s="1" t="s">
        <v>95</v>
      </c>
      <c r="B2221" s="7">
        <v>46101.016377314816</v>
      </c>
      <c r="C2221" s="7">
        <v>46101.035555555558</v>
      </c>
      <c r="D2221" s="8">
        <v>46101</v>
      </c>
      <c r="E2221" s="9">
        <v>3.5555555557948537E-2</v>
      </c>
      <c r="F2221" s="10" t="s">
        <v>2498</v>
      </c>
      <c r="G2221" s="10" t="s">
        <v>21</v>
      </c>
      <c r="H2221" s="10" t="s">
        <v>97</v>
      </c>
      <c r="I2221" s="10" t="s">
        <v>23</v>
      </c>
      <c r="J2221" s="11">
        <v>1.77</v>
      </c>
      <c r="K2221" s="12"/>
      <c r="L2221" s="12"/>
      <c r="M2221" s="12"/>
      <c r="N2221" s="12"/>
      <c r="O2221" s="12"/>
      <c r="P2221" s="12"/>
      <c r="Q2221" s="12"/>
      <c r="R2221" s="12"/>
      <c r="S2221" s="12"/>
    </row>
    <row r="2222" spans="1:19" ht="14.25" customHeight="1" x14ac:dyDescent="0.2">
      <c r="A2222" s="1" t="s">
        <v>57</v>
      </c>
      <c r="B2222" s="7">
        <v>46101.017962962964</v>
      </c>
      <c r="C2222" s="7">
        <v>46101.035902777781</v>
      </c>
      <c r="D2222" s="8">
        <v>46101</v>
      </c>
      <c r="E2222" s="9">
        <v>3.5902777781302575E-2</v>
      </c>
      <c r="F2222" s="10" t="s">
        <v>2499</v>
      </c>
      <c r="G2222" s="10" t="s">
        <v>21</v>
      </c>
      <c r="H2222" s="10" t="s">
        <v>59</v>
      </c>
      <c r="I2222" s="10" t="s">
        <v>23</v>
      </c>
      <c r="J2222" s="11">
        <v>0.83</v>
      </c>
      <c r="K2222" s="12"/>
      <c r="L2222" s="12"/>
      <c r="M2222" s="12"/>
      <c r="N2222" s="12"/>
      <c r="O2222" s="12"/>
      <c r="P2222" s="12"/>
      <c r="Q2222" s="12"/>
      <c r="R2222" s="12"/>
      <c r="S2222" s="12"/>
    </row>
    <row r="2223" spans="1:19" ht="14.25" customHeight="1" x14ac:dyDescent="0.2">
      <c r="A2223" s="1" t="s">
        <v>95</v>
      </c>
      <c r="B2223" s="7">
        <v>46101.015925925924</v>
      </c>
      <c r="C2223" s="7">
        <v>46101.036307870374</v>
      </c>
      <c r="D2223" s="8">
        <v>46101</v>
      </c>
      <c r="E2223" s="9">
        <v>3.630787037400296E-2</v>
      </c>
      <c r="F2223" s="10" t="s">
        <v>2500</v>
      </c>
      <c r="G2223" s="10" t="s">
        <v>21</v>
      </c>
      <c r="H2223" s="10" t="s">
        <v>97</v>
      </c>
      <c r="I2223" s="10" t="s">
        <v>23</v>
      </c>
      <c r="J2223" s="11">
        <v>1.77</v>
      </c>
      <c r="K2223" s="12"/>
      <c r="L2223" s="12"/>
      <c r="M2223" s="12"/>
      <c r="N2223" s="12"/>
      <c r="O2223" s="12"/>
      <c r="P2223" s="12"/>
      <c r="Q2223" s="12"/>
      <c r="R2223" s="12"/>
      <c r="S2223" s="12"/>
    </row>
    <row r="2224" spans="1:19" ht="14.25" customHeight="1" x14ac:dyDescent="0.2">
      <c r="A2224" s="1" t="s">
        <v>57</v>
      </c>
      <c r="B2224" s="7">
        <v>46101.021273148152</v>
      </c>
      <c r="C2224" s="7">
        <v>46101.036979166667</v>
      </c>
      <c r="D2224" s="8">
        <v>46101</v>
      </c>
      <c r="E2224" s="9">
        <v>3.6979166667151731E-2</v>
      </c>
      <c r="F2224" s="10" t="s">
        <v>2501</v>
      </c>
      <c r="G2224" s="10" t="s">
        <v>21</v>
      </c>
      <c r="H2224" s="10" t="s">
        <v>303</v>
      </c>
      <c r="I2224" s="10" t="s">
        <v>23</v>
      </c>
      <c r="J2224" s="11">
        <v>1.77</v>
      </c>
      <c r="K2224" s="12"/>
      <c r="L2224" s="12"/>
      <c r="M2224" s="12"/>
      <c r="N2224" s="12"/>
      <c r="O2224" s="12"/>
      <c r="P2224" s="12"/>
      <c r="Q2224" s="12"/>
      <c r="R2224" s="12"/>
      <c r="S2224" s="12"/>
    </row>
    <row r="2225" spans="1:19" ht="14.25" customHeight="1" x14ac:dyDescent="0.2">
      <c r="A2225" s="22" t="s">
        <v>95</v>
      </c>
      <c r="B2225" s="23">
        <v>46101.027465277781</v>
      </c>
      <c r="C2225" s="23">
        <v>46101.03979166667</v>
      </c>
      <c r="D2225" s="24">
        <v>46101</v>
      </c>
      <c r="E2225" s="25">
        <v>3.9791666669771075E-2</v>
      </c>
      <c r="F2225" s="22" t="s">
        <v>2502</v>
      </c>
      <c r="G2225" s="22" t="s">
        <v>21</v>
      </c>
      <c r="H2225" s="22" t="s">
        <v>97</v>
      </c>
      <c r="I2225" s="22" t="s">
        <v>583</v>
      </c>
      <c r="J2225" s="26">
        <v>1.77</v>
      </c>
      <c r="K2225" s="26"/>
      <c r="L2225" s="26"/>
      <c r="M2225" s="26"/>
      <c r="N2225" s="26"/>
      <c r="O2225" s="26"/>
      <c r="P2225" s="26"/>
      <c r="Q2225" s="26"/>
      <c r="R2225" s="26"/>
      <c r="S2225" s="26"/>
    </row>
    <row r="2226" spans="1:19" ht="14.25" customHeight="1" x14ac:dyDescent="0.2">
      <c r="A2226" s="22" t="s">
        <v>230</v>
      </c>
      <c r="B2226" s="23">
        <v>46100.974745370368</v>
      </c>
      <c r="C2226" s="23">
        <v>46101.04109953704</v>
      </c>
      <c r="D2226" s="24">
        <v>46101</v>
      </c>
      <c r="E2226" s="25">
        <v>4.1099537040281575E-2</v>
      </c>
      <c r="F2226" s="22" t="s">
        <v>2503</v>
      </c>
      <c r="G2226" s="22" t="s">
        <v>44</v>
      </c>
      <c r="H2226" s="22" t="s">
        <v>446</v>
      </c>
      <c r="I2226" s="22" t="s">
        <v>583</v>
      </c>
      <c r="J2226" s="26">
        <v>0.18</v>
      </c>
      <c r="K2226" s="26"/>
      <c r="L2226" s="26"/>
      <c r="M2226" s="26"/>
      <c r="N2226" s="26"/>
      <c r="O2226" s="26"/>
      <c r="P2226" s="26"/>
      <c r="Q2226" s="26"/>
      <c r="R2226" s="26"/>
      <c r="S2226" s="26"/>
    </row>
    <row r="2227" spans="1:19" ht="14.25" customHeight="1" x14ac:dyDescent="0.2">
      <c r="A2227" s="1" t="s">
        <v>95</v>
      </c>
      <c r="B2227" s="7">
        <v>46101.016967592594</v>
      </c>
      <c r="C2227" s="7">
        <v>46101.041886574072</v>
      </c>
      <c r="D2227" s="8">
        <v>46101</v>
      </c>
      <c r="E2227" s="9">
        <v>4.188657407212304E-2</v>
      </c>
      <c r="F2227" s="10" t="s">
        <v>2504</v>
      </c>
      <c r="G2227" s="10" t="s">
        <v>180</v>
      </c>
      <c r="H2227" s="10" t="s">
        <v>504</v>
      </c>
      <c r="I2227" s="10" t="s">
        <v>23</v>
      </c>
      <c r="J2227" s="11">
        <v>1.44</v>
      </c>
      <c r="K2227" s="12"/>
      <c r="L2227" s="12">
        <f>SUM(J2227:J2240)</f>
        <v>19.47</v>
      </c>
      <c r="M2227" s="13">
        <f>L2227*65</f>
        <v>1265.55</v>
      </c>
      <c r="N2227" s="14">
        <f>MAX(500,M2227)</f>
        <v>1265.55</v>
      </c>
      <c r="O2227" s="12"/>
      <c r="P2227" s="12"/>
      <c r="Q2227" s="12"/>
      <c r="R2227" s="12"/>
      <c r="S2227" s="12"/>
    </row>
    <row r="2228" spans="1:19" ht="14.25" customHeight="1" x14ac:dyDescent="0.2">
      <c r="A2228" s="22" t="s">
        <v>33</v>
      </c>
      <c r="B2228" s="23">
        <v>46100.930104166669</v>
      </c>
      <c r="C2228" s="23">
        <v>46101.043182870373</v>
      </c>
      <c r="D2228" s="24">
        <v>46101</v>
      </c>
      <c r="E2228" s="25">
        <v>4.3182870373129845E-2</v>
      </c>
      <c r="F2228" s="22" t="s">
        <v>2505</v>
      </c>
      <c r="G2228" s="22" t="s">
        <v>44</v>
      </c>
      <c r="H2228" s="22" t="s">
        <v>185</v>
      </c>
      <c r="I2228" s="22" t="s">
        <v>583</v>
      </c>
      <c r="J2228" s="26">
        <v>0.18</v>
      </c>
      <c r="K2228" s="26"/>
      <c r="L2228" s="26"/>
      <c r="M2228" s="26"/>
      <c r="N2228" s="26"/>
      <c r="O2228" s="26"/>
      <c r="P2228" s="26"/>
      <c r="Q2228" s="26"/>
      <c r="R2228" s="26"/>
      <c r="S2228" s="26"/>
    </row>
    <row r="2229" spans="1:19" ht="14.25" customHeight="1" x14ac:dyDescent="0.2">
      <c r="A2229" s="1" t="s">
        <v>19</v>
      </c>
      <c r="B2229" s="7">
        <v>46100.995879629627</v>
      </c>
      <c r="C2229" s="7">
        <v>46101.04409722222</v>
      </c>
      <c r="D2229" s="8">
        <v>46101</v>
      </c>
      <c r="E2229" s="9">
        <v>4.4097222220443655E-2</v>
      </c>
      <c r="F2229" s="10" t="s">
        <v>2506</v>
      </c>
      <c r="G2229" s="10" t="s">
        <v>21</v>
      </c>
      <c r="H2229" s="10" t="s">
        <v>454</v>
      </c>
      <c r="I2229" s="10" t="s">
        <v>23</v>
      </c>
      <c r="J2229" s="11">
        <v>1.77</v>
      </c>
      <c r="K2229" s="12"/>
      <c r="L2229" s="12"/>
      <c r="M2229" s="12"/>
      <c r="N2229" s="12"/>
      <c r="O2229" s="12"/>
      <c r="P2229" s="12"/>
      <c r="Q2229" s="12"/>
      <c r="R2229" s="12"/>
      <c r="S2229" s="12"/>
    </row>
    <row r="2230" spans="1:19" ht="14.25" customHeight="1" x14ac:dyDescent="0.2">
      <c r="A2230" s="1" t="s">
        <v>24</v>
      </c>
      <c r="B2230" s="7">
        <v>46101.016365740739</v>
      </c>
      <c r="C2230" s="7">
        <v>46101.048206018517</v>
      </c>
      <c r="D2230" s="8">
        <v>46101</v>
      </c>
      <c r="E2230" s="9">
        <v>4.8206018516793847E-2</v>
      </c>
      <c r="F2230" s="10" t="s">
        <v>2507</v>
      </c>
      <c r="G2230" s="10" t="s">
        <v>26</v>
      </c>
      <c r="H2230" s="10" t="s">
        <v>128</v>
      </c>
      <c r="I2230" s="10" t="s">
        <v>23</v>
      </c>
      <c r="J2230" s="11">
        <v>0.97</v>
      </c>
      <c r="K2230" s="12"/>
      <c r="L2230" s="12"/>
      <c r="M2230" s="12"/>
      <c r="N2230" s="12"/>
      <c r="O2230" s="12"/>
      <c r="P2230" s="12"/>
      <c r="Q2230" s="12"/>
      <c r="R2230" s="12"/>
      <c r="S2230" s="12"/>
    </row>
    <row r="2231" spans="1:19" ht="14.25" customHeight="1" x14ac:dyDescent="0.2">
      <c r="A2231" s="1" t="s">
        <v>57</v>
      </c>
      <c r="B2231" s="7">
        <v>46101.041064814817</v>
      </c>
      <c r="C2231" s="7">
        <v>46101.054652777777</v>
      </c>
      <c r="D2231" s="8">
        <v>46101</v>
      </c>
      <c r="E2231" s="9">
        <v>5.4652777776937E-2</v>
      </c>
      <c r="F2231" s="10" t="s">
        <v>2508</v>
      </c>
      <c r="G2231" s="10" t="s">
        <v>21</v>
      </c>
      <c r="H2231" s="10" t="s">
        <v>303</v>
      </c>
      <c r="I2231" s="10" t="s">
        <v>23</v>
      </c>
      <c r="J2231" s="11">
        <v>1.77</v>
      </c>
      <c r="K2231" s="12"/>
      <c r="L2231" s="12"/>
      <c r="M2231" s="12"/>
      <c r="N2231" s="12"/>
      <c r="O2231" s="12"/>
      <c r="P2231" s="12"/>
      <c r="Q2231" s="12"/>
      <c r="R2231" s="12"/>
      <c r="S2231" s="12"/>
    </row>
    <row r="2232" spans="1:19" ht="14.25" customHeight="1" x14ac:dyDescent="0.2">
      <c r="A2232" s="1" t="s">
        <v>95</v>
      </c>
      <c r="B2232" s="7">
        <v>46101.045891203707</v>
      </c>
      <c r="C2232" s="7">
        <v>46101.055219907408</v>
      </c>
      <c r="D2232" s="8">
        <v>46101</v>
      </c>
      <c r="E2232" s="9">
        <v>5.521990740817273E-2</v>
      </c>
      <c r="F2232" s="10" t="s">
        <v>2509</v>
      </c>
      <c r="G2232" s="10" t="s">
        <v>21</v>
      </c>
      <c r="H2232" s="10" t="s">
        <v>97</v>
      </c>
      <c r="I2232" s="10" t="s">
        <v>23</v>
      </c>
      <c r="J2232" s="11">
        <v>1.77</v>
      </c>
      <c r="K2232" s="12"/>
      <c r="L2232" s="12"/>
      <c r="M2232" s="12"/>
      <c r="N2232" s="12"/>
      <c r="O2232" s="12"/>
      <c r="P2232" s="12"/>
      <c r="Q2232" s="12"/>
      <c r="R2232" s="12"/>
      <c r="S2232" s="12"/>
    </row>
    <row r="2233" spans="1:19" ht="14.25" customHeight="1" x14ac:dyDescent="0.2">
      <c r="A2233" s="1" t="s">
        <v>95</v>
      </c>
      <c r="B2233" s="7">
        <v>46101.007303240738</v>
      </c>
      <c r="C2233" s="7">
        <v>46101.055925925924</v>
      </c>
      <c r="D2233" s="8">
        <v>46101</v>
      </c>
      <c r="E2233" s="9">
        <v>5.5925925924384501E-2</v>
      </c>
      <c r="F2233" s="10" t="s">
        <v>2510</v>
      </c>
      <c r="G2233" s="10" t="s">
        <v>26</v>
      </c>
      <c r="H2233" s="10" t="s">
        <v>2511</v>
      </c>
      <c r="I2233" s="10" t="s">
        <v>23</v>
      </c>
      <c r="J2233" s="11">
        <v>1.7</v>
      </c>
      <c r="K2233" s="12"/>
      <c r="L2233" s="12"/>
      <c r="M2233" s="12"/>
      <c r="N2233" s="12"/>
      <c r="O2233" s="12"/>
      <c r="P2233" s="12"/>
      <c r="Q2233" s="12"/>
      <c r="R2233" s="12"/>
      <c r="S2233" s="12"/>
    </row>
    <row r="2234" spans="1:19" ht="14.25" customHeight="1" x14ac:dyDescent="0.2">
      <c r="A2234" s="1" t="s">
        <v>24</v>
      </c>
      <c r="B2234" s="7">
        <v>46101.047488425924</v>
      </c>
      <c r="C2234" s="7">
        <v>46101.064988425926</v>
      </c>
      <c r="D2234" s="8">
        <v>46101</v>
      </c>
      <c r="E2234" s="9">
        <v>6.4988425925548654E-2</v>
      </c>
      <c r="F2234" s="10" t="s">
        <v>2512</v>
      </c>
      <c r="G2234" s="10" t="s">
        <v>21</v>
      </c>
      <c r="H2234" s="10" t="s">
        <v>39</v>
      </c>
      <c r="I2234" s="10" t="s">
        <v>23</v>
      </c>
      <c r="J2234" s="11">
        <v>1.77</v>
      </c>
      <c r="K2234" s="12"/>
      <c r="L2234" s="12"/>
      <c r="M2234" s="12"/>
      <c r="N2234" s="12"/>
      <c r="O2234" s="12"/>
      <c r="P2234" s="12"/>
      <c r="Q2234" s="12"/>
      <c r="R2234" s="12"/>
      <c r="S2234" s="12"/>
    </row>
    <row r="2235" spans="1:19" ht="14.25" customHeight="1" x14ac:dyDescent="0.2">
      <c r="A2235" s="1" t="s">
        <v>33</v>
      </c>
      <c r="B2235" s="7">
        <v>46101.047789351855</v>
      </c>
      <c r="C2235" s="7">
        <v>46101.06753472222</v>
      </c>
      <c r="D2235" s="8">
        <v>46101</v>
      </c>
      <c r="E2235" s="9">
        <v>6.7534722220443655E-2</v>
      </c>
      <c r="F2235" s="10" t="s">
        <v>2513</v>
      </c>
      <c r="G2235" s="10" t="s">
        <v>21</v>
      </c>
      <c r="H2235" s="10" t="s">
        <v>41</v>
      </c>
      <c r="I2235" s="10" t="s">
        <v>23</v>
      </c>
      <c r="J2235" s="11">
        <v>1.77</v>
      </c>
      <c r="K2235" s="12"/>
      <c r="L2235" s="12"/>
      <c r="M2235" s="12"/>
      <c r="N2235" s="12"/>
      <c r="O2235" s="12"/>
      <c r="P2235" s="12"/>
      <c r="Q2235" s="12"/>
      <c r="R2235" s="12"/>
      <c r="S2235" s="12"/>
    </row>
    <row r="2236" spans="1:19" ht="14.25" customHeight="1" x14ac:dyDescent="0.2">
      <c r="A2236" s="1" t="s">
        <v>95</v>
      </c>
      <c r="B2236" s="7">
        <v>46101.060706018521</v>
      </c>
      <c r="C2236" s="7">
        <v>46101.067708333336</v>
      </c>
      <c r="D2236" s="8">
        <v>46101</v>
      </c>
      <c r="E2236" s="9">
        <v>6.7708333335758653E-2</v>
      </c>
      <c r="F2236" s="10" t="s">
        <v>2514</v>
      </c>
      <c r="G2236" s="10" t="s">
        <v>21</v>
      </c>
      <c r="H2236" s="10" t="s">
        <v>110</v>
      </c>
      <c r="I2236" s="10" t="s">
        <v>23</v>
      </c>
      <c r="J2236" s="11">
        <v>0.83</v>
      </c>
      <c r="K2236" s="12"/>
      <c r="L2236" s="12"/>
      <c r="M2236" s="12"/>
      <c r="N2236" s="12"/>
      <c r="O2236" s="12"/>
      <c r="P2236" s="12"/>
      <c r="Q2236" s="12"/>
      <c r="R2236" s="12"/>
      <c r="S2236" s="12"/>
    </row>
    <row r="2237" spans="1:19" ht="14.25" customHeight="1" x14ac:dyDescent="0.2">
      <c r="A2237" s="1" t="s">
        <v>148</v>
      </c>
      <c r="B2237" s="7">
        <v>46101.032708333332</v>
      </c>
      <c r="C2237" s="7">
        <v>46101.069618055553</v>
      </c>
      <c r="D2237" s="8">
        <v>46101</v>
      </c>
      <c r="E2237" s="9">
        <v>6.9618055553291924E-2</v>
      </c>
      <c r="F2237" s="10" t="s">
        <v>2515</v>
      </c>
      <c r="G2237" s="10" t="s">
        <v>21</v>
      </c>
      <c r="H2237" s="10" t="s">
        <v>2516</v>
      </c>
      <c r="I2237" s="10" t="s">
        <v>23</v>
      </c>
      <c r="J2237" s="11">
        <v>1.05</v>
      </c>
      <c r="K2237" s="12"/>
      <c r="L2237" s="12"/>
      <c r="M2237" s="12"/>
      <c r="N2237" s="12"/>
      <c r="O2237" s="12"/>
      <c r="P2237" s="12"/>
      <c r="Q2237" s="12"/>
      <c r="R2237" s="12"/>
      <c r="S2237" s="12"/>
    </row>
    <row r="2238" spans="1:19" ht="14.25" customHeight="1" x14ac:dyDescent="0.2">
      <c r="A2238" s="1" t="s">
        <v>28</v>
      </c>
      <c r="B2238" s="7">
        <v>46101.054131944446</v>
      </c>
      <c r="C2238" s="7">
        <v>46101.071250000001</v>
      </c>
      <c r="D2238" s="8">
        <v>46101</v>
      </c>
      <c r="E2238" s="9">
        <v>7.1250000000873115E-2</v>
      </c>
      <c r="F2238" s="10" t="s">
        <v>2517</v>
      </c>
      <c r="G2238" s="10" t="s">
        <v>21</v>
      </c>
      <c r="H2238" s="10" t="s">
        <v>41</v>
      </c>
      <c r="I2238" s="10" t="s">
        <v>23</v>
      </c>
      <c r="J2238" s="11">
        <v>1.77</v>
      </c>
      <c r="K2238" s="12"/>
      <c r="L2238" s="12"/>
      <c r="M2238" s="12"/>
      <c r="N2238" s="12"/>
      <c r="O2238" s="12"/>
      <c r="P2238" s="12"/>
      <c r="Q2238" s="12"/>
      <c r="R2238" s="12"/>
      <c r="S2238" s="12"/>
    </row>
    <row r="2239" spans="1:19" ht="14.25" customHeight="1" x14ac:dyDescent="0.2">
      <c r="A2239" s="1" t="s">
        <v>148</v>
      </c>
      <c r="B2239" s="7">
        <v>46101.032708333332</v>
      </c>
      <c r="C2239" s="7">
        <v>46101.071574074071</v>
      </c>
      <c r="D2239" s="8">
        <v>46101</v>
      </c>
      <c r="E2239" s="9">
        <v>7.1574074070667848E-2</v>
      </c>
      <c r="F2239" s="10" t="s">
        <v>2518</v>
      </c>
      <c r="G2239" s="10" t="s">
        <v>21</v>
      </c>
      <c r="H2239" s="10" t="s">
        <v>1834</v>
      </c>
      <c r="I2239" s="10" t="s">
        <v>23</v>
      </c>
      <c r="J2239" s="11">
        <v>1.7</v>
      </c>
      <c r="K2239" s="12"/>
      <c r="L2239" s="12"/>
      <c r="M2239" s="12"/>
      <c r="N2239" s="12"/>
      <c r="O2239" s="12"/>
      <c r="P2239" s="12"/>
      <c r="Q2239" s="12"/>
      <c r="R2239" s="12"/>
      <c r="S2239" s="12"/>
    </row>
    <row r="2240" spans="1:19" ht="14.25" customHeight="1" x14ac:dyDescent="0.2">
      <c r="A2240" s="1" t="s">
        <v>95</v>
      </c>
      <c r="B2240" s="7">
        <v>46101.063287037039</v>
      </c>
      <c r="C2240" s="7">
        <v>46101.074467592596</v>
      </c>
      <c r="D2240" s="8">
        <v>46101</v>
      </c>
      <c r="E2240" s="9">
        <v>7.4467592596192844E-2</v>
      </c>
      <c r="F2240" s="10" t="s">
        <v>2519</v>
      </c>
      <c r="G2240" s="10" t="s">
        <v>21</v>
      </c>
      <c r="H2240" s="10" t="s">
        <v>52</v>
      </c>
      <c r="I2240" s="10" t="s">
        <v>23</v>
      </c>
      <c r="J2240" s="11">
        <v>0.98</v>
      </c>
      <c r="K2240" s="12"/>
      <c r="L2240" s="12"/>
      <c r="M2240" s="12"/>
      <c r="N2240" s="12"/>
      <c r="O2240" s="12"/>
      <c r="P2240" s="12"/>
      <c r="Q2240" s="12"/>
      <c r="R2240" s="12"/>
      <c r="S2240" s="12"/>
    </row>
    <row r="2241" spans="1:19" ht="14.25" customHeight="1" x14ac:dyDescent="0.2">
      <c r="A2241" s="1" t="s">
        <v>28</v>
      </c>
      <c r="B2241" s="7">
        <v>46101.064363425925</v>
      </c>
      <c r="C2241" s="7">
        <v>46101.084074074075</v>
      </c>
      <c r="D2241" s="8">
        <v>46101</v>
      </c>
      <c r="E2241" s="9">
        <v>8.4074074075033423E-2</v>
      </c>
      <c r="F2241" s="10" t="s">
        <v>2520</v>
      </c>
      <c r="G2241" s="10" t="s">
        <v>21</v>
      </c>
      <c r="H2241" s="10" t="s">
        <v>41</v>
      </c>
      <c r="I2241" s="10" t="s">
        <v>23</v>
      </c>
      <c r="J2241" s="11">
        <v>1.77</v>
      </c>
      <c r="K2241" s="12"/>
      <c r="L2241" s="12">
        <f>SUM(J2241:J2256)</f>
        <v>18.659999999999997</v>
      </c>
      <c r="M2241" s="13">
        <f>L2241*65</f>
        <v>1212.8999999999999</v>
      </c>
      <c r="N2241" s="14">
        <f>MAX(500,M2241)</f>
        <v>1212.8999999999999</v>
      </c>
      <c r="O2241" s="12"/>
      <c r="P2241" s="12"/>
      <c r="Q2241" s="12"/>
      <c r="R2241" s="12"/>
      <c r="S2241" s="12"/>
    </row>
    <row r="2242" spans="1:19" ht="14.25" customHeight="1" x14ac:dyDescent="0.2">
      <c r="A2242" s="1" t="s">
        <v>95</v>
      </c>
      <c r="B2242" s="7">
        <v>46101.069282407407</v>
      </c>
      <c r="C2242" s="7">
        <v>46101.084548611114</v>
      </c>
      <c r="D2242" s="8">
        <v>46101</v>
      </c>
      <c r="E2242" s="9">
        <v>8.4548611113859806E-2</v>
      </c>
      <c r="F2242" s="10" t="s">
        <v>2521</v>
      </c>
      <c r="G2242" s="10" t="s">
        <v>21</v>
      </c>
      <c r="H2242" s="10" t="s">
        <v>435</v>
      </c>
      <c r="I2242" s="10" t="s">
        <v>23</v>
      </c>
      <c r="J2242" s="11">
        <v>1.1299999999999999</v>
      </c>
      <c r="K2242" s="12"/>
      <c r="L2242" s="12"/>
      <c r="M2242" s="12"/>
      <c r="N2242" s="12"/>
      <c r="O2242" s="12"/>
      <c r="P2242" s="12"/>
      <c r="Q2242" s="12"/>
      <c r="R2242" s="12"/>
      <c r="S2242" s="12"/>
    </row>
    <row r="2243" spans="1:19" ht="14.25" customHeight="1" x14ac:dyDescent="0.2">
      <c r="A2243" s="1" t="s">
        <v>19</v>
      </c>
      <c r="B2243" s="7">
        <v>46101.069166666668</v>
      </c>
      <c r="C2243" s="7">
        <v>46101.088217592594</v>
      </c>
      <c r="D2243" s="8">
        <v>46101</v>
      </c>
      <c r="E2243" s="9">
        <v>8.8217592594446614E-2</v>
      </c>
      <c r="F2243" s="10" t="s">
        <v>2522</v>
      </c>
      <c r="G2243" s="10" t="s">
        <v>21</v>
      </c>
      <c r="H2243" s="10" t="s">
        <v>71</v>
      </c>
      <c r="I2243" s="10" t="s">
        <v>23</v>
      </c>
      <c r="J2243" s="11">
        <v>1.05</v>
      </c>
      <c r="K2243" s="12"/>
      <c r="L2243" s="12"/>
      <c r="M2243" s="12"/>
      <c r="N2243" s="12"/>
      <c r="O2243" s="12"/>
      <c r="P2243" s="12"/>
      <c r="Q2243" s="12"/>
      <c r="R2243" s="12"/>
      <c r="S2243" s="12"/>
    </row>
    <row r="2244" spans="1:19" ht="14.25" customHeight="1" x14ac:dyDescent="0.2">
      <c r="A2244" s="1" t="s">
        <v>33</v>
      </c>
      <c r="B2244" s="7">
        <v>46101.064768518518</v>
      </c>
      <c r="C2244" s="7">
        <v>46101.089074074072</v>
      </c>
      <c r="D2244" s="8">
        <v>46101</v>
      </c>
      <c r="E2244" s="9">
        <v>8.9074074072414078E-2</v>
      </c>
      <c r="F2244" s="10" t="s">
        <v>2523</v>
      </c>
      <c r="G2244" s="10" t="s">
        <v>21</v>
      </c>
      <c r="H2244" s="10" t="s">
        <v>41</v>
      </c>
      <c r="I2244" s="10" t="s">
        <v>23</v>
      </c>
      <c r="J2244" s="11">
        <v>1.77</v>
      </c>
      <c r="K2244" s="12"/>
      <c r="L2244" s="12"/>
      <c r="M2244" s="12"/>
      <c r="N2244" s="12"/>
      <c r="O2244" s="12"/>
      <c r="P2244" s="12"/>
      <c r="Q2244" s="12"/>
      <c r="R2244" s="12"/>
      <c r="S2244" s="12"/>
    </row>
    <row r="2245" spans="1:19" ht="14.25" customHeight="1" x14ac:dyDescent="0.2">
      <c r="A2245" s="1" t="s">
        <v>95</v>
      </c>
      <c r="B2245" s="7">
        <v>46101.070937500001</v>
      </c>
      <c r="C2245" s="7">
        <v>46101.089444444442</v>
      </c>
      <c r="D2245" s="8">
        <v>46101</v>
      </c>
      <c r="E2245" s="9">
        <v>8.9444444442051463E-2</v>
      </c>
      <c r="F2245" s="10" t="s">
        <v>2524</v>
      </c>
      <c r="G2245" s="10" t="s">
        <v>21</v>
      </c>
      <c r="H2245" s="10" t="s">
        <v>97</v>
      </c>
      <c r="I2245" s="10" t="s">
        <v>23</v>
      </c>
      <c r="J2245" s="11">
        <v>1.77</v>
      </c>
      <c r="K2245" s="12"/>
      <c r="L2245" s="12"/>
      <c r="M2245" s="12"/>
      <c r="N2245" s="12"/>
      <c r="O2245" s="12"/>
      <c r="P2245" s="12"/>
      <c r="Q2245" s="12"/>
      <c r="R2245" s="12"/>
      <c r="S2245" s="12"/>
    </row>
    <row r="2246" spans="1:19" ht="14.25" customHeight="1" x14ac:dyDescent="0.2">
      <c r="A2246" s="1" t="s">
        <v>24</v>
      </c>
      <c r="B2246" s="7">
        <v>46101.051238425927</v>
      </c>
      <c r="C2246" s="7">
        <v>46101.090196759258</v>
      </c>
      <c r="D2246" s="8">
        <v>46101</v>
      </c>
      <c r="E2246" s="9">
        <v>9.0196759258105885E-2</v>
      </c>
      <c r="F2246" s="10" t="s">
        <v>2525</v>
      </c>
      <c r="G2246" s="10" t="s">
        <v>26</v>
      </c>
      <c r="H2246" s="10" t="s">
        <v>202</v>
      </c>
      <c r="I2246" s="10" t="s">
        <v>23</v>
      </c>
      <c r="J2246" s="11">
        <v>0.57999999999999996</v>
      </c>
      <c r="K2246" s="12"/>
      <c r="L2246" s="12"/>
      <c r="M2246" s="12"/>
      <c r="N2246" s="12"/>
      <c r="O2246" s="12"/>
      <c r="P2246" s="12"/>
      <c r="Q2246" s="12"/>
      <c r="R2246" s="12"/>
      <c r="S2246" s="12"/>
    </row>
    <row r="2247" spans="1:19" ht="14.25" customHeight="1" x14ac:dyDescent="0.2">
      <c r="A2247" s="1" t="s">
        <v>95</v>
      </c>
      <c r="B2247" s="7">
        <v>46101.089675925927</v>
      </c>
      <c r="C2247" s="7">
        <v>46101.097500000003</v>
      </c>
      <c r="D2247" s="8">
        <v>46101</v>
      </c>
      <c r="E2247" s="9">
        <v>9.750000000349246E-2</v>
      </c>
      <c r="F2247" s="10" t="s">
        <v>2526</v>
      </c>
      <c r="G2247" s="10" t="s">
        <v>21</v>
      </c>
      <c r="H2247" s="10" t="s">
        <v>97</v>
      </c>
      <c r="I2247" s="10" t="s">
        <v>23</v>
      </c>
      <c r="J2247" s="11">
        <v>1.77</v>
      </c>
      <c r="K2247" s="12"/>
      <c r="L2247" s="12"/>
      <c r="M2247" s="12"/>
      <c r="N2247" s="12"/>
      <c r="O2247" s="12"/>
      <c r="P2247" s="12"/>
      <c r="Q2247" s="12"/>
      <c r="R2247" s="12"/>
      <c r="S2247" s="12"/>
    </row>
    <row r="2248" spans="1:19" ht="14.25" customHeight="1" x14ac:dyDescent="0.2">
      <c r="A2248" s="1" t="s">
        <v>19</v>
      </c>
      <c r="B2248" s="7">
        <v>46101.077997685185</v>
      </c>
      <c r="C2248" s="7">
        <v>46101.100497685184</v>
      </c>
      <c r="D2248" s="8">
        <v>46101</v>
      </c>
      <c r="E2248" s="9">
        <v>0.10049768518365454</v>
      </c>
      <c r="F2248" s="10" t="s">
        <v>2527</v>
      </c>
      <c r="G2248" s="10" t="s">
        <v>21</v>
      </c>
      <c r="H2248" s="10" t="s">
        <v>22</v>
      </c>
      <c r="I2248" s="10" t="s">
        <v>23</v>
      </c>
      <c r="J2248" s="11">
        <v>0.83</v>
      </c>
      <c r="K2248" s="12"/>
      <c r="L2248" s="12"/>
      <c r="M2248" s="12"/>
      <c r="N2248" s="12"/>
      <c r="O2248" s="12"/>
      <c r="P2248" s="12"/>
      <c r="Q2248" s="12"/>
      <c r="R2248" s="12"/>
      <c r="S2248" s="12"/>
    </row>
    <row r="2249" spans="1:19" ht="14.25" customHeight="1" x14ac:dyDescent="0.2">
      <c r="A2249" s="1" t="s">
        <v>19</v>
      </c>
      <c r="B2249" s="7">
        <v>46101.084317129629</v>
      </c>
      <c r="C2249" s="7">
        <v>46101.100682870368</v>
      </c>
      <c r="D2249" s="8">
        <v>46101</v>
      </c>
      <c r="E2249" s="9">
        <v>0.10068287036847323</v>
      </c>
      <c r="F2249" s="10" t="s">
        <v>2528</v>
      </c>
      <c r="G2249" s="10" t="s">
        <v>21</v>
      </c>
      <c r="H2249" s="10" t="s">
        <v>22</v>
      </c>
      <c r="I2249" s="10" t="s">
        <v>23</v>
      </c>
      <c r="J2249" s="11">
        <v>0.83</v>
      </c>
      <c r="K2249" s="12"/>
      <c r="L2249" s="12"/>
      <c r="M2249" s="12"/>
      <c r="N2249" s="12"/>
      <c r="O2249" s="12"/>
      <c r="P2249" s="12"/>
      <c r="Q2249" s="12"/>
      <c r="R2249" s="12"/>
      <c r="S2249" s="12"/>
    </row>
    <row r="2250" spans="1:19" ht="14.25" customHeight="1" x14ac:dyDescent="0.2">
      <c r="A2250" s="1" t="s">
        <v>19</v>
      </c>
      <c r="B2250" s="7">
        <v>46101.090914351851</v>
      </c>
      <c r="C2250" s="7">
        <v>46101.101388888892</v>
      </c>
      <c r="D2250" s="8">
        <v>46101</v>
      </c>
      <c r="E2250" s="9">
        <v>0.10138888889196096</v>
      </c>
      <c r="F2250" s="10" t="s">
        <v>2529</v>
      </c>
      <c r="G2250" s="10" t="s">
        <v>21</v>
      </c>
      <c r="H2250" s="10" t="s">
        <v>101</v>
      </c>
      <c r="I2250" s="10" t="s">
        <v>23</v>
      </c>
      <c r="J2250" s="11">
        <v>1.7</v>
      </c>
      <c r="K2250" s="12"/>
      <c r="L2250" s="12"/>
      <c r="M2250" s="12"/>
      <c r="N2250" s="12"/>
      <c r="O2250" s="12"/>
      <c r="P2250" s="12"/>
      <c r="Q2250" s="12"/>
      <c r="R2250" s="12"/>
      <c r="S2250" s="12"/>
    </row>
    <row r="2251" spans="1:19" ht="14.25" customHeight="1" x14ac:dyDescent="0.2">
      <c r="A2251" s="1" t="s">
        <v>33</v>
      </c>
      <c r="B2251" s="7">
        <v>46101.065868055557</v>
      </c>
      <c r="C2251" s="7">
        <v>46101.1018287037</v>
      </c>
      <c r="D2251" s="8">
        <v>46101</v>
      </c>
      <c r="E2251" s="9">
        <v>0.10182870370044839</v>
      </c>
      <c r="F2251" s="10" t="s">
        <v>2530</v>
      </c>
      <c r="G2251" s="10" t="s">
        <v>26</v>
      </c>
      <c r="H2251" s="10" t="s">
        <v>1019</v>
      </c>
      <c r="I2251" s="10" t="s">
        <v>23</v>
      </c>
      <c r="J2251" s="11">
        <v>0.67</v>
      </c>
      <c r="K2251" s="12"/>
      <c r="L2251" s="12"/>
      <c r="M2251" s="12"/>
      <c r="N2251" s="12"/>
      <c r="O2251" s="12"/>
      <c r="P2251" s="12"/>
      <c r="Q2251" s="12"/>
      <c r="R2251" s="12"/>
      <c r="S2251" s="12"/>
    </row>
    <row r="2252" spans="1:19" ht="14.25" customHeight="1" x14ac:dyDescent="0.2">
      <c r="A2252" s="1" t="s">
        <v>24</v>
      </c>
      <c r="B2252" s="7">
        <v>46101.090370370373</v>
      </c>
      <c r="C2252" s="7">
        <v>46101.105567129627</v>
      </c>
      <c r="D2252" s="8">
        <v>46101</v>
      </c>
      <c r="E2252" s="9">
        <v>0.10556712962716119</v>
      </c>
      <c r="F2252" s="10" t="s">
        <v>2531</v>
      </c>
      <c r="G2252" s="10" t="s">
        <v>21</v>
      </c>
      <c r="H2252" s="10" t="s">
        <v>41</v>
      </c>
      <c r="I2252" s="10" t="s">
        <v>23</v>
      </c>
      <c r="J2252" s="11">
        <v>1.77</v>
      </c>
      <c r="K2252" s="12"/>
      <c r="L2252" s="12"/>
      <c r="M2252" s="12"/>
      <c r="N2252" s="12"/>
      <c r="O2252" s="12"/>
      <c r="P2252" s="12"/>
      <c r="Q2252" s="12"/>
      <c r="R2252" s="12"/>
      <c r="S2252" s="12"/>
    </row>
    <row r="2253" spans="1:19" ht="14.25" customHeight="1" x14ac:dyDescent="0.2">
      <c r="A2253" s="1" t="s">
        <v>95</v>
      </c>
      <c r="B2253" s="7">
        <v>46101.087650462963</v>
      </c>
      <c r="C2253" s="7">
        <v>46101.105763888889</v>
      </c>
      <c r="D2253" s="8">
        <v>46101</v>
      </c>
      <c r="E2253" s="9">
        <v>0.10576388888875954</v>
      </c>
      <c r="F2253" s="10" t="s">
        <v>2532</v>
      </c>
      <c r="G2253" s="10" t="s">
        <v>21</v>
      </c>
      <c r="H2253" s="10" t="s">
        <v>110</v>
      </c>
      <c r="I2253" s="10" t="s">
        <v>23</v>
      </c>
      <c r="J2253" s="11">
        <v>0.83</v>
      </c>
      <c r="K2253" s="12"/>
      <c r="L2253" s="12"/>
      <c r="M2253" s="12"/>
      <c r="N2253" s="12"/>
      <c r="O2253" s="12"/>
      <c r="P2253" s="12"/>
      <c r="Q2253" s="12"/>
      <c r="R2253" s="12"/>
      <c r="S2253" s="12"/>
    </row>
    <row r="2254" spans="1:19" ht="14.25" customHeight="1" x14ac:dyDescent="0.2">
      <c r="A2254" s="1" t="s">
        <v>42</v>
      </c>
      <c r="B2254" s="7">
        <v>46101.082685185182</v>
      </c>
      <c r="C2254" s="7">
        <v>46101.118611111109</v>
      </c>
      <c r="D2254" s="8">
        <v>46101</v>
      </c>
      <c r="E2254" s="9">
        <v>0.11861111110920319</v>
      </c>
      <c r="F2254" s="10" t="s">
        <v>2533</v>
      </c>
      <c r="G2254" s="10" t="s">
        <v>26</v>
      </c>
      <c r="H2254" s="10" t="s">
        <v>664</v>
      </c>
      <c r="I2254" s="10" t="s">
        <v>23</v>
      </c>
      <c r="J2254" s="11">
        <v>0.57999999999999996</v>
      </c>
      <c r="K2254" s="12"/>
      <c r="L2254" s="12"/>
      <c r="M2254" s="12"/>
      <c r="N2254" s="12"/>
      <c r="O2254" s="12"/>
      <c r="P2254" s="12"/>
      <c r="Q2254" s="12"/>
      <c r="R2254" s="12"/>
      <c r="S2254" s="12"/>
    </row>
    <row r="2255" spans="1:19" ht="14.25" customHeight="1" x14ac:dyDescent="0.2">
      <c r="A2255" s="1" t="s">
        <v>28</v>
      </c>
      <c r="B2255" s="7">
        <v>46101.098310185182</v>
      </c>
      <c r="C2255" s="7">
        <v>46101.119097222225</v>
      </c>
      <c r="D2255" s="8">
        <v>46101</v>
      </c>
      <c r="E2255" s="9">
        <v>0.11909722222480923</v>
      </c>
      <c r="F2255" s="10" t="s">
        <v>2534</v>
      </c>
      <c r="G2255" s="10" t="s">
        <v>21</v>
      </c>
      <c r="H2255" s="10" t="s">
        <v>216</v>
      </c>
      <c r="I2255" s="10" t="s">
        <v>23</v>
      </c>
      <c r="J2255" s="11">
        <v>0.98</v>
      </c>
      <c r="K2255" s="12"/>
      <c r="L2255" s="12"/>
      <c r="M2255" s="12"/>
      <c r="N2255" s="12"/>
      <c r="O2255" s="12"/>
      <c r="P2255" s="12"/>
      <c r="Q2255" s="12"/>
      <c r="R2255" s="12"/>
      <c r="S2255" s="12"/>
    </row>
    <row r="2256" spans="1:19" ht="14.25" customHeight="1" x14ac:dyDescent="0.2">
      <c r="A2256" s="1" t="s">
        <v>42</v>
      </c>
      <c r="B2256" s="7">
        <v>46101.086435185185</v>
      </c>
      <c r="C2256" s="7">
        <v>46101.119675925926</v>
      </c>
      <c r="D2256" s="8">
        <v>46101</v>
      </c>
      <c r="E2256" s="9">
        <v>0.11967592592554865</v>
      </c>
      <c r="F2256" s="10" t="s">
        <v>2535</v>
      </c>
      <c r="G2256" s="10" t="s">
        <v>26</v>
      </c>
      <c r="H2256" s="10" t="s">
        <v>125</v>
      </c>
      <c r="I2256" s="10" t="s">
        <v>23</v>
      </c>
      <c r="J2256" s="11">
        <v>0.63</v>
      </c>
      <c r="K2256" s="12"/>
      <c r="L2256" s="12"/>
      <c r="M2256" s="12"/>
      <c r="N2256" s="12"/>
      <c r="O2256" s="12"/>
      <c r="P2256" s="12"/>
      <c r="Q2256" s="12"/>
      <c r="R2256" s="12"/>
      <c r="S2256" s="12"/>
    </row>
    <row r="2257" spans="1:19" ht="14.25" customHeight="1" x14ac:dyDescent="0.2">
      <c r="A2257" s="1" t="s">
        <v>24</v>
      </c>
      <c r="B2257" s="7">
        <v>46101.106412037036</v>
      </c>
      <c r="C2257" s="7">
        <v>46101.125185185185</v>
      </c>
      <c r="D2257" s="8">
        <v>46101</v>
      </c>
      <c r="E2257" s="9">
        <v>0.12518518518481869</v>
      </c>
      <c r="F2257" s="10" t="s">
        <v>2536</v>
      </c>
      <c r="G2257" s="10" t="s">
        <v>21</v>
      </c>
      <c r="H2257" s="10" t="s">
        <v>248</v>
      </c>
      <c r="I2257" s="10" t="s">
        <v>23</v>
      </c>
      <c r="J2257" s="11">
        <v>2.15</v>
      </c>
      <c r="K2257" s="12">
        <f>SUM(J2257:J2283)</f>
        <v>40.519999999999996</v>
      </c>
      <c r="L2257" s="12">
        <f>SUM(J2257:J2267)</f>
        <v>17.990000000000002</v>
      </c>
      <c r="M2257" s="13">
        <f>L2257*65</f>
        <v>1169.3500000000001</v>
      </c>
      <c r="N2257" s="14">
        <f>MAX(500,M2257)</f>
        <v>1169.3500000000001</v>
      </c>
      <c r="O2257" s="12"/>
      <c r="P2257" s="12"/>
      <c r="Q2257" s="12"/>
      <c r="R2257" s="12"/>
      <c r="S2257" s="12"/>
    </row>
    <row r="2258" spans="1:19" ht="14.25" customHeight="1" x14ac:dyDescent="0.2">
      <c r="A2258" s="1" t="s">
        <v>33</v>
      </c>
      <c r="B2258" s="7">
        <v>46101.097743055558</v>
      </c>
      <c r="C2258" s="7">
        <v>46101.126111111109</v>
      </c>
      <c r="D2258" s="8">
        <v>46101</v>
      </c>
      <c r="E2258" s="9">
        <v>0.12611111110891216</v>
      </c>
      <c r="F2258" s="10" t="s">
        <v>2537</v>
      </c>
      <c r="G2258" s="10" t="s">
        <v>21</v>
      </c>
      <c r="H2258" s="10" t="s">
        <v>248</v>
      </c>
      <c r="I2258" s="10" t="s">
        <v>23</v>
      </c>
      <c r="J2258" s="11">
        <v>2.15</v>
      </c>
      <c r="K2258" s="12"/>
      <c r="L2258" s="12"/>
      <c r="M2258" s="12"/>
      <c r="N2258" s="12"/>
      <c r="O2258" s="12"/>
      <c r="P2258" s="12"/>
      <c r="Q2258" s="12"/>
      <c r="R2258" s="12"/>
      <c r="S2258" s="12"/>
    </row>
    <row r="2259" spans="1:19" ht="14.25" customHeight="1" x14ac:dyDescent="0.2">
      <c r="A2259" s="1" t="s">
        <v>33</v>
      </c>
      <c r="B2259" s="7">
        <v>46101.10765046296</v>
      </c>
      <c r="C2259" s="7">
        <v>46101.130011574074</v>
      </c>
      <c r="D2259" s="8">
        <v>46101</v>
      </c>
      <c r="E2259" s="9">
        <v>0.13001157407416031</v>
      </c>
      <c r="F2259" s="10" t="s">
        <v>2538</v>
      </c>
      <c r="G2259" s="10" t="s">
        <v>26</v>
      </c>
      <c r="H2259" s="10" t="s">
        <v>37</v>
      </c>
      <c r="I2259" s="10" t="s">
        <v>23</v>
      </c>
      <c r="J2259" s="11">
        <v>0.88</v>
      </c>
      <c r="K2259" s="12"/>
      <c r="L2259" s="12"/>
      <c r="M2259" s="12"/>
      <c r="N2259" s="12"/>
      <c r="O2259" s="12"/>
      <c r="P2259" s="12"/>
      <c r="Q2259" s="12"/>
      <c r="R2259" s="12"/>
      <c r="S2259" s="12"/>
    </row>
    <row r="2260" spans="1:19" ht="14.25" customHeight="1" x14ac:dyDescent="0.2">
      <c r="A2260" s="1" t="s">
        <v>33</v>
      </c>
      <c r="B2260" s="7">
        <v>46101.139039351852</v>
      </c>
      <c r="C2260" s="7">
        <v>46101.14875</v>
      </c>
      <c r="D2260" s="8">
        <v>46101</v>
      </c>
      <c r="E2260" s="9">
        <v>0.14875000000029104</v>
      </c>
      <c r="F2260" s="10" t="s">
        <v>2539</v>
      </c>
      <c r="G2260" s="10" t="s">
        <v>21</v>
      </c>
      <c r="H2260" s="10" t="s">
        <v>101</v>
      </c>
      <c r="I2260" s="10" t="s">
        <v>23</v>
      </c>
      <c r="J2260" s="11">
        <v>1.7</v>
      </c>
      <c r="K2260" s="12"/>
      <c r="L2260" s="12"/>
      <c r="M2260" s="12"/>
      <c r="N2260" s="12"/>
      <c r="O2260" s="12"/>
      <c r="P2260" s="12"/>
      <c r="Q2260" s="12"/>
      <c r="R2260" s="12"/>
      <c r="S2260" s="12"/>
    </row>
    <row r="2261" spans="1:19" ht="14.25" customHeight="1" x14ac:dyDescent="0.2">
      <c r="A2261" s="1" t="s">
        <v>28</v>
      </c>
      <c r="B2261" s="7">
        <v>46101.129907407405</v>
      </c>
      <c r="C2261" s="7">
        <v>46101.149178240739</v>
      </c>
      <c r="D2261" s="8">
        <v>46101</v>
      </c>
      <c r="E2261" s="9">
        <v>0.14917824073927477</v>
      </c>
      <c r="F2261" s="10" t="s">
        <v>2540</v>
      </c>
      <c r="G2261" s="10" t="s">
        <v>21</v>
      </c>
      <c r="H2261" s="10" t="s">
        <v>41</v>
      </c>
      <c r="I2261" s="10" t="s">
        <v>23</v>
      </c>
      <c r="J2261" s="11">
        <v>1.77</v>
      </c>
      <c r="K2261" s="12"/>
      <c r="L2261" s="12"/>
      <c r="M2261" s="12"/>
      <c r="N2261" s="12"/>
      <c r="O2261" s="12"/>
      <c r="P2261" s="12"/>
      <c r="Q2261" s="12"/>
      <c r="R2261" s="12"/>
      <c r="S2261" s="12"/>
    </row>
    <row r="2262" spans="1:19" ht="14.25" customHeight="1" x14ac:dyDescent="0.2">
      <c r="A2262" s="1" t="s">
        <v>24</v>
      </c>
      <c r="B2262" s="7">
        <v>46101.144143518519</v>
      </c>
      <c r="C2262" s="7">
        <v>46101.157118055555</v>
      </c>
      <c r="D2262" s="8">
        <v>46101</v>
      </c>
      <c r="E2262" s="9">
        <v>0.15711805555474712</v>
      </c>
      <c r="F2262" s="10" t="s">
        <v>2541</v>
      </c>
      <c r="G2262" s="10" t="s">
        <v>21</v>
      </c>
      <c r="H2262" s="10" t="s">
        <v>41</v>
      </c>
      <c r="I2262" s="10" t="s">
        <v>23</v>
      </c>
      <c r="J2262" s="11">
        <v>1.77</v>
      </c>
      <c r="K2262" s="12"/>
      <c r="L2262" s="12"/>
      <c r="M2262" s="12"/>
      <c r="N2262" s="12"/>
      <c r="O2262" s="12"/>
      <c r="P2262" s="12"/>
      <c r="Q2262" s="12"/>
      <c r="R2262" s="12"/>
      <c r="S2262" s="12"/>
    </row>
    <row r="2263" spans="1:19" ht="14.25" customHeight="1" x14ac:dyDescent="0.2">
      <c r="A2263" s="1" t="s">
        <v>28</v>
      </c>
      <c r="B2263" s="7">
        <v>46101.033738425926</v>
      </c>
      <c r="C2263" s="7">
        <v>46101.159178240741</v>
      </c>
      <c r="D2263" s="8">
        <v>46101</v>
      </c>
      <c r="E2263" s="9">
        <v>0.15917824074131204</v>
      </c>
      <c r="F2263" s="10" t="s">
        <v>2542</v>
      </c>
      <c r="G2263" s="10" t="s">
        <v>21</v>
      </c>
      <c r="H2263" s="10" t="s">
        <v>440</v>
      </c>
      <c r="I2263" s="10" t="s">
        <v>23</v>
      </c>
      <c r="J2263" s="11">
        <v>2.34</v>
      </c>
      <c r="K2263" s="12"/>
      <c r="L2263" s="12"/>
      <c r="M2263" s="12"/>
      <c r="N2263" s="12"/>
      <c r="O2263" s="12"/>
      <c r="P2263" s="12"/>
      <c r="Q2263" s="12"/>
      <c r="R2263" s="12"/>
      <c r="S2263" s="12"/>
    </row>
    <row r="2264" spans="1:19" ht="14.25" customHeight="1" x14ac:dyDescent="0.2">
      <c r="A2264" s="1" t="s">
        <v>57</v>
      </c>
      <c r="B2264" s="7">
        <v>46101.131631944445</v>
      </c>
      <c r="C2264" s="7">
        <v>46101.162858796299</v>
      </c>
      <c r="D2264" s="8">
        <v>46101</v>
      </c>
      <c r="E2264" s="9">
        <v>0.1628587962986785</v>
      </c>
      <c r="F2264" s="10" t="s">
        <v>2543</v>
      </c>
      <c r="G2264" s="10" t="s">
        <v>21</v>
      </c>
      <c r="H2264" s="10" t="s">
        <v>59</v>
      </c>
      <c r="I2264" s="10" t="s">
        <v>23</v>
      </c>
      <c r="J2264" s="11">
        <v>0.83</v>
      </c>
      <c r="K2264" s="12"/>
      <c r="L2264" s="12"/>
      <c r="M2264" s="12"/>
      <c r="N2264" s="12"/>
      <c r="O2264" s="12"/>
      <c r="P2264" s="12"/>
      <c r="Q2264" s="12"/>
      <c r="R2264" s="12"/>
      <c r="S2264" s="12"/>
    </row>
    <row r="2265" spans="1:19" ht="14.25" customHeight="1" x14ac:dyDescent="0.2">
      <c r="A2265" s="1" t="s">
        <v>57</v>
      </c>
      <c r="B2265" s="7">
        <v>46101.133402777778</v>
      </c>
      <c r="C2265" s="7">
        <v>46101.163055555553</v>
      </c>
      <c r="D2265" s="8">
        <v>46101</v>
      </c>
      <c r="E2265" s="9">
        <v>0.16305555555300089</v>
      </c>
      <c r="F2265" s="10" t="s">
        <v>2544</v>
      </c>
      <c r="G2265" s="10" t="s">
        <v>21</v>
      </c>
      <c r="H2265" s="10" t="s">
        <v>710</v>
      </c>
      <c r="I2265" s="10" t="s">
        <v>23</v>
      </c>
      <c r="J2265" s="11">
        <v>0.98</v>
      </c>
      <c r="K2265" s="12"/>
      <c r="L2265" s="12"/>
      <c r="M2265" s="12"/>
      <c r="N2265" s="12"/>
      <c r="O2265" s="12"/>
      <c r="P2265" s="12"/>
      <c r="Q2265" s="12"/>
      <c r="R2265" s="12"/>
      <c r="S2265" s="12"/>
    </row>
    <row r="2266" spans="1:19" ht="14.25" customHeight="1" x14ac:dyDescent="0.2">
      <c r="A2266" s="1" t="s">
        <v>57</v>
      </c>
      <c r="B2266" s="7">
        <v>46101.141365740739</v>
      </c>
      <c r="C2266" s="7">
        <v>46101.163888888892</v>
      </c>
      <c r="D2266" s="8">
        <v>46101</v>
      </c>
      <c r="E2266" s="9">
        <v>0.16388888889196096</v>
      </c>
      <c r="F2266" s="10" t="s">
        <v>2545</v>
      </c>
      <c r="G2266" s="10" t="s">
        <v>21</v>
      </c>
      <c r="H2266" s="10" t="s">
        <v>1444</v>
      </c>
      <c r="I2266" s="10" t="s">
        <v>23</v>
      </c>
      <c r="J2266" s="11">
        <v>1.71</v>
      </c>
      <c r="K2266" s="12"/>
      <c r="L2266" s="12"/>
      <c r="M2266" s="12"/>
      <c r="N2266" s="12"/>
      <c r="O2266" s="12"/>
      <c r="P2266" s="12"/>
      <c r="Q2266" s="12"/>
      <c r="R2266" s="12"/>
      <c r="S2266" s="12"/>
    </row>
    <row r="2267" spans="1:19" ht="14.25" customHeight="1" x14ac:dyDescent="0.2">
      <c r="A2267" s="1" t="s">
        <v>57</v>
      </c>
      <c r="B2267" s="7">
        <v>46101.137094907404</v>
      </c>
      <c r="C2267" s="7">
        <v>46101.164490740739</v>
      </c>
      <c r="D2267" s="8">
        <v>46101</v>
      </c>
      <c r="E2267" s="9">
        <v>0.16449074073898373</v>
      </c>
      <c r="F2267" s="10" t="s">
        <v>2546</v>
      </c>
      <c r="G2267" s="10" t="s">
        <v>21</v>
      </c>
      <c r="H2267" s="10" t="s">
        <v>1446</v>
      </c>
      <c r="I2267" s="10" t="s">
        <v>23</v>
      </c>
      <c r="J2267" s="11">
        <v>1.71</v>
      </c>
      <c r="K2267" s="12"/>
      <c r="L2267" s="12"/>
      <c r="M2267" s="12"/>
      <c r="N2267" s="12"/>
      <c r="O2267" s="12"/>
      <c r="P2267" s="12"/>
      <c r="Q2267" s="12"/>
      <c r="R2267" s="12"/>
      <c r="S2267" s="12"/>
    </row>
    <row r="2268" spans="1:19" ht="14.25" customHeight="1" x14ac:dyDescent="0.2">
      <c r="A2268" s="1" t="s">
        <v>42</v>
      </c>
      <c r="B2268" s="7">
        <v>46101.142951388887</v>
      </c>
      <c r="C2268" s="7">
        <v>46101.170092592591</v>
      </c>
      <c r="D2268" s="8">
        <v>46101</v>
      </c>
      <c r="E2268" s="9">
        <v>0.17009259259066312</v>
      </c>
      <c r="F2268" s="10" t="s">
        <v>2547</v>
      </c>
      <c r="G2268" s="10" t="s">
        <v>26</v>
      </c>
      <c r="H2268" s="10" t="s">
        <v>56</v>
      </c>
      <c r="I2268" s="10" t="s">
        <v>23</v>
      </c>
      <c r="J2268" s="11">
        <v>0.73</v>
      </c>
      <c r="K2268" s="12"/>
      <c r="L2268" s="12">
        <f>SUM(J2268:J2275)</f>
        <v>12.85</v>
      </c>
      <c r="M2268" s="13">
        <f>L2268*65</f>
        <v>835.25</v>
      </c>
      <c r="N2268" s="14">
        <f>MAX(500,M2268)</f>
        <v>835.25</v>
      </c>
      <c r="O2268" s="12"/>
      <c r="P2268" s="12"/>
      <c r="Q2268" s="12"/>
      <c r="R2268" s="12"/>
      <c r="S2268" s="12"/>
    </row>
    <row r="2269" spans="1:19" ht="14.25" customHeight="1" x14ac:dyDescent="0.2">
      <c r="A2269" s="1" t="s">
        <v>33</v>
      </c>
      <c r="B2269" s="7">
        <v>46101.163715277777</v>
      </c>
      <c r="C2269" s="7">
        <v>46101.176504629628</v>
      </c>
      <c r="D2269" s="8">
        <v>46101</v>
      </c>
      <c r="E2269" s="9">
        <v>0.17650462962774327</v>
      </c>
      <c r="F2269" s="10" t="s">
        <v>2548</v>
      </c>
      <c r="G2269" s="10" t="s">
        <v>21</v>
      </c>
      <c r="H2269" s="10" t="s">
        <v>41</v>
      </c>
      <c r="I2269" s="10" t="s">
        <v>23</v>
      </c>
      <c r="J2269" s="11">
        <v>1.77</v>
      </c>
      <c r="K2269" s="12"/>
      <c r="L2269" s="12"/>
      <c r="M2269" s="12"/>
      <c r="N2269" s="12"/>
      <c r="O2269" s="12"/>
      <c r="P2269" s="12"/>
      <c r="Q2269" s="12"/>
      <c r="R2269" s="12"/>
      <c r="S2269" s="12"/>
    </row>
    <row r="2270" spans="1:19" ht="14.25" customHeight="1" x14ac:dyDescent="0.2">
      <c r="A2270" s="1" t="s">
        <v>19</v>
      </c>
      <c r="B2270" s="7">
        <v>46101.090995370374</v>
      </c>
      <c r="C2270" s="7">
        <v>46101.181354166663</v>
      </c>
      <c r="D2270" s="8">
        <v>46101</v>
      </c>
      <c r="E2270" s="9">
        <v>0.18135416666336823</v>
      </c>
      <c r="F2270" s="10" t="s">
        <v>2549</v>
      </c>
      <c r="G2270" s="10" t="s">
        <v>21</v>
      </c>
      <c r="H2270" s="10" t="s">
        <v>39</v>
      </c>
      <c r="I2270" s="10" t="s">
        <v>23</v>
      </c>
      <c r="J2270" s="11">
        <v>1.77</v>
      </c>
      <c r="K2270" s="12"/>
      <c r="L2270" s="12"/>
      <c r="M2270" s="12"/>
      <c r="N2270" s="12"/>
      <c r="O2270" s="12"/>
      <c r="P2270" s="12"/>
      <c r="Q2270" s="12"/>
      <c r="R2270" s="12"/>
      <c r="S2270" s="12"/>
    </row>
    <row r="2271" spans="1:19" ht="14.25" customHeight="1" x14ac:dyDescent="0.2">
      <c r="A2271" s="1" t="s">
        <v>95</v>
      </c>
      <c r="B2271" s="7">
        <v>46101.162893518522</v>
      </c>
      <c r="C2271" s="7">
        <v>46101.18645833333</v>
      </c>
      <c r="D2271" s="8">
        <v>46101</v>
      </c>
      <c r="E2271" s="9">
        <v>0.18645833332993789</v>
      </c>
      <c r="F2271" s="10" t="s">
        <v>2550</v>
      </c>
      <c r="G2271" s="10" t="s">
        <v>21</v>
      </c>
      <c r="H2271" s="10" t="s">
        <v>105</v>
      </c>
      <c r="I2271" s="10" t="s">
        <v>23</v>
      </c>
      <c r="J2271" s="11">
        <v>2.5</v>
      </c>
      <c r="K2271" s="12"/>
      <c r="L2271" s="12"/>
      <c r="M2271" s="12"/>
      <c r="N2271" s="12"/>
      <c r="O2271" s="12"/>
      <c r="P2271" s="12"/>
      <c r="Q2271" s="12"/>
      <c r="R2271" s="12"/>
      <c r="S2271" s="12"/>
    </row>
    <row r="2272" spans="1:19" ht="14.25" customHeight="1" x14ac:dyDescent="0.2">
      <c r="A2272" s="1" t="s">
        <v>95</v>
      </c>
      <c r="B2272" s="7">
        <v>46096.860162037039</v>
      </c>
      <c r="C2272" s="7">
        <v>46101.187222222223</v>
      </c>
      <c r="D2272" s="8">
        <v>46101</v>
      </c>
      <c r="E2272" s="9">
        <v>0.18722222222277196</v>
      </c>
      <c r="F2272" s="10" t="s">
        <v>2551</v>
      </c>
      <c r="G2272" s="10" t="s">
        <v>180</v>
      </c>
      <c r="H2272" s="10" t="s">
        <v>2552</v>
      </c>
      <c r="I2272" s="10" t="s">
        <v>23</v>
      </c>
      <c r="J2272" s="11">
        <v>2.75</v>
      </c>
      <c r="K2272" s="12"/>
      <c r="L2272" s="12"/>
      <c r="M2272" s="12"/>
      <c r="N2272" s="12"/>
      <c r="O2272" s="12"/>
      <c r="P2272" s="12"/>
      <c r="Q2272" s="12"/>
      <c r="R2272" s="12"/>
      <c r="S2272" s="12"/>
    </row>
    <row r="2273" spans="1:19" ht="14.25" customHeight="1" x14ac:dyDescent="0.2">
      <c r="A2273" s="1" t="s">
        <v>42</v>
      </c>
      <c r="B2273" s="7">
        <v>46101.166550925926</v>
      </c>
      <c r="C2273" s="7">
        <v>46101.18822916667</v>
      </c>
      <c r="D2273" s="8">
        <v>46101</v>
      </c>
      <c r="E2273" s="9">
        <v>0.18822916666977108</v>
      </c>
      <c r="F2273" s="10" t="s">
        <v>2553</v>
      </c>
      <c r="G2273" s="10" t="s">
        <v>26</v>
      </c>
      <c r="H2273" s="10" t="s">
        <v>56</v>
      </c>
      <c r="I2273" s="10" t="s">
        <v>23</v>
      </c>
      <c r="J2273" s="11">
        <v>0.73</v>
      </c>
      <c r="K2273" s="12"/>
      <c r="L2273" s="12"/>
      <c r="M2273" s="12"/>
      <c r="N2273" s="12"/>
      <c r="O2273" s="12"/>
      <c r="P2273" s="12"/>
      <c r="Q2273" s="12"/>
      <c r="R2273" s="12"/>
      <c r="S2273" s="12"/>
    </row>
    <row r="2274" spans="1:19" ht="14.25" customHeight="1" x14ac:dyDescent="0.2">
      <c r="A2274" s="1" t="s">
        <v>95</v>
      </c>
      <c r="B2274" s="7">
        <v>46101.177858796298</v>
      </c>
      <c r="C2274" s="7">
        <v>46101.195277777777</v>
      </c>
      <c r="D2274" s="8">
        <v>46101</v>
      </c>
      <c r="E2274" s="9">
        <v>0.195277777776937</v>
      </c>
      <c r="F2274" s="10" t="s">
        <v>2554</v>
      </c>
      <c r="G2274" s="10" t="s">
        <v>21</v>
      </c>
      <c r="H2274" s="10" t="s">
        <v>97</v>
      </c>
      <c r="I2274" s="10" t="s">
        <v>23</v>
      </c>
      <c r="J2274" s="11">
        <v>1.77</v>
      </c>
      <c r="K2274" s="12"/>
      <c r="L2274" s="12"/>
      <c r="M2274" s="12"/>
      <c r="N2274" s="12"/>
      <c r="O2274" s="12"/>
      <c r="P2274" s="12"/>
      <c r="Q2274" s="12"/>
      <c r="R2274" s="12"/>
      <c r="S2274" s="12"/>
    </row>
    <row r="2275" spans="1:19" ht="14.25" customHeight="1" x14ac:dyDescent="0.2">
      <c r="A2275" s="1" t="s">
        <v>19</v>
      </c>
      <c r="B2275" s="7">
        <v>46101.189259259256</v>
      </c>
      <c r="C2275" s="7">
        <v>46101.207361111112</v>
      </c>
      <c r="D2275" s="8">
        <v>46101</v>
      </c>
      <c r="E2275" s="9">
        <v>0.20736111111182254</v>
      </c>
      <c r="F2275" s="10" t="s">
        <v>2555</v>
      </c>
      <c r="G2275" s="10" t="s">
        <v>21</v>
      </c>
      <c r="H2275" s="10" t="s">
        <v>22</v>
      </c>
      <c r="I2275" s="10" t="s">
        <v>23</v>
      </c>
      <c r="J2275" s="11">
        <v>0.83</v>
      </c>
      <c r="K2275" s="12"/>
      <c r="L2275" s="12"/>
      <c r="M2275" s="12"/>
      <c r="N2275" s="12"/>
      <c r="O2275" s="12"/>
      <c r="P2275" s="12"/>
      <c r="Q2275" s="12"/>
      <c r="R2275" s="12"/>
      <c r="S2275" s="12"/>
    </row>
    <row r="2276" spans="1:19" ht="14.25" customHeight="1" x14ac:dyDescent="0.2">
      <c r="A2276" s="1" t="s">
        <v>19</v>
      </c>
      <c r="B2276" s="7">
        <v>46101.197696759256</v>
      </c>
      <c r="C2276" s="7">
        <v>46101.208587962959</v>
      </c>
      <c r="D2276" s="8">
        <v>46101</v>
      </c>
      <c r="E2276" s="9">
        <v>0.20858796295942739</v>
      </c>
      <c r="F2276" s="10" t="s">
        <v>2556</v>
      </c>
      <c r="G2276" s="10" t="s">
        <v>21</v>
      </c>
      <c r="H2276" s="10" t="s">
        <v>101</v>
      </c>
      <c r="I2276" s="10" t="s">
        <v>23</v>
      </c>
      <c r="J2276" s="11">
        <v>1.7</v>
      </c>
      <c r="K2276" s="12"/>
      <c r="L2276" s="12">
        <f>SUM(J2276:J2283)</f>
        <v>9.68</v>
      </c>
      <c r="M2276" s="13">
        <f>L2276*65</f>
        <v>629.19999999999993</v>
      </c>
      <c r="N2276" s="14">
        <f>MAX(500,M2276)</f>
        <v>629.19999999999993</v>
      </c>
      <c r="O2276" s="12"/>
      <c r="P2276" s="12"/>
      <c r="Q2276" s="12"/>
      <c r="R2276" s="12"/>
      <c r="S2276" s="12"/>
    </row>
    <row r="2277" spans="1:19" ht="14.25" customHeight="1" x14ac:dyDescent="0.2">
      <c r="A2277" s="1" t="s">
        <v>95</v>
      </c>
      <c r="B2277" s="7">
        <v>46101.190601851849</v>
      </c>
      <c r="C2277" s="7">
        <v>46101.215740740743</v>
      </c>
      <c r="D2277" s="8">
        <v>46101</v>
      </c>
      <c r="E2277" s="9">
        <v>0.21574074074305827</v>
      </c>
      <c r="F2277" s="10" t="s">
        <v>2557</v>
      </c>
      <c r="G2277" s="10" t="s">
        <v>21</v>
      </c>
      <c r="H2277" s="10" t="s">
        <v>110</v>
      </c>
      <c r="I2277" s="10" t="s">
        <v>23</v>
      </c>
      <c r="J2277" s="11">
        <v>0.83</v>
      </c>
      <c r="K2277" s="12"/>
      <c r="L2277" s="12"/>
      <c r="M2277" s="12"/>
      <c r="N2277" s="12"/>
      <c r="O2277" s="12"/>
      <c r="P2277" s="12"/>
      <c r="Q2277" s="12"/>
      <c r="R2277" s="12"/>
      <c r="S2277" s="12"/>
    </row>
    <row r="2278" spans="1:19" ht="14.25" customHeight="1" x14ac:dyDescent="0.2">
      <c r="A2278" s="1" t="s">
        <v>95</v>
      </c>
      <c r="B2278" s="7">
        <v>46101.182118055556</v>
      </c>
      <c r="C2278" s="7">
        <v>46101.222708333335</v>
      </c>
      <c r="D2278" s="8">
        <v>46101</v>
      </c>
      <c r="E2278" s="9">
        <v>0.2227083333345945</v>
      </c>
      <c r="F2278" s="10" t="s">
        <v>2558</v>
      </c>
      <c r="G2278" s="10" t="s">
        <v>21</v>
      </c>
      <c r="H2278" s="10" t="s">
        <v>110</v>
      </c>
      <c r="I2278" s="10" t="s">
        <v>23</v>
      </c>
      <c r="J2278" s="11">
        <v>0.83</v>
      </c>
      <c r="K2278" s="12"/>
      <c r="L2278" s="12"/>
      <c r="M2278" s="12"/>
      <c r="N2278" s="12"/>
      <c r="O2278" s="12"/>
      <c r="P2278" s="12"/>
      <c r="Q2278" s="12"/>
      <c r="R2278" s="12"/>
      <c r="S2278" s="12"/>
    </row>
    <row r="2279" spans="1:19" ht="14.25" customHeight="1" x14ac:dyDescent="0.2">
      <c r="A2279" s="1" t="s">
        <v>19</v>
      </c>
      <c r="B2279" s="7">
        <v>46101.209780092591</v>
      </c>
      <c r="C2279" s="7">
        <v>46101.22315972222</v>
      </c>
      <c r="D2279" s="8">
        <v>46101</v>
      </c>
      <c r="E2279" s="9">
        <v>0.22315972221986158</v>
      </c>
      <c r="F2279" s="10" t="s">
        <v>2559</v>
      </c>
      <c r="G2279" s="10" t="s">
        <v>21</v>
      </c>
      <c r="H2279" s="10" t="s">
        <v>41</v>
      </c>
      <c r="I2279" s="10" t="s">
        <v>23</v>
      </c>
      <c r="J2279" s="11">
        <v>1.77</v>
      </c>
      <c r="K2279" s="12"/>
      <c r="L2279" s="12"/>
      <c r="M2279" s="12"/>
      <c r="N2279" s="12"/>
      <c r="O2279" s="12"/>
      <c r="P2279" s="12"/>
      <c r="Q2279" s="12"/>
      <c r="R2279" s="12"/>
      <c r="S2279" s="12"/>
    </row>
    <row r="2280" spans="1:19" ht="14.25" customHeight="1" x14ac:dyDescent="0.2">
      <c r="A2280" s="1" t="s">
        <v>95</v>
      </c>
      <c r="B2280" s="7">
        <v>46101.182118055556</v>
      </c>
      <c r="C2280" s="7">
        <v>46101.223379629628</v>
      </c>
      <c r="D2280" s="8">
        <v>46101</v>
      </c>
      <c r="E2280" s="9">
        <v>0.22337962962774327</v>
      </c>
      <c r="F2280" s="10" t="s">
        <v>2560</v>
      </c>
      <c r="G2280" s="10" t="s">
        <v>21</v>
      </c>
      <c r="H2280" s="10" t="s">
        <v>52</v>
      </c>
      <c r="I2280" s="10" t="s">
        <v>23</v>
      </c>
      <c r="J2280" s="11">
        <v>0.98</v>
      </c>
      <c r="K2280" s="12"/>
      <c r="L2280" s="12"/>
      <c r="M2280" s="12"/>
      <c r="N2280" s="12"/>
      <c r="O2280" s="12"/>
      <c r="P2280" s="12"/>
      <c r="Q2280" s="12"/>
      <c r="R2280" s="12"/>
      <c r="S2280" s="12"/>
    </row>
    <row r="2281" spans="1:19" ht="14.25" customHeight="1" x14ac:dyDescent="0.2">
      <c r="A2281" s="1" t="s">
        <v>28</v>
      </c>
      <c r="B2281" s="7">
        <v>46101.219918981478</v>
      </c>
      <c r="C2281" s="7">
        <v>46101.236041666663</v>
      </c>
      <c r="D2281" s="8">
        <v>46101</v>
      </c>
      <c r="E2281" s="9">
        <v>0.23604166666336823</v>
      </c>
      <c r="F2281" s="10" t="s">
        <v>2561</v>
      </c>
      <c r="G2281" s="10" t="s">
        <v>21</v>
      </c>
      <c r="H2281" s="10" t="s">
        <v>41</v>
      </c>
      <c r="I2281" s="10" t="s">
        <v>23</v>
      </c>
      <c r="J2281" s="11">
        <v>1.77</v>
      </c>
      <c r="K2281" s="12"/>
      <c r="L2281" s="12"/>
      <c r="M2281" s="12"/>
      <c r="N2281" s="12"/>
      <c r="O2281" s="12"/>
      <c r="P2281" s="12"/>
      <c r="Q2281" s="12"/>
      <c r="R2281" s="12"/>
      <c r="S2281" s="12"/>
    </row>
    <row r="2282" spans="1:19" ht="14.25" customHeight="1" x14ac:dyDescent="0.2">
      <c r="A2282" s="1" t="s">
        <v>28</v>
      </c>
      <c r="B2282" s="7">
        <v>46101.216087962966</v>
      </c>
      <c r="C2282" s="7">
        <v>46101.237118055556</v>
      </c>
      <c r="D2282" s="8">
        <v>46101</v>
      </c>
      <c r="E2282" s="9">
        <v>0.23711805555649335</v>
      </c>
      <c r="F2282" s="10" t="s">
        <v>2562</v>
      </c>
      <c r="G2282" s="10" t="s">
        <v>26</v>
      </c>
      <c r="H2282" s="10" t="s">
        <v>128</v>
      </c>
      <c r="I2282" s="10" t="s">
        <v>23</v>
      </c>
      <c r="J2282" s="11">
        <v>0.97</v>
      </c>
      <c r="K2282" s="12"/>
      <c r="L2282" s="12"/>
      <c r="M2282" s="12"/>
      <c r="N2282" s="12"/>
      <c r="O2282" s="12"/>
      <c r="P2282" s="12"/>
      <c r="Q2282" s="12"/>
      <c r="R2282" s="12"/>
      <c r="S2282" s="12"/>
    </row>
    <row r="2283" spans="1:19" ht="14.25" customHeight="1" x14ac:dyDescent="0.2">
      <c r="A2283" s="1" t="s">
        <v>95</v>
      </c>
      <c r="B2283" s="7">
        <v>46101.231863425928</v>
      </c>
      <c r="C2283" s="7">
        <v>46101.244212962964</v>
      </c>
      <c r="D2283" s="8">
        <v>46101</v>
      </c>
      <c r="E2283" s="9">
        <v>0.24421296296350192</v>
      </c>
      <c r="F2283" s="10" t="s">
        <v>2563</v>
      </c>
      <c r="G2283" s="10" t="s">
        <v>21</v>
      </c>
      <c r="H2283" s="10" t="s">
        <v>110</v>
      </c>
      <c r="I2283" s="10" t="s">
        <v>23</v>
      </c>
      <c r="J2283" s="11">
        <v>0.83</v>
      </c>
      <c r="K2283" s="12"/>
      <c r="L2283" s="12"/>
      <c r="M2283" s="12"/>
      <c r="N2283" s="12"/>
      <c r="O2283" s="12"/>
      <c r="P2283" s="12"/>
      <c r="Q2283" s="12"/>
      <c r="R2283" s="12"/>
      <c r="S2283" s="12"/>
    </row>
    <row r="2284" spans="1:19" ht="14.25" customHeight="1" x14ac:dyDescent="0.2">
      <c r="A2284" s="1" t="s">
        <v>28</v>
      </c>
      <c r="B2284" s="7">
        <v>46101.863807870373</v>
      </c>
      <c r="C2284" s="7">
        <v>46101.877662037034</v>
      </c>
      <c r="D2284" s="8">
        <v>46101</v>
      </c>
      <c r="E2284" s="9">
        <v>0.87766203703358769</v>
      </c>
      <c r="F2284" s="10" t="s">
        <v>2564</v>
      </c>
      <c r="G2284" s="10" t="s">
        <v>21</v>
      </c>
      <c r="H2284" s="10" t="s">
        <v>22</v>
      </c>
      <c r="I2284" s="10" t="s">
        <v>23</v>
      </c>
      <c r="J2284" s="11">
        <v>0.83</v>
      </c>
      <c r="K2284" s="12">
        <f>SUM(J2284:J2287,J2289:J2302,J2304:J2310,J2312:J2318,J2320:J2324,J2326,J2328:J2334,J2337,J2339,J2342,J2344:J2348,J2353:J2358,J2360,J2362:J2387)</f>
        <v>99.639999999999958</v>
      </c>
      <c r="L2284" s="12">
        <f>SUM(J2284:J2302)</f>
        <v>23.089999999999996</v>
      </c>
      <c r="M2284" s="13">
        <f>L2284*65</f>
        <v>1500.8499999999997</v>
      </c>
      <c r="N2284" s="14">
        <f>MAX(500,M2284)</f>
        <v>1500.8499999999997</v>
      </c>
      <c r="O2284" s="12"/>
      <c r="P2284" s="12"/>
      <c r="Q2284" s="12"/>
      <c r="R2284" s="12"/>
      <c r="S2284" s="12"/>
    </row>
    <row r="2285" spans="1:19" ht="14.25" customHeight="1" x14ac:dyDescent="0.2">
      <c r="A2285" s="1" t="s">
        <v>19</v>
      </c>
      <c r="B2285" s="7">
        <v>46101.867893518516</v>
      </c>
      <c r="C2285" s="7">
        <v>46101.881122685183</v>
      </c>
      <c r="D2285" s="8">
        <v>46101</v>
      </c>
      <c r="E2285" s="9">
        <v>0.88112268518307246</v>
      </c>
      <c r="F2285" s="10" t="s">
        <v>2565</v>
      </c>
      <c r="G2285" s="10" t="s">
        <v>21</v>
      </c>
      <c r="H2285" s="10" t="s">
        <v>216</v>
      </c>
      <c r="I2285" s="10" t="s">
        <v>23</v>
      </c>
      <c r="J2285" s="11">
        <v>0.98</v>
      </c>
      <c r="K2285" s="12"/>
      <c r="L2285" s="12"/>
      <c r="M2285" s="12"/>
      <c r="N2285" s="12"/>
      <c r="O2285" s="12"/>
      <c r="P2285" s="12"/>
      <c r="Q2285" s="12"/>
      <c r="R2285" s="12"/>
      <c r="S2285" s="12"/>
    </row>
    <row r="2286" spans="1:19" ht="14.25" customHeight="1" x14ac:dyDescent="0.2">
      <c r="A2286" s="1" t="s">
        <v>19</v>
      </c>
      <c r="B2286" s="7">
        <v>46101.867893518516</v>
      </c>
      <c r="C2286" s="7">
        <v>46101.882175925923</v>
      </c>
      <c r="D2286" s="8">
        <v>46101</v>
      </c>
      <c r="E2286" s="9">
        <v>0.88217592592263827</v>
      </c>
      <c r="F2286" s="10" t="s">
        <v>2566</v>
      </c>
      <c r="G2286" s="10" t="s">
        <v>21</v>
      </c>
      <c r="H2286" s="10" t="s">
        <v>620</v>
      </c>
      <c r="I2286" s="10" t="s">
        <v>23</v>
      </c>
      <c r="J2286" s="11">
        <v>1.06</v>
      </c>
      <c r="K2286" s="12"/>
      <c r="L2286" s="12"/>
      <c r="M2286" s="12"/>
      <c r="N2286" s="12"/>
      <c r="O2286" s="12"/>
      <c r="P2286" s="12"/>
      <c r="Q2286" s="12"/>
      <c r="R2286" s="12"/>
      <c r="S2286" s="12"/>
    </row>
    <row r="2287" spans="1:19" ht="14.25" customHeight="1" x14ac:dyDescent="0.2">
      <c r="A2287" s="1" t="s">
        <v>19</v>
      </c>
      <c r="B2287" s="7">
        <v>46101.876759259256</v>
      </c>
      <c r="C2287" s="7">
        <v>46101.887303240743</v>
      </c>
      <c r="D2287" s="8">
        <v>46101</v>
      </c>
      <c r="E2287" s="9">
        <v>0.88730324074276723</v>
      </c>
      <c r="F2287" s="10" t="s">
        <v>2567</v>
      </c>
      <c r="G2287" s="10" t="s">
        <v>21</v>
      </c>
      <c r="H2287" s="10" t="s">
        <v>467</v>
      </c>
      <c r="I2287" s="10" t="s">
        <v>23</v>
      </c>
      <c r="J2287" s="11">
        <v>2.75</v>
      </c>
      <c r="K2287" s="12"/>
      <c r="L2287" s="12"/>
      <c r="M2287" s="12"/>
      <c r="N2287" s="12"/>
      <c r="O2287" s="12"/>
      <c r="P2287" s="12"/>
      <c r="Q2287" s="12"/>
      <c r="R2287" s="12"/>
      <c r="S2287" s="12"/>
    </row>
    <row r="2288" spans="1:19" ht="14.25" customHeight="1" x14ac:dyDescent="0.2">
      <c r="A2288" s="22" t="s">
        <v>19</v>
      </c>
      <c r="B2288" s="23">
        <v>46101.749756944446</v>
      </c>
      <c r="C2288" s="23">
        <v>46101.88921296296</v>
      </c>
      <c r="D2288" s="24">
        <v>46101</v>
      </c>
      <c r="E2288" s="25">
        <v>0.8892129629603005</v>
      </c>
      <c r="F2288" s="22" t="s">
        <v>2568</v>
      </c>
      <c r="G2288" s="22" t="s">
        <v>180</v>
      </c>
      <c r="H2288" s="22" t="s">
        <v>387</v>
      </c>
      <c r="I2288" s="22" t="s">
        <v>583</v>
      </c>
      <c r="J2288" s="26">
        <v>2.23</v>
      </c>
      <c r="K2288" s="26"/>
      <c r="L2288" s="26"/>
      <c r="M2288" s="26"/>
      <c r="N2288" s="26"/>
      <c r="O2288" s="26"/>
      <c r="P2288" s="26"/>
      <c r="Q2288" s="26"/>
      <c r="R2288" s="26"/>
      <c r="S2288" s="26"/>
    </row>
    <row r="2289" spans="1:19" ht="14.25" customHeight="1" x14ac:dyDescent="0.2">
      <c r="A2289" s="1" t="s">
        <v>24</v>
      </c>
      <c r="B2289" s="7">
        <v>46101.870659722219</v>
      </c>
      <c r="C2289" s="7">
        <v>46101.893425925926</v>
      </c>
      <c r="D2289" s="8">
        <v>46101</v>
      </c>
      <c r="E2289" s="9">
        <v>0.89342592592583969</v>
      </c>
      <c r="F2289" s="10" t="s">
        <v>2569</v>
      </c>
      <c r="G2289" s="10" t="s">
        <v>21</v>
      </c>
      <c r="H2289" s="10" t="s">
        <v>41</v>
      </c>
      <c r="I2289" s="10" t="s">
        <v>23</v>
      </c>
      <c r="J2289" s="11">
        <v>1.77</v>
      </c>
      <c r="K2289" s="12"/>
      <c r="L2289" s="12"/>
      <c r="M2289" s="12"/>
      <c r="N2289" s="12"/>
      <c r="O2289" s="12"/>
      <c r="P2289" s="12"/>
      <c r="Q2289" s="12"/>
      <c r="R2289" s="12"/>
      <c r="S2289" s="12"/>
    </row>
    <row r="2290" spans="1:19" ht="14.25" customHeight="1" x14ac:dyDescent="0.2">
      <c r="A2290" s="1" t="s">
        <v>112</v>
      </c>
      <c r="B2290" s="7">
        <v>46101.883564814816</v>
      </c>
      <c r="C2290" s="7">
        <v>46101.893854166665</v>
      </c>
      <c r="D2290" s="8">
        <v>46101</v>
      </c>
      <c r="E2290" s="9">
        <v>0.89385416666482342</v>
      </c>
      <c r="F2290" s="10" t="s">
        <v>2570</v>
      </c>
      <c r="G2290" s="10" t="s">
        <v>44</v>
      </c>
      <c r="H2290" s="10" t="s">
        <v>1670</v>
      </c>
      <c r="I2290" s="10" t="s">
        <v>23</v>
      </c>
      <c r="J2290" s="11">
        <v>0.18</v>
      </c>
      <c r="K2290" s="12"/>
      <c r="L2290" s="12"/>
      <c r="M2290" s="12"/>
      <c r="N2290" s="12"/>
      <c r="O2290" s="12"/>
      <c r="P2290" s="12"/>
      <c r="Q2290" s="12"/>
      <c r="R2290" s="12"/>
      <c r="S2290" s="12"/>
    </row>
    <row r="2291" spans="1:19" ht="14.25" customHeight="1" x14ac:dyDescent="0.2">
      <c r="A2291" s="1" t="s">
        <v>42</v>
      </c>
      <c r="B2291" s="7">
        <v>46101.869768518518</v>
      </c>
      <c r="C2291" s="7">
        <v>46101.894189814811</v>
      </c>
      <c r="D2291" s="8">
        <v>46101</v>
      </c>
      <c r="E2291" s="9">
        <v>0.89418981481139781</v>
      </c>
      <c r="F2291" s="10" t="s">
        <v>2571</v>
      </c>
      <c r="G2291" s="10" t="s">
        <v>26</v>
      </c>
      <c r="H2291" s="10" t="s">
        <v>125</v>
      </c>
      <c r="I2291" s="10" t="s">
        <v>23</v>
      </c>
      <c r="J2291" s="11">
        <v>0.63</v>
      </c>
      <c r="K2291" s="12"/>
      <c r="L2291" s="12"/>
      <c r="M2291" s="12"/>
      <c r="N2291" s="12"/>
      <c r="O2291" s="12"/>
      <c r="P2291" s="12"/>
      <c r="Q2291" s="12"/>
      <c r="R2291" s="12"/>
      <c r="S2291" s="12"/>
    </row>
    <row r="2292" spans="1:19" ht="14.25" customHeight="1" x14ac:dyDescent="0.2">
      <c r="A2292" s="1" t="s">
        <v>28</v>
      </c>
      <c r="B2292" s="7">
        <v>46101.885254629633</v>
      </c>
      <c r="C2292" s="7">
        <v>46101.897256944445</v>
      </c>
      <c r="D2292" s="8">
        <v>46101</v>
      </c>
      <c r="E2292" s="9">
        <v>0.89725694444496185</v>
      </c>
      <c r="F2292" s="10" t="s">
        <v>2572</v>
      </c>
      <c r="G2292" s="10" t="s">
        <v>21</v>
      </c>
      <c r="H2292" s="10" t="s">
        <v>22</v>
      </c>
      <c r="I2292" s="10" t="s">
        <v>23</v>
      </c>
      <c r="J2292" s="11">
        <v>0.83</v>
      </c>
      <c r="K2292" s="12"/>
      <c r="L2292" s="12"/>
      <c r="M2292" s="12"/>
      <c r="N2292" s="12"/>
      <c r="O2292" s="12"/>
      <c r="P2292" s="12"/>
      <c r="Q2292" s="12"/>
      <c r="R2292" s="12"/>
      <c r="S2292" s="12"/>
    </row>
    <row r="2293" spans="1:19" ht="14.25" customHeight="1" x14ac:dyDescent="0.2">
      <c r="A2293" s="1" t="s">
        <v>19</v>
      </c>
      <c r="B2293" s="7">
        <v>46101.885659722226</v>
      </c>
      <c r="C2293" s="7">
        <v>46101.900393518517</v>
      </c>
      <c r="D2293" s="8">
        <v>46101</v>
      </c>
      <c r="E2293" s="9">
        <v>0.90039351851737592</v>
      </c>
      <c r="F2293" s="10" t="s">
        <v>2573</v>
      </c>
      <c r="G2293" s="10" t="s">
        <v>21</v>
      </c>
      <c r="H2293" s="10" t="s">
        <v>101</v>
      </c>
      <c r="I2293" s="10" t="s">
        <v>23</v>
      </c>
      <c r="J2293" s="11">
        <v>1.7</v>
      </c>
      <c r="K2293" s="12"/>
      <c r="L2293" s="12"/>
      <c r="M2293" s="12"/>
      <c r="N2293" s="12"/>
      <c r="O2293" s="12"/>
      <c r="P2293" s="12"/>
      <c r="Q2293" s="12"/>
      <c r="R2293" s="12"/>
      <c r="S2293" s="12"/>
    </row>
    <row r="2294" spans="1:19" ht="14.25" customHeight="1" x14ac:dyDescent="0.2">
      <c r="A2294" s="1" t="s">
        <v>24</v>
      </c>
      <c r="B2294" s="7">
        <v>46101.849340277775</v>
      </c>
      <c r="C2294" s="7">
        <v>46101.901435185187</v>
      </c>
      <c r="D2294" s="8">
        <v>46101</v>
      </c>
      <c r="E2294" s="9">
        <v>0.90143518518743804</v>
      </c>
      <c r="F2294" s="10" t="s">
        <v>2574</v>
      </c>
      <c r="G2294" s="10" t="s">
        <v>180</v>
      </c>
      <c r="H2294" s="10" t="s">
        <v>504</v>
      </c>
      <c r="I2294" s="10" t="s">
        <v>23</v>
      </c>
      <c r="J2294" s="11">
        <v>1.44</v>
      </c>
      <c r="K2294" s="12"/>
      <c r="L2294" s="12"/>
      <c r="M2294" s="12"/>
      <c r="N2294" s="12"/>
      <c r="O2294" s="12"/>
      <c r="P2294" s="12"/>
      <c r="Q2294" s="12"/>
      <c r="R2294" s="12"/>
      <c r="S2294" s="12"/>
    </row>
    <row r="2295" spans="1:19" ht="14.25" customHeight="1" x14ac:dyDescent="0.2">
      <c r="A2295" s="1" t="s">
        <v>42</v>
      </c>
      <c r="B2295" s="7">
        <v>46101.87568287037</v>
      </c>
      <c r="C2295" s="7">
        <v>46101.901967592596</v>
      </c>
      <c r="D2295" s="8">
        <v>46101</v>
      </c>
      <c r="E2295" s="9">
        <v>0.90196759259561077</v>
      </c>
      <c r="F2295" s="10" t="s">
        <v>2575</v>
      </c>
      <c r="G2295" s="10" t="s">
        <v>26</v>
      </c>
      <c r="H2295" s="10" t="s">
        <v>125</v>
      </c>
      <c r="I2295" s="10" t="s">
        <v>23</v>
      </c>
      <c r="J2295" s="11">
        <v>0.63</v>
      </c>
      <c r="K2295" s="12"/>
      <c r="L2295" s="12"/>
      <c r="M2295" s="12"/>
      <c r="N2295" s="12"/>
      <c r="O2295" s="12"/>
      <c r="P2295" s="12"/>
      <c r="Q2295" s="12"/>
      <c r="R2295" s="12"/>
      <c r="S2295" s="12"/>
    </row>
    <row r="2296" spans="1:19" ht="14.25" customHeight="1" x14ac:dyDescent="0.2">
      <c r="A2296" s="1" t="s">
        <v>24</v>
      </c>
      <c r="B2296" s="7">
        <v>46101.867094907408</v>
      </c>
      <c r="C2296" s="7">
        <v>46101.908437500002</v>
      </c>
      <c r="D2296" s="8">
        <v>46101</v>
      </c>
      <c r="E2296" s="9">
        <v>0.90843750000203727</v>
      </c>
      <c r="F2296" s="10" t="s">
        <v>2576</v>
      </c>
      <c r="G2296" s="10" t="s">
        <v>180</v>
      </c>
      <c r="H2296" s="10" t="s">
        <v>2577</v>
      </c>
      <c r="I2296" s="10" t="s">
        <v>23</v>
      </c>
      <c r="J2296" s="11">
        <v>1.42</v>
      </c>
      <c r="K2296" s="12"/>
      <c r="L2296" s="12"/>
      <c r="M2296" s="12"/>
      <c r="N2296" s="12"/>
      <c r="O2296" s="12"/>
      <c r="P2296" s="12"/>
      <c r="Q2296" s="12"/>
      <c r="R2296" s="12"/>
      <c r="S2296" s="12"/>
    </row>
    <row r="2297" spans="1:19" ht="14.25" customHeight="1" x14ac:dyDescent="0.2">
      <c r="A2297" s="1" t="s">
        <v>19</v>
      </c>
      <c r="B2297" s="7">
        <v>46101.839375000003</v>
      </c>
      <c r="C2297" s="7">
        <v>46101.910057870373</v>
      </c>
      <c r="D2297" s="8">
        <v>46101</v>
      </c>
      <c r="E2297" s="9">
        <v>0.91005787037283881</v>
      </c>
      <c r="F2297" s="10" t="s">
        <v>2578</v>
      </c>
      <c r="G2297" s="10" t="s">
        <v>21</v>
      </c>
      <c r="H2297" s="10" t="s">
        <v>248</v>
      </c>
      <c r="I2297" s="10" t="s">
        <v>23</v>
      </c>
      <c r="J2297" s="11">
        <v>2.15</v>
      </c>
      <c r="K2297" s="12"/>
      <c r="L2297" s="12"/>
      <c r="M2297" s="12"/>
      <c r="N2297" s="12"/>
      <c r="O2297" s="12"/>
      <c r="P2297" s="12"/>
      <c r="Q2297" s="12"/>
      <c r="R2297" s="12"/>
      <c r="S2297" s="12"/>
    </row>
    <row r="2298" spans="1:19" ht="14.25" customHeight="1" x14ac:dyDescent="0.2">
      <c r="A2298" s="1" t="s">
        <v>19</v>
      </c>
      <c r="B2298" s="7">
        <v>46101.89943287037</v>
      </c>
      <c r="C2298" s="7">
        <v>46101.911423611113</v>
      </c>
      <c r="D2298" s="8">
        <v>46101</v>
      </c>
      <c r="E2298" s="9">
        <v>0.91142361111269565</v>
      </c>
      <c r="F2298" s="10" t="s">
        <v>2579</v>
      </c>
      <c r="G2298" s="10" t="s">
        <v>21</v>
      </c>
      <c r="H2298" s="10" t="s">
        <v>22</v>
      </c>
      <c r="I2298" s="10" t="s">
        <v>23</v>
      </c>
      <c r="J2298" s="11">
        <v>0.83</v>
      </c>
      <c r="K2298" s="12"/>
      <c r="L2298" s="12"/>
      <c r="M2298" s="12"/>
      <c r="N2298" s="12"/>
      <c r="O2298" s="12"/>
      <c r="P2298" s="12"/>
      <c r="Q2298" s="12"/>
      <c r="R2298" s="12"/>
      <c r="S2298" s="12"/>
    </row>
    <row r="2299" spans="1:19" ht="14.25" customHeight="1" x14ac:dyDescent="0.2">
      <c r="A2299" s="1" t="s">
        <v>42</v>
      </c>
      <c r="B2299" s="7">
        <v>46101.881238425929</v>
      </c>
      <c r="C2299" s="7">
        <v>46101.91201388889</v>
      </c>
      <c r="D2299" s="8">
        <v>46101</v>
      </c>
      <c r="E2299" s="9">
        <v>0.91201388889021473</v>
      </c>
      <c r="F2299" s="10" t="s">
        <v>2580</v>
      </c>
      <c r="G2299" s="10" t="s">
        <v>26</v>
      </c>
      <c r="H2299" s="10" t="s">
        <v>157</v>
      </c>
      <c r="I2299" s="10" t="s">
        <v>23</v>
      </c>
      <c r="J2299" s="11">
        <v>0.73</v>
      </c>
      <c r="K2299" s="12"/>
      <c r="L2299" s="12"/>
      <c r="M2299" s="12"/>
      <c r="N2299" s="12"/>
      <c r="O2299" s="12"/>
      <c r="P2299" s="12"/>
      <c r="Q2299" s="12"/>
      <c r="R2299" s="12"/>
      <c r="S2299" s="12"/>
    </row>
    <row r="2300" spans="1:19" ht="14.25" customHeight="1" x14ac:dyDescent="0.2">
      <c r="A2300" s="1" t="s">
        <v>28</v>
      </c>
      <c r="B2300" s="7">
        <v>46101.902083333334</v>
      </c>
      <c r="C2300" s="7">
        <v>46101.912488425929</v>
      </c>
      <c r="D2300" s="8">
        <v>46101</v>
      </c>
      <c r="E2300" s="9">
        <v>0.91248842592904111</v>
      </c>
      <c r="F2300" s="10" t="s">
        <v>2581</v>
      </c>
      <c r="G2300" s="10" t="s">
        <v>21</v>
      </c>
      <c r="H2300" s="10" t="s">
        <v>276</v>
      </c>
      <c r="I2300" s="10" t="s">
        <v>23</v>
      </c>
      <c r="J2300" s="11">
        <v>1.77</v>
      </c>
      <c r="K2300" s="12"/>
      <c r="L2300" s="12"/>
      <c r="M2300" s="12"/>
      <c r="N2300" s="12"/>
      <c r="O2300" s="12"/>
      <c r="P2300" s="12"/>
      <c r="Q2300" s="12"/>
      <c r="R2300" s="12"/>
      <c r="S2300" s="12"/>
    </row>
    <row r="2301" spans="1:19" ht="14.25" customHeight="1" x14ac:dyDescent="0.2">
      <c r="A2301" s="1" t="s">
        <v>42</v>
      </c>
      <c r="B2301" s="7">
        <v>46101.885439814818</v>
      </c>
      <c r="C2301" s="7">
        <v>46101.912928240738</v>
      </c>
      <c r="D2301" s="8">
        <v>46101</v>
      </c>
      <c r="E2301" s="9">
        <v>0.91292824073752854</v>
      </c>
      <c r="F2301" s="10" t="s">
        <v>2582</v>
      </c>
      <c r="G2301" s="10" t="s">
        <v>44</v>
      </c>
      <c r="H2301" s="10" t="s">
        <v>50</v>
      </c>
      <c r="I2301" s="10" t="s">
        <v>23</v>
      </c>
      <c r="J2301" s="11">
        <v>0.18</v>
      </c>
      <c r="K2301" s="12"/>
      <c r="L2301" s="12"/>
      <c r="M2301" s="12"/>
      <c r="N2301" s="12"/>
      <c r="O2301" s="12"/>
      <c r="P2301" s="12"/>
      <c r="Q2301" s="12"/>
      <c r="R2301" s="12"/>
      <c r="S2301" s="12"/>
    </row>
    <row r="2302" spans="1:19" ht="14.25" customHeight="1" x14ac:dyDescent="0.2">
      <c r="A2302" s="1" t="s">
        <v>57</v>
      </c>
      <c r="B2302" s="7">
        <v>46101.906759259262</v>
      </c>
      <c r="C2302" s="7">
        <v>46101.913263888891</v>
      </c>
      <c r="D2302" s="8">
        <v>46101</v>
      </c>
      <c r="E2302" s="9">
        <v>0.91326388889137888</v>
      </c>
      <c r="F2302" s="10" t="s">
        <v>2583</v>
      </c>
      <c r="G2302" s="10" t="s">
        <v>21</v>
      </c>
      <c r="H2302" s="10" t="s">
        <v>133</v>
      </c>
      <c r="I2302" s="10" t="s">
        <v>23</v>
      </c>
      <c r="J2302" s="11">
        <v>0.98</v>
      </c>
      <c r="K2302" s="12"/>
      <c r="L2302" s="12"/>
      <c r="M2302" s="12"/>
      <c r="N2302" s="12"/>
      <c r="O2302" s="12"/>
      <c r="P2302" s="12"/>
      <c r="Q2302" s="12"/>
      <c r="R2302" s="12"/>
      <c r="S2302" s="12"/>
    </row>
    <row r="2303" spans="1:19" ht="14.25" customHeight="1" x14ac:dyDescent="0.2">
      <c r="A2303" s="22" t="s">
        <v>19</v>
      </c>
      <c r="B2303" s="23">
        <v>46101.749756944446</v>
      </c>
      <c r="C2303" s="23">
        <v>46101.919965277775</v>
      </c>
      <c r="D2303" s="24">
        <v>46101</v>
      </c>
      <c r="E2303" s="25">
        <v>0.91996527777519077</v>
      </c>
      <c r="F2303" s="22" t="s">
        <v>2584</v>
      </c>
      <c r="G2303" s="22" t="s">
        <v>180</v>
      </c>
      <c r="H2303" s="22" t="s">
        <v>389</v>
      </c>
      <c r="I2303" s="22" t="s">
        <v>583</v>
      </c>
      <c r="J2303" s="26">
        <v>2.23</v>
      </c>
      <c r="K2303" s="26"/>
      <c r="L2303" s="26">
        <f>SUM(J2303:J2313)</f>
        <v>13.88</v>
      </c>
      <c r="M2303" s="13">
        <f>L2303*65</f>
        <v>902.2</v>
      </c>
      <c r="N2303" s="14">
        <f>MAX(500,M2303)</f>
        <v>902.2</v>
      </c>
      <c r="O2303" s="26"/>
      <c r="P2303" s="26"/>
      <c r="Q2303" s="26"/>
      <c r="R2303" s="26"/>
      <c r="S2303" s="26"/>
    </row>
    <row r="2304" spans="1:19" ht="14.25" customHeight="1" x14ac:dyDescent="0.2">
      <c r="A2304" s="1" t="s">
        <v>24</v>
      </c>
      <c r="B2304" s="7">
        <v>46101.90829861111</v>
      </c>
      <c r="C2304" s="7">
        <v>46101.924733796295</v>
      </c>
      <c r="D2304" s="8">
        <v>46101</v>
      </c>
      <c r="E2304" s="9">
        <v>0.92473379629518604</v>
      </c>
      <c r="F2304" s="10" t="s">
        <v>2585</v>
      </c>
      <c r="G2304" s="10" t="s">
        <v>21</v>
      </c>
      <c r="H2304" s="10" t="s">
        <v>22</v>
      </c>
      <c r="I2304" s="10" t="s">
        <v>23</v>
      </c>
      <c r="J2304" s="11">
        <v>0.83</v>
      </c>
      <c r="K2304" s="12"/>
      <c r="L2304" s="12"/>
      <c r="M2304" s="12"/>
      <c r="N2304" s="12"/>
      <c r="O2304" s="12"/>
      <c r="P2304" s="12"/>
      <c r="Q2304" s="12"/>
      <c r="R2304" s="12"/>
      <c r="S2304" s="12"/>
    </row>
    <row r="2305" spans="1:19" ht="14.25" customHeight="1" x14ac:dyDescent="0.2">
      <c r="A2305" s="1" t="s">
        <v>33</v>
      </c>
      <c r="B2305" s="7">
        <v>46101.915011574078</v>
      </c>
      <c r="C2305" s="7">
        <v>46101.927766203706</v>
      </c>
      <c r="D2305" s="8">
        <v>46101</v>
      </c>
      <c r="E2305" s="9">
        <v>0.92776620370568708</v>
      </c>
      <c r="F2305" s="10" t="s">
        <v>2586</v>
      </c>
      <c r="G2305" s="10" t="s">
        <v>21</v>
      </c>
      <c r="H2305" s="10" t="s">
        <v>2432</v>
      </c>
      <c r="I2305" s="10" t="s">
        <v>23</v>
      </c>
      <c r="J2305" s="11">
        <v>1.77</v>
      </c>
      <c r="K2305" s="12"/>
      <c r="L2305" s="12"/>
      <c r="M2305" s="12"/>
      <c r="N2305" s="12"/>
      <c r="O2305" s="12"/>
      <c r="P2305" s="12"/>
      <c r="Q2305" s="12"/>
      <c r="R2305" s="12"/>
      <c r="S2305" s="12"/>
    </row>
    <row r="2306" spans="1:19" ht="14.25" customHeight="1" x14ac:dyDescent="0.2">
      <c r="A2306" s="1" t="s">
        <v>28</v>
      </c>
      <c r="B2306" s="7">
        <v>46101.919108796297</v>
      </c>
      <c r="C2306" s="7">
        <v>46101.934421296297</v>
      </c>
      <c r="D2306" s="8">
        <v>46101</v>
      </c>
      <c r="E2306" s="9">
        <v>0.93442129629693227</v>
      </c>
      <c r="F2306" s="10" t="s">
        <v>2587</v>
      </c>
      <c r="G2306" s="10" t="s">
        <v>26</v>
      </c>
      <c r="H2306" s="10" t="s">
        <v>128</v>
      </c>
      <c r="I2306" s="10" t="s">
        <v>23</v>
      </c>
      <c r="J2306" s="11">
        <v>0.97</v>
      </c>
      <c r="K2306" s="12"/>
      <c r="L2306" s="12"/>
      <c r="M2306" s="12"/>
      <c r="N2306" s="12"/>
      <c r="O2306" s="12"/>
      <c r="P2306" s="12"/>
      <c r="Q2306" s="12"/>
      <c r="R2306" s="12"/>
      <c r="S2306" s="12"/>
    </row>
    <row r="2307" spans="1:19" ht="14.25" customHeight="1" x14ac:dyDescent="0.2">
      <c r="A2307" s="1" t="s">
        <v>57</v>
      </c>
      <c r="B2307" s="7">
        <v>46101.926724537036</v>
      </c>
      <c r="C2307" s="7">
        <v>46101.938414351855</v>
      </c>
      <c r="D2307" s="8">
        <v>46101</v>
      </c>
      <c r="E2307" s="9">
        <v>0.93841435185458977</v>
      </c>
      <c r="F2307" s="10" t="s">
        <v>2588</v>
      </c>
      <c r="G2307" s="10" t="s">
        <v>21</v>
      </c>
      <c r="H2307" s="10" t="s">
        <v>303</v>
      </c>
      <c r="I2307" s="10" t="s">
        <v>23</v>
      </c>
      <c r="J2307" s="11">
        <v>1.77</v>
      </c>
      <c r="K2307" s="12"/>
      <c r="L2307" s="12"/>
      <c r="M2307" s="12"/>
      <c r="N2307" s="12"/>
      <c r="O2307" s="12"/>
      <c r="P2307" s="12"/>
      <c r="Q2307" s="12"/>
      <c r="R2307" s="12"/>
      <c r="S2307" s="12"/>
    </row>
    <row r="2308" spans="1:19" ht="14.25" customHeight="1" x14ac:dyDescent="0.2">
      <c r="A2308" s="1" t="s">
        <v>24</v>
      </c>
      <c r="B2308" s="7">
        <v>46101.901967592596</v>
      </c>
      <c r="C2308" s="7">
        <v>46101.938680555555</v>
      </c>
      <c r="D2308" s="8">
        <v>46101</v>
      </c>
      <c r="E2308" s="9">
        <v>0.93868055555503815</v>
      </c>
      <c r="F2308" s="10" t="s">
        <v>2589</v>
      </c>
      <c r="G2308" s="10" t="s">
        <v>26</v>
      </c>
      <c r="H2308" s="10" t="s">
        <v>86</v>
      </c>
      <c r="I2308" s="10" t="s">
        <v>23</v>
      </c>
      <c r="J2308" s="11">
        <v>0.88</v>
      </c>
      <c r="K2308" s="12"/>
      <c r="L2308" s="12"/>
      <c r="M2308" s="12"/>
      <c r="N2308" s="12"/>
      <c r="O2308" s="12"/>
      <c r="P2308" s="12"/>
      <c r="Q2308" s="12"/>
      <c r="R2308" s="12"/>
      <c r="S2308" s="12"/>
    </row>
    <row r="2309" spans="1:19" ht="14.25" customHeight="1" x14ac:dyDescent="0.2">
      <c r="A2309" s="1" t="s">
        <v>33</v>
      </c>
      <c r="B2309" s="7">
        <v>46101.927870370368</v>
      </c>
      <c r="C2309" s="7">
        <v>46101.939791666664</v>
      </c>
      <c r="D2309" s="8">
        <v>46101</v>
      </c>
      <c r="E2309" s="9">
        <v>0.93979166666395031</v>
      </c>
      <c r="F2309" s="10" t="s">
        <v>2590</v>
      </c>
      <c r="G2309" s="10" t="s">
        <v>21</v>
      </c>
      <c r="H2309" s="10" t="s">
        <v>22</v>
      </c>
      <c r="I2309" s="10" t="s">
        <v>23</v>
      </c>
      <c r="J2309" s="11">
        <v>0.83</v>
      </c>
      <c r="K2309" s="12"/>
      <c r="L2309" s="12"/>
      <c r="M2309" s="12"/>
      <c r="N2309" s="12"/>
      <c r="O2309" s="12"/>
      <c r="P2309" s="12"/>
      <c r="Q2309" s="12"/>
      <c r="R2309" s="12"/>
      <c r="S2309" s="12"/>
    </row>
    <row r="2310" spans="1:19" ht="14.25" customHeight="1" x14ac:dyDescent="0.2">
      <c r="A2310" s="1" t="s">
        <v>24</v>
      </c>
      <c r="B2310" s="7">
        <v>46101.909953703704</v>
      </c>
      <c r="C2310" s="7">
        <v>46101.941192129627</v>
      </c>
      <c r="D2310" s="8">
        <v>46101</v>
      </c>
      <c r="E2310" s="9">
        <v>0.94119212962687016</v>
      </c>
      <c r="F2310" s="10" t="s">
        <v>2591</v>
      </c>
      <c r="G2310" s="10" t="s">
        <v>26</v>
      </c>
      <c r="H2310" s="10" t="s">
        <v>1367</v>
      </c>
      <c r="I2310" s="10" t="s">
        <v>23</v>
      </c>
      <c r="J2310" s="11">
        <v>0.49</v>
      </c>
      <c r="K2310" s="12"/>
      <c r="L2310" s="12"/>
      <c r="M2310" s="12"/>
      <c r="N2310" s="12"/>
      <c r="O2310" s="12"/>
      <c r="P2310" s="12"/>
      <c r="Q2310" s="12"/>
      <c r="R2310" s="12"/>
      <c r="S2310" s="12"/>
    </row>
    <row r="2311" spans="1:19" ht="14.25" customHeight="1" x14ac:dyDescent="0.2">
      <c r="A2311" s="22" t="s">
        <v>19</v>
      </c>
      <c r="B2311" s="23">
        <v>46101.749756944446</v>
      </c>
      <c r="C2311" s="23">
        <v>46101.944178240738</v>
      </c>
      <c r="D2311" s="24">
        <v>46101</v>
      </c>
      <c r="E2311" s="25">
        <v>0.94417824073752854</v>
      </c>
      <c r="F2311" s="22" t="s">
        <v>2592</v>
      </c>
      <c r="G2311" s="22" t="s">
        <v>180</v>
      </c>
      <c r="H2311" s="22" t="s">
        <v>385</v>
      </c>
      <c r="I2311" s="22" t="s">
        <v>583</v>
      </c>
      <c r="J2311" s="26">
        <v>2.23</v>
      </c>
      <c r="K2311" s="26"/>
      <c r="L2311" s="26"/>
      <c r="M2311" s="26"/>
      <c r="N2311" s="26"/>
      <c r="O2311" s="26"/>
      <c r="P2311" s="26"/>
      <c r="Q2311" s="26"/>
      <c r="R2311" s="26"/>
      <c r="S2311" s="26"/>
    </row>
    <row r="2312" spans="1:19" ht="14.25" customHeight="1" x14ac:dyDescent="0.2">
      <c r="A2312" s="1" t="s">
        <v>24</v>
      </c>
      <c r="B2312" s="7">
        <v>46101.933252314811</v>
      </c>
      <c r="C2312" s="7">
        <v>46101.954259259262</v>
      </c>
      <c r="D2312" s="8">
        <v>46101</v>
      </c>
      <c r="E2312" s="9">
        <v>0.95425925926247146</v>
      </c>
      <c r="F2312" s="10" t="s">
        <v>2593</v>
      </c>
      <c r="G2312" s="10" t="s">
        <v>26</v>
      </c>
      <c r="H2312" s="10" t="s">
        <v>1347</v>
      </c>
      <c r="I2312" s="10" t="s">
        <v>23</v>
      </c>
      <c r="J2312" s="11">
        <v>0.44</v>
      </c>
      <c r="K2312" s="12"/>
      <c r="L2312" s="12"/>
      <c r="M2312" s="12"/>
      <c r="N2312" s="12"/>
      <c r="O2312" s="12"/>
      <c r="P2312" s="12"/>
      <c r="Q2312" s="12"/>
      <c r="R2312" s="12"/>
      <c r="S2312" s="12"/>
    </row>
    <row r="2313" spans="1:19" ht="14.25" customHeight="1" x14ac:dyDescent="0.2">
      <c r="A2313" s="1" t="s">
        <v>19</v>
      </c>
      <c r="B2313" s="7">
        <v>46101.913912037038</v>
      </c>
      <c r="C2313" s="7">
        <v>46101.955405092594</v>
      </c>
      <c r="D2313" s="8">
        <v>46101</v>
      </c>
      <c r="E2313" s="9">
        <v>0.95540509259444661</v>
      </c>
      <c r="F2313" s="10" t="s">
        <v>2594</v>
      </c>
      <c r="G2313" s="10" t="s">
        <v>180</v>
      </c>
      <c r="H2313" s="10" t="s">
        <v>1016</v>
      </c>
      <c r="I2313" s="10" t="s">
        <v>23</v>
      </c>
      <c r="J2313" s="11">
        <v>1.44</v>
      </c>
      <c r="K2313" s="12"/>
      <c r="L2313" s="12"/>
      <c r="M2313" s="12"/>
      <c r="N2313" s="12"/>
      <c r="O2313" s="12"/>
      <c r="P2313" s="12"/>
      <c r="Q2313" s="12"/>
      <c r="R2313" s="12"/>
      <c r="S2313" s="12"/>
    </row>
    <row r="2314" spans="1:19" ht="14.25" customHeight="1" x14ac:dyDescent="0.2">
      <c r="A2314" s="1" t="s">
        <v>19</v>
      </c>
      <c r="B2314" s="7">
        <v>46101.913912037038</v>
      </c>
      <c r="C2314" s="7">
        <v>46101.961770833332</v>
      </c>
      <c r="D2314" s="8">
        <v>46101</v>
      </c>
      <c r="E2314" s="9">
        <v>0.96177083333168412</v>
      </c>
      <c r="F2314" s="10" t="s">
        <v>2595</v>
      </c>
      <c r="G2314" s="10" t="s">
        <v>180</v>
      </c>
      <c r="H2314" s="10" t="s">
        <v>506</v>
      </c>
      <c r="I2314" s="10" t="s">
        <v>23</v>
      </c>
      <c r="J2314" s="11">
        <v>1.44</v>
      </c>
      <c r="K2314" s="12"/>
      <c r="L2314" s="12">
        <f>SUM(J2314:J2341)</f>
        <v>31.22999999999999</v>
      </c>
      <c r="M2314" s="13">
        <f>L2314*65</f>
        <v>2029.9499999999994</v>
      </c>
      <c r="N2314" s="14">
        <f>MAX(500,M2314)</f>
        <v>2029.9499999999994</v>
      </c>
      <c r="O2314" s="12"/>
      <c r="P2314" s="12"/>
      <c r="Q2314" s="12"/>
      <c r="R2314" s="12"/>
      <c r="S2314" s="12"/>
    </row>
    <row r="2315" spans="1:19" ht="14.25" customHeight="1" x14ac:dyDescent="0.2">
      <c r="A2315" s="1" t="s">
        <v>24</v>
      </c>
      <c r="B2315" s="7">
        <v>46101.947650462964</v>
      </c>
      <c r="C2315" s="7">
        <v>46101.96199074074</v>
      </c>
      <c r="D2315" s="8">
        <v>46101</v>
      </c>
      <c r="E2315" s="9">
        <v>0.96199074073956581</v>
      </c>
      <c r="F2315" s="10" t="s">
        <v>2596</v>
      </c>
      <c r="G2315" s="10" t="s">
        <v>21</v>
      </c>
      <c r="H2315" s="10" t="s">
        <v>22</v>
      </c>
      <c r="I2315" s="10" t="s">
        <v>23</v>
      </c>
      <c r="J2315" s="11">
        <v>0.83</v>
      </c>
      <c r="K2315" s="12"/>
      <c r="L2315" s="12"/>
      <c r="M2315" s="12"/>
      <c r="N2315" s="12"/>
      <c r="O2315" s="12"/>
      <c r="P2315" s="12"/>
      <c r="Q2315" s="12"/>
      <c r="R2315" s="12"/>
      <c r="S2315" s="12"/>
    </row>
    <row r="2316" spans="1:19" ht="14.25" customHeight="1" x14ac:dyDescent="0.2">
      <c r="A2316" s="1" t="s">
        <v>24</v>
      </c>
      <c r="B2316" s="7">
        <v>46101.937916666669</v>
      </c>
      <c r="C2316" s="7">
        <v>46101.962164351855</v>
      </c>
      <c r="D2316" s="8">
        <v>46101</v>
      </c>
      <c r="E2316" s="9">
        <v>0.96216435185488081</v>
      </c>
      <c r="F2316" s="10" t="s">
        <v>2597</v>
      </c>
      <c r="G2316" s="10" t="s">
        <v>21</v>
      </c>
      <c r="H2316" s="10" t="s">
        <v>22</v>
      </c>
      <c r="I2316" s="10" t="s">
        <v>23</v>
      </c>
      <c r="J2316" s="11">
        <v>0.83</v>
      </c>
      <c r="K2316" s="12"/>
      <c r="L2316" s="12"/>
      <c r="M2316" s="12"/>
      <c r="N2316" s="12"/>
      <c r="O2316" s="12"/>
      <c r="P2316" s="12"/>
      <c r="Q2316" s="12"/>
      <c r="R2316" s="12"/>
      <c r="S2316" s="12"/>
    </row>
    <row r="2317" spans="1:19" ht="14.25" customHeight="1" x14ac:dyDescent="0.2">
      <c r="A2317" s="1" t="s">
        <v>19</v>
      </c>
      <c r="B2317" s="7">
        <v>46101.913912037038</v>
      </c>
      <c r="C2317" s="7">
        <v>46101.962812500002</v>
      </c>
      <c r="D2317" s="8">
        <v>46101</v>
      </c>
      <c r="E2317" s="9">
        <v>0.96281250000174623</v>
      </c>
      <c r="F2317" s="10" t="s">
        <v>2598</v>
      </c>
      <c r="G2317" s="10" t="s">
        <v>180</v>
      </c>
      <c r="H2317" s="10" t="s">
        <v>504</v>
      </c>
      <c r="I2317" s="10" t="s">
        <v>23</v>
      </c>
      <c r="J2317" s="11">
        <v>1.44</v>
      </c>
      <c r="K2317" s="12"/>
      <c r="L2317" s="12"/>
      <c r="M2317" s="12"/>
      <c r="N2317" s="12"/>
      <c r="O2317" s="12"/>
      <c r="P2317" s="12"/>
      <c r="Q2317" s="12"/>
      <c r="R2317" s="12"/>
      <c r="S2317" s="12"/>
    </row>
    <row r="2318" spans="1:19" ht="14.25" customHeight="1" x14ac:dyDescent="0.2">
      <c r="A2318" s="1" t="s">
        <v>24</v>
      </c>
      <c r="B2318" s="7">
        <v>46101.937916666669</v>
      </c>
      <c r="C2318" s="7">
        <v>46101.964791666665</v>
      </c>
      <c r="D2318" s="8">
        <v>46101</v>
      </c>
      <c r="E2318" s="9">
        <v>0.9647916666654055</v>
      </c>
      <c r="F2318" s="10" t="s">
        <v>2599</v>
      </c>
      <c r="G2318" s="10" t="s">
        <v>21</v>
      </c>
      <c r="H2318" s="10" t="s">
        <v>399</v>
      </c>
      <c r="I2318" s="10" t="s">
        <v>23</v>
      </c>
      <c r="J2318" s="11">
        <v>3.92</v>
      </c>
      <c r="K2318" s="12"/>
      <c r="L2318" s="12"/>
      <c r="M2318" s="12"/>
      <c r="N2318" s="12"/>
      <c r="O2318" s="12"/>
      <c r="P2318" s="12"/>
      <c r="Q2318" s="12"/>
      <c r="R2318" s="12"/>
      <c r="S2318" s="12"/>
    </row>
    <row r="2319" spans="1:19" ht="14.25" customHeight="1" x14ac:dyDescent="0.2">
      <c r="A2319" s="22" t="s">
        <v>24</v>
      </c>
      <c r="B2319" s="23">
        <v>46101.890682870369</v>
      </c>
      <c r="C2319" s="23">
        <v>46101.96565972222</v>
      </c>
      <c r="D2319" s="24">
        <v>46101</v>
      </c>
      <c r="E2319" s="25">
        <v>0.96565972222015262</v>
      </c>
      <c r="F2319" s="22" t="s">
        <v>2600</v>
      </c>
      <c r="G2319" s="22" t="s">
        <v>180</v>
      </c>
      <c r="H2319" s="22" t="s">
        <v>1182</v>
      </c>
      <c r="I2319" s="22" t="s">
        <v>583</v>
      </c>
      <c r="J2319" s="26">
        <v>1.44</v>
      </c>
      <c r="K2319" s="26"/>
      <c r="L2319" s="26"/>
      <c r="M2319" s="26"/>
      <c r="N2319" s="26"/>
      <c r="O2319" s="26"/>
      <c r="P2319" s="26"/>
      <c r="Q2319" s="26"/>
      <c r="R2319" s="26"/>
      <c r="S2319" s="26"/>
    </row>
    <row r="2320" spans="1:19" ht="14.25" customHeight="1" x14ac:dyDescent="0.2">
      <c r="A2320" s="1" t="s">
        <v>42</v>
      </c>
      <c r="B2320" s="7">
        <v>46101.929814814815</v>
      </c>
      <c r="C2320" s="7">
        <v>46101.966168981482</v>
      </c>
      <c r="D2320" s="8">
        <v>46101</v>
      </c>
      <c r="E2320" s="9">
        <v>0.966168981482042</v>
      </c>
      <c r="F2320" s="10" t="s">
        <v>2601</v>
      </c>
      <c r="G2320" s="10" t="s">
        <v>26</v>
      </c>
      <c r="H2320" s="10" t="s">
        <v>157</v>
      </c>
      <c r="I2320" s="10" t="s">
        <v>23</v>
      </c>
      <c r="J2320" s="11">
        <v>0.73</v>
      </c>
      <c r="K2320" s="12"/>
      <c r="L2320" s="12"/>
      <c r="M2320" s="12"/>
      <c r="N2320" s="12"/>
      <c r="O2320" s="12"/>
      <c r="P2320" s="12"/>
      <c r="Q2320" s="12"/>
      <c r="R2320" s="12"/>
      <c r="S2320" s="12"/>
    </row>
    <row r="2321" spans="1:19" ht="14.25" customHeight="1" x14ac:dyDescent="0.2">
      <c r="A2321" s="1" t="s">
        <v>19</v>
      </c>
      <c r="B2321" s="7">
        <v>46101.95208333333</v>
      </c>
      <c r="C2321" s="7">
        <v>46101.97179398148</v>
      </c>
      <c r="D2321" s="8">
        <v>46101</v>
      </c>
      <c r="E2321" s="9">
        <v>0.97179398148000473</v>
      </c>
      <c r="F2321" s="10" t="s">
        <v>2602</v>
      </c>
      <c r="G2321" s="10" t="s">
        <v>21</v>
      </c>
      <c r="H2321" s="10" t="s">
        <v>22</v>
      </c>
      <c r="I2321" s="10" t="s">
        <v>23</v>
      </c>
      <c r="J2321" s="11">
        <v>0.83</v>
      </c>
      <c r="K2321" s="12"/>
      <c r="L2321" s="12"/>
      <c r="M2321" s="12"/>
      <c r="N2321" s="12"/>
      <c r="O2321" s="12"/>
      <c r="P2321" s="12"/>
      <c r="Q2321" s="12"/>
      <c r="R2321" s="12"/>
      <c r="S2321" s="12"/>
    </row>
    <row r="2322" spans="1:19" ht="14.25" customHeight="1" x14ac:dyDescent="0.2">
      <c r="A2322" s="1" t="s">
        <v>46</v>
      </c>
      <c r="B2322" s="7">
        <v>46101.963773148149</v>
      </c>
      <c r="C2322" s="7">
        <v>46101.972025462965</v>
      </c>
      <c r="D2322" s="8">
        <v>46101</v>
      </c>
      <c r="E2322" s="9">
        <v>0.97202546296466608</v>
      </c>
      <c r="F2322" s="10" t="s">
        <v>2603</v>
      </c>
      <c r="G2322" s="10" t="s">
        <v>21</v>
      </c>
      <c r="H2322" s="10" t="s">
        <v>22</v>
      </c>
      <c r="I2322" s="10" t="s">
        <v>23</v>
      </c>
      <c r="J2322" s="11">
        <v>0.83</v>
      </c>
      <c r="K2322" s="12"/>
      <c r="L2322" s="12"/>
      <c r="M2322" s="12"/>
      <c r="N2322" s="12"/>
      <c r="O2322" s="12"/>
      <c r="P2322" s="12"/>
      <c r="Q2322" s="12"/>
      <c r="R2322" s="12"/>
      <c r="S2322" s="12"/>
    </row>
    <row r="2323" spans="1:19" ht="14.25" customHeight="1" x14ac:dyDescent="0.2">
      <c r="A2323" s="1" t="s">
        <v>42</v>
      </c>
      <c r="B2323" s="7">
        <v>46101.941481481481</v>
      </c>
      <c r="C2323" s="7">
        <v>46101.97284722222</v>
      </c>
      <c r="D2323" s="8">
        <v>46101</v>
      </c>
      <c r="E2323" s="9">
        <v>0.97284722221957054</v>
      </c>
      <c r="F2323" s="10" t="s">
        <v>2604</v>
      </c>
      <c r="G2323" s="10" t="s">
        <v>26</v>
      </c>
      <c r="H2323" s="10" t="s">
        <v>76</v>
      </c>
      <c r="I2323" s="10" t="s">
        <v>23</v>
      </c>
      <c r="J2323" s="11">
        <v>0.75</v>
      </c>
      <c r="K2323" s="12"/>
      <c r="L2323" s="12"/>
      <c r="M2323" s="12"/>
      <c r="N2323" s="12"/>
      <c r="O2323" s="12"/>
      <c r="P2323" s="12"/>
      <c r="Q2323" s="12"/>
      <c r="R2323" s="12"/>
      <c r="S2323" s="12"/>
    </row>
    <row r="2324" spans="1:19" ht="14.25" customHeight="1" x14ac:dyDescent="0.2">
      <c r="A2324" s="1" t="s">
        <v>95</v>
      </c>
      <c r="B2324" s="7">
        <v>46101.952152777776</v>
      </c>
      <c r="C2324" s="7">
        <v>46101.973912037036</v>
      </c>
      <c r="D2324" s="8">
        <v>46101</v>
      </c>
      <c r="E2324" s="9">
        <v>0.973912037035916</v>
      </c>
      <c r="F2324" s="10" t="s">
        <v>2605</v>
      </c>
      <c r="G2324" s="10" t="s">
        <v>21</v>
      </c>
      <c r="H2324" s="10" t="s">
        <v>97</v>
      </c>
      <c r="I2324" s="10" t="s">
        <v>23</v>
      </c>
      <c r="J2324" s="11">
        <v>1.77</v>
      </c>
      <c r="K2324" s="12"/>
      <c r="L2324" s="12"/>
      <c r="M2324" s="12"/>
      <c r="N2324" s="12"/>
      <c r="O2324" s="12"/>
      <c r="P2324" s="12"/>
      <c r="Q2324" s="12"/>
      <c r="R2324" s="12"/>
      <c r="S2324" s="12"/>
    </row>
    <row r="2325" spans="1:19" ht="14.25" customHeight="1" x14ac:dyDescent="0.2">
      <c r="A2325" s="22" t="s">
        <v>24</v>
      </c>
      <c r="B2325" s="23">
        <v>46101.952384259261</v>
      </c>
      <c r="C2325" s="23">
        <v>46101.974942129629</v>
      </c>
      <c r="D2325" s="24">
        <v>46101</v>
      </c>
      <c r="E2325" s="25">
        <v>0.97494212962919846</v>
      </c>
      <c r="F2325" s="22" t="s">
        <v>2606</v>
      </c>
      <c r="G2325" s="22" t="s">
        <v>21</v>
      </c>
      <c r="H2325" s="22" t="s">
        <v>41</v>
      </c>
      <c r="I2325" s="22" t="s">
        <v>583</v>
      </c>
      <c r="J2325" s="26">
        <v>1.77</v>
      </c>
      <c r="K2325" s="26"/>
      <c r="L2325" s="26"/>
      <c r="M2325" s="26"/>
      <c r="N2325" s="26"/>
      <c r="O2325" s="26"/>
      <c r="P2325" s="26"/>
      <c r="Q2325" s="26"/>
      <c r="R2325" s="26"/>
      <c r="S2325" s="26"/>
    </row>
    <row r="2326" spans="1:19" ht="14.25" customHeight="1" x14ac:dyDescent="0.2">
      <c r="A2326" s="1" t="s">
        <v>24</v>
      </c>
      <c r="B2326" s="7">
        <v>46101.963217592594</v>
      </c>
      <c r="C2326" s="7">
        <v>46101.978125000001</v>
      </c>
      <c r="D2326" s="8">
        <v>46101</v>
      </c>
      <c r="E2326" s="9">
        <v>0.97812500000145519</v>
      </c>
      <c r="F2326" s="10" t="s">
        <v>2607</v>
      </c>
      <c r="G2326" s="10" t="s">
        <v>21</v>
      </c>
      <c r="H2326" s="10" t="s">
        <v>488</v>
      </c>
      <c r="I2326" s="10" t="s">
        <v>23</v>
      </c>
      <c r="J2326" s="11">
        <v>1.1299999999999999</v>
      </c>
      <c r="K2326" s="12"/>
      <c r="L2326" s="12"/>
      <c r="M2326" s="12"/>
      <c r="N2326" s="12"/>
      <c r="O2326" s="12"/>
      <c r="P2326" s="12"/>
      <c r="Q2326" s="12"/>
      <c r="R2326" s="12"/>
      <c r="S2326" s="12"/>
    </row>
    <row r="2327" spans="1:19" ht="14.25" customHeight="1" x14ac:dyDescent="0.2">
      <c r="A2327" s="22" t="s">
        <v>24</v>
      </c>
      <c r="B2327" s="23">
        <v>46101.958564814813</v>
      </c>
      <c r="C2327" s="23">
        <v>46101.981076388889</v>
      </c>
      <c r="D2327" s="24">
        <v>46101</v>
      </c>
      <c r="E2327" s="25">
        <v>0.98107638888905058</v>
      </c>
      <c r="F2327" s="22" t="s">
        <v>2608</v>
      </c>
      <c r="G2327" s="22" t="s">
        <v>21</v>
      </c>
      <c r="H2327" s="22" t="s">
        <v>22</v>
      </c>
      <c r="I2327" s="22" t="s">
        <v>583</v>
      </c>
      <c r="J2327" s="26">
        <v>0.83</v>
      </c>
      <c r="K2327" s="26"/>
      <c r="L2327" s="26"/>
      <c r="M2327" s="26"/>
      <c r="N2327" s="26"/>
      <c r="O2327" s="26"/>
      <c r="P2327" s="26"/>
      <c r="Q2327" s="26"/>
      <c r="R2327" s="26"/>
      <c r="S2327" s="26"/>
    </row>
    <row r="2328" spans="1:19" ht="14.25" customHeight="1" x14ac:dyDescent="0.2">
      <c r="A2328" s="1" t="s">
        <v>42</v>
      </c>
      <c r="B2328" s="7">
        <v>46101.928229166668</v>
      </c>
      <c r="C2328" s="7">
        <v>46101.982893518521</v>
      </c>
      <c r="D2328" s="8">
        <v>46101</v>
      </c>
      <c r="E2328" s="9">
        <v>0.98289351852145046</v>
      </c>
      <c r="F2328" s="10" t="s">
        <v>2609</v>
      </c>
      <c r="G2328" s="10" t="s">
        <v>26</v>
      </c>
      <c r="H2328" s="10" t="s">
        <v>172</v>
      </c>
      <c r="I2328" s="10" t="s">
        <v>23</v>
      </c>
      <c r="J2328" s="11">
        <v>0.67</v>
      </c>
      <c r="K2328" s="12"/>
      <c r="L2328" s="12"/>
      <c r="M2328" s="12"/>
      <c r="N2328" s="12"/>
      <c r="O2328" s="12"/>
      <c r="P2328" s="12"/>
      <c r="Q2328" s="12"/>
      <c r="R2328" s="12"/>
      <c r="S2328" s="12"/>
    </row>
    <row r="2329" spans="1:19" ht="14.25" customHeight="1" x14ac:dyDescent="0.2">
      <c r="A2329" s="1" t="s">
        <v>33</v>
      </c>
      <c r="B2329" s="7">
        <v>46101.946064814816</v>
      </c>
      <c r="C2329" s="7">
        <v>46101.983182870368</v>
      </c>
      <c r="D2329" s="8">
        <v>46101</v>
      </c>
      <c r="E2329" s="9">
        <v>0.98318287036818219</v>
      </c>
      <c r="F2329" s="10" t="s">
        <v>2610</v>
      </c>
      <c r="G2329" s="10" t="s">
        <v>21</v>
      </c>
      <c r="H2329" s="10" t="s">
        <v>22</v>
      </c>
      <c r="I2329" s="10" t="s">
        <v>23</v>
      </c>
      <c r="J2329" s="11">
        <v>0.83</v>
      </c>
      <c r="K2329" s="12"/>
      <c r="L2329" s="12"/>
      <c r="M2329" s="12"/>
      <c r="N2329" s="12"/>
      <c r="O2329" s="12"/>
      <c r="P2329" s="12"/>
      <c r="Q2329" s="12"/>
      <c r="R2329" s="12"/>
      <c r="S2329" s="12"/>
    </row>
    <row r="2330" spans="1:19" ht="14.25" customHeight="1" x14ac:dyDescent="0.2">
      <c r="A2330" s="1" t="s">
        <v>33</v>
      </c>
      <c r="B2330" s="7">
        <v>46101.946064814816</v>
      </c>
      <c r="C2330" s="7">
        <v>46101.983622685184</v>
      </c>
      <c r="D2330" s="8">
        <v>46101</v>
      </c>
      <c r="E2330" s="9">
        <v>0.98362268518394558</v>
      </c>
      <c r="F2330" s="10" t="s">
        <v>2611</v>
      </c>
      <c r="G2330" s="10" t="s">
        <v>21</v>
      </c>
      <c r="H2330" s="10" t="s">
        <v>281</v>
      </c>
      <c r="I2330" s="10" t="s">
        <v>23</v>
      </c>
      <c r="J2330" s="11">
        <v>2.5</v>
      </c>
      <c r="K2330" s="12"/>
      <c r="L2330" s="12"/>
      <c r="M2330" s="12"/>
      <c r="N2330" s="12"/>
      <c r="O2330" s="12"/>
      <c r="P2330" s="12"/>
      <c r="Q2330" s="12"/>
      <c r="R2330" s="12"/>
      <c r="S2330" s="12"/>
    </row>
    <row r="2331" spans="1:19" ht="14.25" customHeight="1" x14ac:dyDescent="0.2">
      <c r="A2331" s="1" t="s">
        <v>19</v>
      </c>
      <c r="B2331" s="7">
        <v>46101.969178240739</v>
      </c>
      <c r="C2331" s="7">
        <v>46101.985092592593</v>
      </c>
      <c r="D2331" s="8">
        <v>46101</v>
      </c>
      <c r="E2331" s="9">
        <v>0.98509259259299142</v>
      </c>
      <c r="F2331" s="10" t="s">
        <v>2612</v>
      </c>
      <c r="G2331" s="10" t="s">
        <v>21</v>
      </c>
      <c r="H2331" s="10" t="s">
        <v>1813</v>
      </c>
      <c r="I2331" s="10" t="s">
        <v>23</v>
      </c>
      <c r="J2331" s="11">
        <v>1.1299999999999999</v>
      </c>
      <c r="K2331" s="12"/>
      <c r="L2331" s="12"/>
      <c r="M2331" s="12"/>
      <c r="N2331" s="12"/>
      <c r="O2331" s="12"/>
      <c r="P2331" s="12"/>
      <c r="Q2331" s="12"/>
      <c r="R2331" s="12"/>
      <c r="S2331" s="12"/>
    </row>
    <row r="2332" spans="1:19" ht="14.25" customHeight="1" x14ac:dyDescent="0.2">
      <c r="A2332" s="1" t="s">
        <v>24</v>
      </c>
      <c r="B2332" s="7">
        <v>46101.960486111115</v>
      </c>
      <c r="C2332" s="7">
        <v>46101.985810185186</v>
      </c>
      <c r="D2332" s="8">
        <v>46101</v>
      </c>
      <c r="E2332" s="9">
        <v>0.98581018518598285</v>
      </c>
      <c r="F2332" s="10" t="s">
        <v>2613</v>
      </c>
      <c r="G2332" s="10" t="s">
        <v>26</v>
      </c>
      <c r="H2332" s="10" t="s">
        <v>37</v>
      </c>
      <c r="I2332" s="10" t="s">
        <v>23</v>
      </c>
      <c r="J2332" s="11">
        <v>0.88</v>
      </c>
      <c r="K2332" s="12"/>
      <c r="L2332" s="12"/>
      <c r="M2332" s="12"/>
      <c r="N2332" s="12"/>
      <c r="O2332" s="12"/>
      <c r="P2332" s="12"/>
      <c r="Q2332" s="12"/>
      <c r="R2332" s="12"/>
      <c r="S2332" s="12"/>
    </row>
    <row r="2333" spans="1:19" ht="14.25" customHeight="1" x14ac:dyDescent="0.2">
      <c r="A2333" s="1" t="s">
        <v>95</v>
      </c>
      <c r="B2333" s="7">
        <v>46101.974641203706</v>
      </c>
      <c r="C2333" s="7">
        <v>46101.986018518517</v>
      </c>
      <c r="D2333" s="8">
        <v>46101</v>
      </c>
      <c r="E2333" s="9">
        <v>0.98601851851708489</v>
      </c>
      <c r="F2333" s="10" t="s">
        <v>2614</v>
      </c>
      <c r="G2333" s="10" t="s">
        <v>21</v>
      </c>
      <c r="H2333" s="10" t="s">
        <v>110</v>
      </c>
      <c r="I2333" s="10" t="s">
        <v>23</v>
      </c>
      <c r="J2333" s="11">
        <v>0.83</v>
      </c>
      <c r="K2333" s="12"/>
      <c r="L2333" s="12"/>
      <c r="M2333" s="12"/>
      <c r="N2333" s="12"/>
      <c r="O2333" s="12"/>
      <c r="P2333" s="12"/>
      <c r="Q2333" s="12"/>
      <c r="R2333" s="12"/>
      <c r="S2333" s="12"/>
    </row>
    <row r="2334" spans="1:19" ht="14.25" customHeight="1" x14ac:dyDescent="0.2">
      <c r="A2334" s="1" t="s">
        <v>95</v>
      </c>
      <c r="B2334" s="7">
        <v>46101.965844907405</v>
      </c>
      <c r="C2334" s="7">
        <v>46101.988333333335</v>
      </c>
      <c r="D2334" s="8">
        <v>46101</v>
      </c>
      <c r="E2334" s="9">
        <v>0.9883333333345945</v>
      </c>
      <c r="F2334" s="10" t="s">
        <v>2615</v>
      </c>
      <c r="G2334" s="10" t="s">
        <v>21</v>
      </c>
      <c r="H2334" s="10" t="s">
        <v>110</v>
      </c>
      <c r="I2334" s="10" t="s">
        <v>23</v>
      </c>
      <c r="J2334" s="11">
        <v>0.83</v>
      </c>
      <c r="K2334" s="12"/>
      <c r="L2334" s="12"/>
      <c r="M2334" s="12"/>
      <c r="N2334" s="12"/>
      <c r="O2334" s="12"/>
      <c r="P2334" s="12"/>
      <c r="Q2334" s="12"/>
      <c r="R2334" s="12"/>
      <c r="S2334" s="12"/>
    </row>
    <row r="2335" spans="1:19" ht="14.25" customHeight="1" x14ac:dyDescent="0.2">
      <c r="A2335" s="22" t="s">
        <v>33</v>
      </c>
      <c r="B2335" s="23">
        <v>46101.955601851849</v>
      </c>
      <c r="C2335" s="23">
        <v>46101.989224537036</v>
      </c>
      <c r="D2335" s="24">
        <v>46101</v>
      </c>
      <c r="E2335" s="25">
        <v>0.98922453703562496</v>
      </c>
      <c r="F2335" s="22" t="s">
        <v>2616</v>
      </c>
      <c r="G2335" s="22" t="s">
        <v>21</v>
      </c>
      <c r="H2335" s="22" t="s">
        <v>39</v>
      </c>
      <c r="I2335" s="22" t="s">
        <v>583</v>
      </c>
      <c r="J2335" s="26">
        <v>1.77</v>
      </c>
      <c r="K2335" s="26"/>
      <c r="L2335" s="26"/>
      <c r="M2335" s="26"/>
      <c r="N2335" s="26"/>
      <c r="O2335" s="26"/>
      <c r="P2335" s="26"/>
      <c r="Q2335" s="26"/>
      <c r="R2335" s="26"/>
      <c r="S2335" s="26"/>
    </row>
    <row r="2336" spans="1:19" ht="14.25" customHeight="1" x14ac:dyDescent="0.2">
      <c r="A2336" s="22" t="s">
        <v>24</v>
      </c>
      <c r="B2336" s="23">
        <v>46101.92019675926</v>
      </c>
      <c r="C2336" s="23">
        <v>46101.992673611108</v>
      </c>
      <c r="D2336" s="24">
        <v>46101</v>
      </c>
      <c r="E2336" s="25">
        <v>0.99267361110833008</v>
      </c>
      <c r="F2336" s="22" t="s">
        <v>2617</v>
      </c>
      <c r="G2336" s="22" t="s">
        <v>44</v>
      </c>
      <c r="H2336" s="22" t="s">
        <v>185</v>
      </c>
      <c r="I2336" s="22" t="s">
        <v>583</v>
      </c>
      <c r="J2336" s="26">
        <v>0.18</v>
      </c>
      <c r="K2336" s="26"/>
      <c r="L2336" s="26"/>
      <c r="M2336" s="26"/>
      <c r="N2336" s="26"/>
      <c r="O2336" s="26"/>
      <c r="P2336" s="26"/>
      <c r="Q2336" s="26"/>
      <c r="R2336" s="26"/>
      <c r="S2336" s="26"/>
    </row>
    <row r="2337" spans="1:19" ht="14.25" customHeight="1" x14ac:dyDescent="0.2">
      <c r="A2337" s="1" t="s">
        <v>19</v>
      </c>
      <c r="B2337" s="7">
        <v>46101.98541666667</v>
      </c>
      <c r="C2337" s="7">
        <v>46101.993020833332</v>
      </c>
      <c r="D2337" s="8">
        <v>46101</v>
      </c>
      <c r="E2337" s="9">
        <v>0.99302083333168412</v>
      </c>
      <c r="F2337" s="10" t="s">
        <v>2618</v>
      </c>
      <c r="G2337" s="10" t="s">
        <v>21</v>
      </c>
      <c r="H2337" s="10" t="s">
        <v>101</v>
      </c>
      <c r="I2337" s="10" t="s">
        <v>23</v>
      </c>
      <c r="J2337" s="11">
        <v>1.7</v>
      </c>
      <c r="K2337" s="12"/>
      <c r="L2337" s="12"/>
      <c r="M2337" s="12"/>
      <c r="N2337" s="12"/>
      <c r="O2337" s="12"/>
      <c r="P2337" s="12"/>
      <c r="Q2337" s="12"/>
      <c r="R2337" s="12"/>
      <c r="S2337" s="12"/>
    </row>
    <row r="2338" spans="1:19" ht="14.25" customHeight="1" x14ac:dyDescent="0.2">
      <c r="A2338" s="22" t="s">
        <v>46</v>
      </c>
      <c r="B2338" s="23">
        <v>46101.959236111114</v>
      </c>
      <c r="C2338" s="23">
        <v>46101.99491898148</v>
      </c>
      <c r="D2338" s="24">
        <v>46101</v>
      </c>
      <c r="E2338" s="25">
        <v>0.99491898147971369</v>
      </c>
      <c r="F2338" s="22" t="s">
        <v>2619</v>
      </c>
      <c r="G2338" s="22" t="s">
        <v>44</v>
      </c>
      <c r="H2338" s="22" t="s">
        <v>185</v>
      </c>
      <c r="I2338" s="22" t="s">
        <v>583</v>
      </c>
      <c r="J2338" s="26">
        <v>0.18</v>
      </c>
      <c r="K2338" s="26"/>
      <c r="L2338" s="26"/>
      <c r="M2338" s="26"/>
      <c r="N2338" s="26"/>
      <c r="O2338" s="26"/>
      <c r="P2338" s="26"/>
      <c r="Q2338" s="26"/>
      <c r="R2338" s="26"/>
      <c r="S2338" s="26"/>
    </row>
    <row r="2339" spans="1:19" ht="14.25" customHeight="1" x14ac:dyDescent="0.2">
      <c r="A2339" s="1" t="s">
        <v>33</v>
      </c>
      <c r="B2339" s="7">
        <v>46101.985682870371</v>
      </c>
      <c r="C2339" s="7">
        <v>46101.996053240742</v>
      </c>
      <c r="D2339" s="8">
        <v>46101</v>
      </c>
      <c r="E2339" s="9">
        <v>0.99605324074218515</v>
      </c>
      <c r="F2339" s="10" t="s">
        <v>2620</v>
      </c>
      <c r="G2339" s="10" t="s">
        <v>21</v>
      </c>
      <c r="H2339" s="10" t="s">
        <v>142</v>
      </c>
      <c r="I2339" s="10" t="s">
        <v>23</v>
      </c>
      <c r="J2339" s="11">
        <v>0.83</v>
      </c>
      <c r="K2339" s="12"/>
      <c r="L2339" s="12"/>
      <c r="M2339" s="12"/>
      <c r="N2339" s="12"/>
      <c r="O2339" s="12"/>
      <c r="P2339" s="12"/>
      <c r="Q2339" s="12"/>
      <c r="R2339" s="12"/>
      <c r="S2339" s="12"/>
    </row>
    <row r="2340" spans="1:19" ht="14.25" customHeight="1" x14ac:dyDescent="0.2">
      <c r="A2340" s="22" t="s">
        <v>24</v>
      </c>
      <c r="B2340" s="23">
        <v>46101.966516203705</v>
      </c>
      <c r="C2340" s="23">
        <v>46101.99763888889</v>
      </c>
      <c r="D2340" s="24">
        <v>46101</v>
      </c>
      <c r="E2340" s="25">
        <v>0.99763888888992369</v>
      </c>
      <c r="F2340" s="22" t="s">
        <v>2621</v>
      </c>
      <c r="G2340" s="22" t="s">
        <v>44</v>
      </c>
      <c r="H2340" s="22" t="s">
        <v>185</v>
      </c>
      <c r="I2340" s="22" t="s">
        <v>583</v>
      </c>
      <c r="J2340" s="26">
        <v>0.18</v>
      </c>
      <c r="K2340" s="26"/>
      <c r="L2340" s="26"/>
      <c r="M2340" s="26"/>
      <c r="N2340" s="26"/>
      <c r="O2340" s="26"/>
      <c r="P2340" s="26"/>
      <c r="Q2340" s="26"/>
      <c r="R2340" s="26"/>
      <c r="S2340" s="26"/>
    </row>
    <row r="2341" spans="1:19" ht="14.25" customHeight="1" x14ac:dyDescent="0.2">
      <c r="A2341" s="22" t="s">
        <v>28</v>
      </c>
      <c r="B2341" s="23">
        <v>46101.935682870368</v>
      </c>
      <c r="C2341" s="23">
        <v>46101.999837962961</v>
      </c>
      <c r="D2341" s="24">
        <v>46101</v>
      </c>
      <c r="E2341" s="25">
        <v>0.99983796296146465</v>
      </c>
      <c r="F2341" s="22" t="s">
        <v>2622</v>
      </c>
      <c r="G2341" s="22" t="s">
        <v>44</v>
      </c>
      <c r="H2341" s="22" t="s">
        <v>185</v>
      </c>
      <c r="I2341" s="22" t="s">
        <v>583</v>
      </c>
      <c r="J2341" s="26">
        <v>0.18</v>
      </c>
      <c r="K2341" s="26"/>
      <c r="L2341" s="26"/>
      <c r="M2341" s="26"/>
      <c r="N2341" s="26"/>
      <c r="O2341" s="26"/>
      <c r="P2341" s="26"/>
      <c r="Q2341" s="26"/>
      <c r="R2341" s="26"/>
      <c r="S2341" s="26"/>
    </row>
    <row r="2342" spans="1:19" ht="14.25" customHeight="1" x14ac:dyDescent="0.2">
      <c r="A2342" s="1" t="s">
        <v>57</v>
      </c>
      <c r="B2342" s="7">
        <v>46101.944386574076</v>
      </c>
      <c r="C2342" s="7">
        <v>46102.001111111109</v>
      </c>
      <c r="D2342" s="8">
        <v>46102</v>
      </c>
      <c r="E2342" s="9">
        <v>1.111111108912155E-3</v>
      </c>
      <c r="F2342" s="10" t="s">
        <v>2623</v>
      </c>
      <c r="G2342" s="10" t="s">
        <v>26</v>
      </c>
      <c r="H2342" s="10" t="s">
        <v>2245</v>
      </c>
      <c r="I2342" s="10" t="s">
        <v>23</v>
      </c>
      <c r="J2342" s="11">
        <v>0.67</v>
      </c>
      <c r="K2342" s="12"/>
      <c r="L2342" s="12">
        <f>SUM(J2342:J2360)</f>
        <v>20.95</v>
      </c>
      <c r="M2342" s="13">
        <f>L2342*65</f>
        <v>1361.75</v>
      </c>
      <c r="N2342" s="14">
        <f>MAX(500,M2342)</f>
        <v>1361.75</v>
      </c>
      <c r="O2342" s="12"/>
      <c r="P2342" s="12"/>
      <c r="Q2342" s="12"/>
      <c r="R2342" s="12"/>
      <c r="S2342" s="12"/>
    </row>
    <row r="2343" spans="1:19" ht="14.25" customHeight="1" x14ac:dyDescent="0.2">
      <c r="A2343" s="22" t="s">
        <v>19</v>
      </c>
      <c r="B2343" s="23">
        <v>46101.956944444442</v>
      </c>
      <c r="C2343" s="23">
        <v>46102.001979166664</v>
      </c>
      <c r="D2343" s="24">
        <v>46102</v>
      </c>
      <c r="E2343" s="25">
        <v>1.9791666636592709E-3</v>
      </c>
      <c r="F2343" s="22" t="s">
        <v>2624</v>
      </c>
      <c r="G2343" s="22" t="s">
        <v>44</v>
      </c>
      <c r="H2343" s="22" t="s">
        <v>185</v>
      </c>
      <c r="I2343" s="22" t="s">
        <v>583</v>
      </c>
      <c r="J2343" s="26">
        <v>0.18</v>
      </c>
      <c r="K2343" s="26"/>
      <c r="L2343" s="26"/>
      <c r="M2343" s="26"/>
      <c r="N2343" s="26"/>
      <c r="O2343" s="26"/>
      <c r="P2343" s="26"/>
      <c r="Q2343" s="26"/>
      <c r="R2343" s="26"/>
      <c r="S2343" s="26"/>
    </row>
    <row r="2344" spans="1:19" ht="14.25" customHeight="1" x14ac:dyDescent="0.2">
      <c r="A2344" s="1" t="s">
        <v>24</v>
      </c>
      <c r="B2344" s="7">
        <v>46101.992118055554</v>
      </c>
      <c r="C2344" s="7">
        <v>46102.006666666668</v>
      </c>
      <c r="D2344" s="8">
        <v>46102</v>
      </c>
      <c r="E2344" s="9">
        <v>6.6666666680248454E-3</v>
      </c>
      <c r="F2344" s="10" t="s">
        <v>2625</v>
      </c>
      <c r="G2344" s="10" t="s">
        <v>21</v>
      </c>
      <c r="H2344" s="10" t="s">
        <v>41</v>
      </c>
      <c r="I2344" s="10" t="s">
        <v>23</v>
      </c>
      <c r="J2344" s="11">
        <v>1.77</v>
      </c>
      <c r="K2344" s="12"/>
      <c r="L2344" s="12"/>
      <c r="M2344" s="12"/>
      <c r="N2344" s="12"/>
      <c r="O2344" s="12"/>
      <c r="P2344" s="12"/>
      <c r="Q2344" s="12"/>
      <c r="R2344" s="12"/>
      <c r="S2344" s="12"/>
    </row>
    <row r="2345" spans="1:19" ht="14.25" customHeight="1" x14ac:dyDescent="0.2">
      <c r="A2345" s="1" t="s">
        <v>24</v>
      </c>
      <c r="B2345" s="7">
        <v>46101.977592592593</v>
      </c>
      <c r="C2345" s="7">
        <v>46102.007337962961</v>
      </c>
      <c r="D2345" s="8">
        <v>46102</v>
      </c>
      <c r="E2345" s="9">
        <v>7.3379629611736163E-3</v>
      </c>
      <c r="F2345" s="10" t="s">
        <v>2626</v>
      </c>
      <c r="G2345" s="10" t="s">
        <v>21</v>
      </c>
      <c r="H2345" s="10" t="s">
        <v>216</v>
      </c>
      <c r="I2345" s="10" t="s">
        <v>23</v>
      </c>
      <c r="J2345" s="11">
        <v>0.98</v>
      </c>
      <c r="K2345" s="12"/>
      <c r="L2345" s="12"/>
      <c r="M2345" s="12"/>
      <c r="N2345" s="12"/>
      <c r="O2345" s="12"/>
      <c r="P2345" s="12"/>
      <c r="Q2345" s="12"/>
      <c r="R2345" s="12"/>
      <c r="S2345" s="12"/>
    </row>
    <row r="2346" spans="1:19" ht="14.25" customHeight="1" x14ac:dyDescent="0.2">
      <c r="A2346" s="1" t="s">
        <v>24</v>
      </c>
      <c r="B2346" s="7">
        <v>46101.985659722224</v>
      </c>
      <c r="C2346" s="7">
        <v>46102.008240740739</v>
      </c>
      <c r="D2346" s="8">
        <v>46102</v>
      </c>
      <c r="E2346" s="9">
        <v>8.2407407389837317E-3</v>
      </c>
      <c r="F2346" s="10" t="s">
        <v>2627</v>
      </c>
      <c r="G2346" s="10" t="s">
        <v>21</v>
      </c>
      <c r="H2346" s="10" t="s">
        <v>39</v>
      </c>
      <c r="I2346" s="10" t="s">
        <v>23</v>
      </c>
      <c r="J2346" s="11">
        <v>1.77</v>
      </c>
      <c r="K2346" s="12"/>
      <c r="L2346" s="12"/>
      <c r="M2346" s="12"/>
      <c r="N2346" s="12"/>
      <c r="O2346" s="12"/>
      <c r="P2346" s="12"/>
      <c r="Q2346" s="12"/>
      <c r="R2346" s="12"/>
      <c r="S2346" s="12"/>
    </row>
    <row r="2347" spans="1:19" ht="14.25" customHeight="1" x14ac:dyDescent="0.2">
      <c r="A2347" s="1" t="s">
        <v>24</v>
      </c>
      <c r="B2347" s="7">
        <v>46101.968576388892</v>
      </c>
      <c r="C2347" s="7">
        <v>46102.009236111109</v>
      </c>
      <c r="D2347" s="8">
        <v>46102</v>
      </c>
      <c r="E2347" s="9">
        <v>9.2361111092031933E-3</v>
      </c>
      <c r="F2347" s="10" t="s">
        <v>2628</v>
      </c>
      <c r="G2347" s="10" t="s">
        <v>21</v>
      </c>
      <c r="H2347" s="10" t="s">
        <v>39</v>
      </c>
      <c r="I2347" s="10" t="s">
        <v>23</v>
      </c>
      <c r="J2347" s="11">
        <v>1.77</v>
      </c>
      <c r="K2347" s="12"/>
      <c r="L2347" s="12"/>
      <c r="M2347" s="12"/>
      <c r="N2347" s="12"/>
      <c r="O2347" s="12"/>
      <c r="P2347" s="12"/>
      <c r="Q2347" s="12"/>
      <c r="R2347" s="12"/>
      <c r="S2347" s="12"/>
    </row>
    <row r="2348" spans="1:19" ht="14.25" customHeight="1" x14ac:dyDescent="0.2">
      <c r="A2348" s="1" t="s">
        <v>95</v>
      </c>
      <c r="B2348" s="7">
        <v>46101.968900462962</v>
      </c>
      <c r="C2348" s="7">
        <v>46102.009756944448</v>
      </c>
      <c r="D2348" s="8">
        <v>46102</v>
      </c>
      <c r="E2348" s="9">
        <v>9.7569444478722289E-3</v>
      </c>
      <c r="F2348" s="10" t="s">
        <v>2629</v>
      </c>
      <c r="G2348" s="10" t="s">
        <v>21</v>
      </c>
      <c r="H2348" s="10" t="s">
        <v>268</v>
      </c>
      <c r="I2348" s="10" t="s">
        <v>23</v>
      </c>
      <c r="J2348" s="11">
        <v>1.35</v>
      </c>
      <c r="K2348" s="12"/>
      <c r="L2348" s="12"/>
      <c r="M2348" s="12"/>
      <c r="N2348" s="12"/>
      <c r="O2348" s="12"/>
      <c r="P2348" s="12"/>
      <c r="Q2348" s="12"/>
      <c r="R2348" s="12"/>
      <c r="S2348" s="12"/>
    </row>
    <row r="2349" spans="1:19" ht="14.25" customHeight="1" x14ac:dyDescent="0.2">
      <c r="A2349" s="22" t="s">
        <v>63</v>
      </c>
      <c r="B2349" s="23">
        <v>46101.987638888888</v>
      </c>
      <c r="C2349" s="23">
        <v>46102.011793981481</v>
      </c>
      <c r="D2349" s="24">
        <v>46102</v>
      </c>
      <c r="E2349" s="25">
        <v>1.1793981480877846E-2</v>
      </c>
      <c r="F2349" s="22" t="s">
        <v>2630</v>
      </c>
      <c r="G2349" s="22" t="s">
        <v>21</v>
      </c>
      <c r="H2349" s="22" t="s">
        <v>1535</v>
      </c>
      <c r="I2349" s="22" t="s">
        <v>583</v>
      </c>
      <c r="J2349" s="26">
        <v>1.7</v>
      </c>
      <c r="K2349" s="26"/>
      <c r="L2349" s="26"/>
      <c r="M2349" s="26"/>
      <c r="N2349" s="26"/>
      <c r="O2349" s="26"/>
      <c r="P2349" s="26"/>
      <c r="Q2349" s="26"/>
      <c r="R2349" s="26"/>
      <c r="S2349" s="26"/>
    </row>
    <row r="2350" spans="1:19" ht="14.25" customHeight="1" x14ac:dyDescent="0.2">
      <c r="A2350" s="22" t="s">
        <v>24</v>
      </c>
      <c r="B2350" s="23">
        <v>46101.977083333331</v>
      </c>
      <c r="C2350" s="23">
        <v>46102.014247685183</v>
      </c>
      <c r="D2350" s="24">
        <v>46102</v>
      </c>
      <c r="E2350" s="25">
        <v>1.4247685183363501E-2</v>
      </c>
      <c r="F2350" s="22" t="s">
        <v>2631</v>
      </c>
      <c r="G2350" s="22" t="s">
        <v>44</v>
      </c>
      <c r="H2350" s="22" t="s">
        <v>185</v>
      </c>
      <c r="I2350" s="22" t="s">
        <v>583</v>
      </c>
      <c r="J2350" s="26">
        <v>0.18</v>
      </c>
      <c r="K2350" s="26"/>
      <c r="L2350" s="26"/>
      <c r="M2350" s="26"/>
      <c r="N2350" s="26"/>
      <c r="O2350" s="26"/>
      <c r="P2350" s="26"/>
      <c r="Q2350" s="26"/>
      <c r="R2350" s="26"/>
      <c r="S2350" s="26"/>
    </row>
    <row r="2351" spans="1:19" ht="14.25" customHeight="1" x14ac:dyDescent="0.2">
      <c r="A2351" s="22" t="s">
        <v>46</v>
      </c>
      <c r="B2351" s="23">
        <v>46101.910185185188</v>
      </c>
      <c r="C2351" s="23">
        <v>46102.016226851854</v>
      </c>
      <c r="D2351" s="24">
        <v>46102</v>
      </c>
      <c r="E2351" s="25">
        <v>1.6226851854298729E-2</v>
      </c>
      <c r="F2351" s="22" t="s">
        <v>2632</v>
      </c>
      <c r="G2351" s="22" t="s">
        <v>44</v>
      </c>
      <c r="H2351" s="22" t="s">
        <v>185</v>
      </c>
      <c r="I2351" s="22" t="s">
        <v>583</v>
      </c>
      <c r="J2351" s="26">
        <v>0.18</v>
      </c>
      <c r="K2351" s="26"/>
      <c r="L2351" s="26"/>
      <c r="M2351" s="26"/>
      <c r="N2351" s="26"/>
      <c r="O2351" s="26"/>
      <c r="P2351" s="26"/>
      <c r="Q2351" s="26"/>
      <c r="R2351" s="26"/>
      <c r="S2351" s="26"/>
    </row>
    <row r="2352" spans="1:19" ht="14.25" customHeight="1" x14ac:dyDescent="0.2">
      <c r="A2352" s="22" t="s">
        <v>33</v>
      </c>
      <c r="B2352" s="23">
        <v>46101.919791666667</v>
      </c>
      <c r="C2352" s="23">
        <v>46102.018506944441</v>
      </c>
      <c r="D2352" s="24">
        <v>46102</v>
      </c>
      <c r="E2352" s="25">
        <v>1.8506944441469386E-2</v>
      </c>
      <c r="F2352" s="22" t="s">
        <v>2633</v>
      </c>
      <c r="G2352" s="22" t="s">
        <v>44</v>
      </c>
      <c r="H2352" s="22" t="s">
        <v>185</v>
      </c>
      <c r="I2352" s="22" t="s">
        <v>583</v>
      </c>
      <c r="J2352" s="26">
        <v>0.18</v>
      </c>
      <c r="K2352" s="26"/>
      <c r="L2352" s="26"/>
      <c r="M2352" s="26"/>
      <c r="N2352" s="26"/>
      <c r="O2352" s="26"/>
      <c r="P2352" s="26"/>
      <c r="Q2352" s="26"/>
      <c r="R2352" s="26"/>
      <c r="S2352" s="26"/>
    </row>
    <row r="2353" spans="1:19" ht="14.25" customHeight="1" x14ac:dyDescent="0.2">
      <c r="A2353" s="1" t="s">
        <v>24</v>
      </c>
      <c r="B2353" s="7">
        <v>46101.998935185184</v>
      </c>
      <c r="C2353" s="7">
        <v>46102.020821759259</v>
      </c>
      <c r="D2353" s="8">
        <v>46102</v>
      </c>
      <c r="E2353" s="9">
        <v>2.0821759258979E-2</v>
      </c>
      <c r="F2353" s="10" t="s">
        <v>2634</v>
      </c>
      <c r="G2353" s="10" t="s">
        <v>21</v>
      </c>
      <c r="H2353" s="10" t="s">
        <v>467</v>
      </c>
      <c r="I2353" s="10" t="s">
        <v>23</v>
      </c>
      <c r="J2353" s="11">
        <v>2.75</v>
      </c>
      <c r="K2353" s="12"/>
      <c r="L2353" s="12"/>
      <c r="M2353" s="12"/>
      <c r="N2353" s="12"/>
      <c r="O2353" s="12"/>
      <c r="P2353" s="12"/>
      <c r="Q2353" s="12"/>
      <c r="R2353" s="12"/>
      <c r="S2353" s="12"/>
    </row>
    <row r="2354" spans="1:19" ht="14.25" customHeight="1" x14ac:dyDescent="0.2">
      <c r="A2354" s="1" t="s">
        <v>42</v>
      </c>
      <c r="B2354" s="7">
        <v>46102.002881944441</v>
      </c>
      <c r="C2354" s="7">
        <v>46102.021180555559</v>
      </c>
      <c r="D2354" s="8">
        <v>46102</v>
      </c>
      <c r="E2354" s="9">
        <v>2.118055555911269E-2</v>
      </c>
      <c r="F2354" s="10" t="s">
        <v>2635</v>
      </c>
      <c r="G2354" s="10" t="s">
        <v>26</v>
      </c>
      <c r="H2354" s="10" t="s">
        <v>125</v>
      </c>
      <c r="I2354" s="10" t="s">
        <v>23</v>
      </c>
      <c r="J2354" s="11">
        <v>0.63</v>
      </c>
      <c r="K2354" s="12"/>
      <c r="L2354" s="12"/>
      <c r="M2354" s="12"/>
      <c r="N2354" s="12"/>
      <c r="O2354" s="12"/>
      <c r="P2354" s="12"/>
      <c r="Q2354" s="12"/>
      <c r="R2354" s="12"/>
      <c r="S2354" s="12"/>
    </row>
    <row r="2355" spans="1:19" ht="14.25" customHeight="1" x14ac:dyDescent="0.2">
      <c r="A2355" s="1" t="s">
        <v>95</v>
      </c>
      <c r="B2355" s="7">
        <v>46101.998622685183</v>
      </c>
      <c r="C2355" s="7">
        <v>46102.029467592591</v>
      </c>
      <c r="D2355" s="8">
        <v>46102</v>
      </c>
      <c r="E2355" s="9">
        <v>2.9467592590663116E-2</v>
      </c>
      <c r="F2355" s="10" t="s">
        <v>2636</v>
      </c>
      <c r="G2355" s="10" t="s">
        <v>21</v>
      </c>
      <c r="H2355" s="10" t="s">
        <v>110</v>
      </c>
      <c r="I2355" s="10" t="s">
        <v>23</v>
      </c>
      <c r="J2355" s="11">
        <v>0.83</v>
      </c>
      <c r="K2355" s="12"/>
      <c r="L2355" s="12"/>
      <c r="M2355" s="12"/>
      <c r="N2355" s="12"/>
      <c r="O2355" s="12"/>
      <c r="P2355" s="12"/>
      <c r="Q2355" s="12"/>
      <c r="R2355" s="12"/>
      <c r="S2355" s="12"/>
    </row>
    <row r="2356" spans="1:19" ht="14.25" customHeight="1" x14ac:dyDescent="0.2">
      <c r="A2356" s="1" t="s">
        <v>63</v>
      </c>
      <c r="B2356" s="7">
        <v>46102.007881944446</v>
      </c>
      <c r="C2356" s="7">
        <v>46102.029768518521</v>
      </c>
      <c r="D2356" s="8">
        <v>46102</v>
      </c>
      <c r="E2356" s="9">
        <v>2.976851852145046E-2</v>
      </c>
      <c r="F2356" s="10" t="s">
        <v>2637</v>
      </c>
      <c r="G2356" s="10" t="s">
        <v>21</v>
      </c>
      <c r="H2356" s="10" t="s">
        <v>110</v>
      </c>
      <c r="I2356" s="10" t="s">
        <v>23</v>
      </c>
      <c r="J2356" s="11">
        <v>0.83</v>
      </c>
      <c r="K2356" s="12"/>
      <c r="L2356" s="12"/>
      <c r="M2356" s="12"/>
      <c r="N2356" s="12"/>
      <c r="O2356" s="12"/>
      <c r="P2356" s="12"/>
      <c r="Q2356" s="12"/>
      <c r="R2356" s="12"/>
      <c r="S2356" s="12"/>
    </row>
    <row r="2357" spans="1:19" ht="14.25" customHeight="1" x14ac:dyDescent="0.2">
      <c r="A2357" s="1" t="s">
        <v>63</v>
      </c>
      <c r="B2357" s="7">
        <v>46102.009085648147</v>
      </c>
      <c r="C2357" s="7">
        <v>46102.030092592591</v>
      </c>
      <c r="D2357" s="8">
        <v>46102</v>
      </c>
      <c r="E2357" s="9">
        <v>3.0092592591245193E-2</v>
      </c>
      <c r="F2357" s="10" t="s">
        <v>2638</v>
      </c>
      <c r="G2357" s="10" t="s">
        <v>21</v>
      </c>
      <c r="H2357" s="10" t="s">
        <v>52</v>
      </c>
      <c r="I2357" s="10" t="s">
        <v>23</v>
      </c>
      <c r="J2357" s="11">
        <v>0.98</v>
      </c>
      <c r="K2357" s="12"/>
      <c r="L2357" s="12"/>
      <c r="M2357" s="12"/>
      <c r="N2357" s="12"/>
      <c r="O2357" s="12"/>
      <c r="P2357" s="12"/>
      <c r="Q2357" s="12"/>
      <c r="R2357" s="12"/>
      <c r="S2357" s="12"/>
    </row>
    <row r="2358" spans="1:19" ht="14.25" customHeight="1" x14ac:dyDescent="0.2">
      <c r="A2358" s="1" t="s">
        <v>24</v>
      </c>
      <c r="B2358" s="7">
        <v>46102.010381944441</v>
      </c>
      <c r="C2358" s="7">
        <v>46102.031041666669</v>
      </c>
      <c r="D2358" s="8">
        <v>46102</v>
      </c>
      <c r="E2358" s="9">
        <v>3.104166666889796E-2</v>
      </c>
      <c r="F2358" s="10" t="s">
        <v>2639</v>
      </c>
      <c r="G2358" s="10" t="s">
        <v>26</v>
      </c>
      <c r="H2358" s="10" t="s">
        <v>56</v>
      </c>
      <c r="I2358" s="10" t="s">
        <v>23</v>
      </c>
      <c r="J2358" s="11">
        <v>0.73</v>
      </c>
      <c r="K2358" s="12"/>
      <c r="L2358" s="12"/>
      <c r="M2358" s="12"/>
      <c r="N2358" s="12"/>
      <c r="O2358" s="12"/>
      <c r="P2358" s="12"/>
      <c r="Q2358" s="12"/>
      <c r="R2358" s="12"/>
      <c r="S2358" s="12"/>
    </row>
    <row r="2359" spans="1:19" ht="14.25" customHeight="1" x14ac:dyDescent="0.2">
      <c r="A2359" s="22" t="s">
        <v>46</v>
      </c>
      <c r="B2359" s="23">
        <v>46102.006620370368</v>
      </c>
      <c r="C2359" s="23">
        <v>46102.032314814816</v>
      </c>
      <c r="D2359" s="24">
        <v>46102</v>
      </c>
      <c r="E2359" s="25">
        <v>3.2314814816345461E-2</v>
      </c>
      <c r="F2359" s="22" t="s">
        <v>2640</v>
      </c>
      <c r="G2359" s="22" t="s">
        <v>21</v>
      </c>
      <c r="H2359" s="22" t="s">
        <v>101</v>
      </c>
      <c r="I2359" s="22" t="s">
        <v>583</v>
      </c>
      <c r="J2359" s="26">
        <v>1.7</v>
      </c>
      <c r="K2359" s="26"/>
      <c r="L2359" s="26"/>
      <c r="M2359" s="26"/>
      <c r="N2359" s="26"/>
      <c r="O2359" s="26"/>
      <c r="P2359" s="26"/>
      <c r="Q2359" s="26"/>
      <c r="R2359" s="26"/>
      <c r="S2359" s="26"/>
    </row>
    <row r="2360" spans="1:19" ht="14.25" customHeight="1" x14ac:dyDescent="0.2">
      <c r="A2360" s="1" t="s">
        <v>19</v>
      </c>
      <c r="B2360" s="7">
        <v>46102.021365740744</v>
      </c>
      <c r="C2360" s="7">
        <v>46102.037893518522</v>
      </c>
      <c r="D2360" s="8">
        <v>46102</v>
      </c>
      <c r="E2360" s="9">
        <v>3.7893518521741498E-2</v>
      </c>
      <c r="F2360" s="10" t="s">
        <v>2641</v>
      </c>
      <c r="G2360" s="10" t="s">
        <v>21</v>
      </c>
      <c r="H2360" s="10" t="s">
        <v>41</v>
      </c>
      <c r="I2360" s="10" t="s">
        <v>23</v>
      </c>
      <c r="J2360" s="11">
        <v>1.77</v>
      </c>
      <c r="K2360" s="12"/>
      <c r="L2360" s="12"/>
      <c r="M2360" s="12"/>
      <c r="N2360" s="12"/>
      <c r="O2360" s="12"/>
      <c r="P2360" s="12"/>
      <c r="Q2360" s="12"/>
      <c r="R2360" s="12"/>
      <c r="S2360" s="12"/>
    </row>
    <row r="2361" spans="1:19" ht="14.25" customHeight="1" x14ac:dyDescent="0.2">
      <c r="A2361" s="22" t="s">
        <v>95</v>
      </c>
      <c r="B2361" s="23">
        <v>46101.997777777775</v>
      </c>
      <c r="C2361" s="23">
        <v>46102.047384259262</v>
      </c>
      <c r="D2361" s="24">
        <v>46102</v>
      </c>
      <c r="E2361" s="25">
        <v>4.7384259261889383E-2</v>
      </c>
      <c r="F2361" s="22" t="s">
        <v>2642</v>
      </c>
      <c r="G2361" s="22" t="s">
        <v>21</v>
      </c>
      <c r="H2361" s="22" t="s">
        <v>71</v>
      </c>
      <c r="I2361" s="22" t="s">
        <v>583</v>
      </c>
      <c r="J2361" s="26">
        <v>1.05</v>
      </c>
      <c r="K2361" s="26"/>
      <c r="L2361" s="26">
        <f>SUM(J2361:J2380)</f>
        <v>21.25</v>
      </c>
      <c r="M2361" s="13">
        <f>L2361*65</f>
        <v>1381.25</v>
      </c>
      <c r="N2361" s="14">
        <f>MAX(500,M2361)</f>
        <v>1381.25</v>
      </c>
      <c r="O2361" s="26"/>
      <c r="P2361" s="26"/>
      <c r="Q2361" s="26"/>
      <c r="R2361" s="26"/>
      <c r="S2361" s="26"/>
    </row>
    <row r="2362" spans="1:19" ht="14.25" customHeight="1" x14ac:dyDescent="0.2">
      <c r="A2362" s="1" t="s">
        <v>33</v>
      </c>
      <c r="B2362" s="7">
        <v>46102.010659722226</v>
      </c>
      <c r="C2362" s="7">
        <v>46102.064363425925</v>
      </c>
      <c r="D2362" s="8">
        <v>46102</v>
      </c>
      <c r="E2362" s="9">
        <v>6.4363425924966577E-2</v>
      </c>
      <c r="F2362" s="10" t="s">
        <v>2643</v>
      </c>
      <c r="G2362" s="10" t="s">
        <v>26</v>
      </c>
      <c r="H2362" s="10" t="s">
        <v>205</v>
      </c>
      <c r="I2362" s="10" t="s">
        <v>23</v>
      </c>
      <c r="J2362" s="11">
        <v>0.57999999999999996</v>
      </c>
      <c r="K2362" s="12"/>
      <c r="L2362" s="12"/>
      <c r="M2362" s="12"/>
      <c r="N2362" s="12"/>
      <c r="O2362" s="12"/>
      <c r="P2362" s="12"/>
      <c r="Q2362" s="12"/>
      <c r="R2362" s="12"/>
      <c r="S2362" s="12"/>
    </row>
    <row r="2363" spans="1:19" ht="14.25" customHeight="1" x14ac:dyDescent="0.2">
      <c r="A2363" s="1" t="s">
        <v>95</v>
      </c>
      <c r="B2363" s="7">
        <v>46102.03738425926</v>
      </c>
      <c r="C2363" s="7">
        <v>46102.064768518518</v>
      </c>
      <c r="D2363" s="8">
        <v>46102</v>
      </c>
      <c r="E2363" s="9">
        <v>6.4768518517666962E-2</v>
      </c>
      <c r="F2363" s="10" t="s">
        <v>2644</v>
      </c>
      <c r="G2363" s="10" t="s">
        <v>21</v>
      </c>
      <c r="H2363" s="10" t="s">
        <v>110</v>
      </c>
      <c r="I2363" s="10" t="s">
        <v>23</v>
      </c>
      <c r="J2363" s="11">
        <v>0.83</v>
      </c>
      <c r="K2363" s="12"/>
      <c r="L2363" s="12"/>
      <c r="M2363" s="12"/>
      <c r="N2363" s="12"/>
      <c r="O2363" s="12"/>
      <c r="P2363" s="12"/>
      <c r="Q2363" s="12"/>
      <c r="R2363" s="12"/>
      <c r="S2363" s="12"/>
    </row>
    <row r="2364" spans="1:19" ht="14.25" customHeight="1" x14ac:dyDescent="0.2">
      <c r="A2364" s="1" t="s">
        <v>95</v>
      </c>
      <c r="B2364" s="7">
        <v>46102.03738425926</v>
      </c>
      <c r="C2364" s="7">
        <v>46102.065023148149</v>
      </c>
      <c r="D2364" s="8">
        <v>46102</v>
      </c>
      <c r="E2364" s="9">
        <v>6.5023148148611654E-2</v>
      </c>
      <c r="F2364" s="10" t="s">
        <v>2645</v>
      </c>
      <c r="G2364" s="10" t="s">
        <v>21</v>
      </c>
      <c r="H2364" s="10" t="s">
        <v>52</v>
      </c>
      <c r="I2364" s="10" t="s">
        <v>23</v>
      </c>
      <c r="J2364" s="11">
        <v>0.98</v>
      </c>
      <c r="K2364" s="12"/>
      <c r="L2364" s="12"/>
      <c r="M2364" s="12"/>
      <c r="N2364" s="12"/>
      <c r="O2364" s="12"/>
      <c r="P2364" s="12"/>
      <c r="Q2364" s="12"/>
      <c r="R2364" s="12"/>
      <c r="S2364" s="12"/>
    </row>
    <row r="2365" spans="1:19" ht="14.25" customHeight="1" x14ac:dyDescent="0.2">
      <c r="A2365" s="1" t="s">
        <v>24</v>
      </c>
      <c r="B2365" s="7">
        <v>46102.04787037037</v>
      </c>
      <c r="C2365" s="7">
        <v>46102.065706018519</v>
      </c>
      <c r="D2365" s="8">
        <v>46102</v>
      </c>
      <c r="E2365" s="9">
        <v>6.5706018518540077E-2</v>
      </c>
      <c r="F2365" s="10" t="s">
        <v>2646</v>
      </c>
      <c r="G2365" s="10" t="s">
        <v>21</v>
      </c>
      <c r="H2365" s="10" t="s">
        <v>22</v>
      </c>
      <c r="I2365" s="10" t="s">
        <v>23</v>
      </c>
      <c r="J2365" s="11">
        <v>0.83</v>
      </c>
      <c r="K2365" s="12"/>
      <c r="L2365" s="12"/>
      <c r="M2365" s="12"/>
      <c r="N2365" s="12"/>
      <c r="O2365" s="12"/>
      <c r="P2365" s="12"/>
      <c r="Q2365" s="12"/>
      <c r="R2365" s="12"/>
      <c r="S2365" s="12"/>
    </row>
    <row r="2366" spans="1:19" ht="14.25" customHeight="1" x14ac:dyDescent="0.2">
      <c r="A2366" s="1" t="s">
        <v>95</v>
      </c>
      <c r="B2366" s="7">
        <v>46102.028402777774</v>
      </c>
      <c r="C2366" s="7">
        <v>46102.065995370373</v>
      </c>
      <c r="D2366" s="8">
        <v>46102</v>
      </c>
      <c r="E2366" s="9">
        <v>6.5995370372547768E-2</v>
      </c>
      <c r="F2366" s="10" t="s">
        <v>2647</v>
      </c>
      <c r="G2366" s="10" t="s">
        <v>21</v>
      </c>
      <c r="H2366" s="10" t="s">
        <v>110</v>
      </c>
      <c r="I2366" s="10" t="s">
        <v>23</v>
      </c>
      <c r="J2366" s="11">
        <v>0.83</v>
      </c>
      <c r="K2366" s="12"/>
      <c r="L2366" s="12"/>
      <c r="M2366" s="12"/>
      <c r="N2366" s="12"/>
      <c r="O2366" s="12"/>
      <c r="P2366" s="12"/>
      <c r="Q2366" s="12"/>
      <c r="R2366" s="12"/>
      <c r="S2366" s="12"/>
    </row>
    <row r="2367" spans="1:19" ht="14.25" customHeight="1" x14ac:dyDescent="0.2">
      <c r="A2367" s="1" t="s">
        <v>95</v>
      </c>
      <c r="B2367" s="7">
        <v>46102.028402777774</v>
      </c>
      <c r="C2367" s="7">
        <v>46102.066203703704</v>
      </c>
      <c r="D2367" s="8">
        <v>46102</v>
      </c>
      <c r="E2367" s="9">
        <v>6.6203703703649808E-2</v>
      </c>
      <c r="F2367" s="10" t="s">
        <v>2648</v>
      </c>
      <c r="G2367" s="10" t="s">
        <v>21</v>
      </c>
      <c r="H2367" s="10" t="s">
        <v>52</v>
      </c>
      <c r="I2367" s="10" t="s">
        <v>23</v>
      </c>
      <c r="J2367" s="11">
        <v>0.98</v>
      </c>
      <c r="K2367" s="12"/>
      <c r="L2367" s="12"/>
      <c r="M2367" s="12"/>
      <c r="N2367" s="12"/>
      <c r="O2367" s="12"/>
      <c r="P2367" s="12"/>
      <c r="Q2367" s="12"/>
      <c r="R2367" s="12"/>
      <c r="S2367" s="12"/>
    </row>
    <row r="2368" spans="1:19" ht="14.25" customHeight="1" x14ac:dyDescent="0.2">
      <c r="A2368" s="1" t="s">
        <v>95</v>
      </c>
      <c r="B2368" s="7">
        <v>46102.052187499998</v>
      </c>
      <c r="C2368" s="7">
        <v>46102.066701388889</v>
      </c>
      <c r="D2368" s="8">
        <v>46102</v>
      </c>
      <c r="E2368" s="9">
        <v>6.6701388888759539E-2</v>
      </c>
      <c r="F2368" s="10" t="s">
        <v>2649</v>
      </c>
      <c r="G2368" s="10" t="s">
        <v>21</v>
      </c>
      <c r="H2368" s="10" t="s">
        <v>110</v>
      </c>
      <c r="I2368" s="10" t="s">
        <v>23</v>
      </c>
      <c r="J2368" s="11">
        <v>0.83</v>
      </c>
      <c r="K2368" s="12"/>
      <c r="L2368" s="12"/>
      <c r="M2368" s="12"/>
      <c r="N2368" s="12"/>
      <c r="O2368" s="12"/>
      <c r="P2368" s="12"/>
      <c r="Q2368" s="12"/>
      <c r="R2368" s="12"/>
      <c r="S2368" s="12"/>
    </row>
    <row r="2369" spans="1:19" ht="14.25" customHeight="1" x14ac:dyDescent="0.2">
      <c r="A2369" s="1" t="s">
        <v>19</v>
      </c>
      <c r="B2369" s="7">
        <v>46101.992314814815</v>
      </c>
      <c r="C2369" s="7">
        <v>46102.067187499997</v>
      </c>
      <c r="D2369" s="8">
        <v>46102</v>
      </c>
      <c r="E2369" s="9">
        <v>6.7187499997089617E-2</v>
      </c>
      <c r="F2369" s="10" t="s">
        <v>2650</v>
      </c>
      <c r="G2369" s="10" t="s">
        <v>26</v>
      </c>
      <c r="H2369" s="10" t="s">
        <v>86</v>
      </c>
      <c r="I2369" s="10" t="s">
        <v>23</v>
      </c>
      <c r="J2369" s="11">
        <v>0.88</v>
      </c>
      <c r="K2369" s="12"/>
      <c r="L2369" s="12"/>
      <c r="M2369" s="12"/>
      <c r="N2369" s="12"/>
      <c r="O2369" s="12"/>
      <c r="P2369" s="12"/>
      <c r="Q2369" s="12"/>
      <c r="R2369" s="12"/>
      <c r="S2369" s="12"/>
    </row>
    <row r="2370" spans="1:19" ht="14.25" customHeight="1" x14ac:dyDescent="0.2">
      <c r="A2370" s="1" t="s">
        <v>24</v>
      </c>
      <c r="B2370" s="7">
        <v>46102.032719907409</v>
      </c>
      <c r="C2370" s="7">
        <v>46102.06931712963</v>
      </c>
      <c r="D2370" s="8">
        <v>46102</v>
      </c>
      <c r="E2370" s="9">
        <v>6.9317129629780538E-2</v>
      </c>
      <c r="F2370" s="10" t="s">
        <v>2651</v>
      </c>
      <c r="G2370" s="10" t="s">
        <v>21</v>
      </c>
      <c r="H2370" s="10" t="s">
        <v>216</v>
      </c>
      <c r="I2370" s="10" t="s">
        <v>23</v>
      </c>
      <c r="J2370" s="11">
        <v>0.98</v>
      </c>
      <c r="K2370" s="12"/>
      <c r="L2370" s="12"/>
      <c r="M2370" s="12"/>
      <c r="N2370" s="12"/>
      <c r="O2370" s="12"/>
      <c r="P2370" s="12"/>
      <c r="Q2370" s="12"/>
      <c r="R2370" s="12"/>
      <c r="S2370" s="12"/>
    </row>
    <row r="2371" spans="1:19" ht="14.25" customHeight="1" x14ac:dyDescent="0.2">
      <c r="A2371" s="1" t="s">
        <v>95</v>
      </c>
      <c r="B2371" s="7">
        <v>46102.039039351854</v>
      </c>
      <c r="C2371" s="7">
        <v>46102.069988425923</v>
      </c>
      <c r="D2371" s="8">
        <v>46102</v>
      </c>
      <c r="E2371" s="9">
        <v>6.9988425922929309E-2</v>
      </c>
      <c r="F2371" s="10" t="s">
        <v>2652</v>
      </c>
      <c r="G2371" s="10" t="s">
        <v>21</v>
      </c>
      <c r="H2371" s="10" t="s">
        <v>2653</v>
      </c>
      <c r="I2371" s="10" t="s">
        <v>23</v>
      </c>
      <c r="J2371" s="11">
        <v>1.71</v>
      </c>
      <c r="K2371" s="12"/>
      <c r="L2371" s="12"/>
      <c r="M2371" s="12"/>
      <c r="N2371" s="12"/>
      <c r="O2371" s="12"/>
      <c r="P2371" s="12"/>
      <c r="Q2371" s="12"/>
      <c r="R2371" s="12"/>
      <c r="S2371" s="12"/>
    </row>
    <row r="2372" spans="1:19" ht="14.25" customHeight="1" x14ac:dyDescent="0.2">
      <c r="A2372" s="1" t="s">
        <v>24</v>
      </c>
      <c r="B2372" s="7">
        <v>46102.037523148145</v>
      </c>
      <c r="C2372" s="7">
        <v>46102.070891203701</v>
      </c>
      <c r="D2372" s="8">
        <v>46102</v>
      </c>
      <c r="E2372" s="9">
        <v>7.0891203700739425E-2</v>
      </c>
      <c r="F2372" s="10" t="s">
        <v>2654</v>
      </c>
      <c r="G2372" s="10" t="s">
        <v>21</v>
      </c>
      <c r="H2372" s="10" t="s">
        <v>41</v>
      </c>
      <c r="I2372" s="10" t="s">
        <v>23</v>
      </c>
      <c r="J2372" s="11">
        <v>1.77</v>
      </c>
      <c r="K2372" s="12"/>
      <c r="L2372" s="12"/>
      <c r="M2372" s="12"/>
      <c r="N2372" s="12"/>
      <c r="O2372" s="12"/>
      <c r="P2372" s="12"/>
      <c r="Q2372" s="12"/>
      <c r="R2372" s="12"/>
      <c r="S2372" s="12"/>
    </row>
    <row r="2373" spans="1:19" ht="14.25" customHeight="1" x14ac:dyDescent="0.2">
      <c r="A2373" s="1" t="s">
        <v>33</v>
      </c>
      <c r="B2373" s="7">
        <v>46102.039560185185</v>
      </c>
      <c r="C2373" s="7">
        <v>46102.071736111109</v>
      </c>
      <c r="D2373" s="8">
        <v>46102</v>
      </c>
      <c r="E2373" s="9">
        <v>7.1736111109203193E-2</v>
      </c>
      <c r="F2373" s="10" t="s">
        <v>2655</v>
      </c>
      <c r="G2373" s="10" t="s">
        <v>21</v>
      </c>
      <c r="H2373" s="10" t="s">
        <v>41</v>
      </c>
      <c r="I2373" s="10" t="s">
        <v>23</v>
      </c>
      <c r="J2373" s="11">
        <v>1.77</v>
      </c>
      <c r="K2373" s="12"/>
      <c r="L2373" s="12"/>
      <c r="M2373" s="12"/>
      <c r="N2373" s="12"/>
      <c r="O2373" s="12"/>
      <c r="P2373" s="12"/>
      <c r="Q2373" s="12"/>
      <c r="R2373" s="12"/>
      <c r="S2373" s="12"/>
    </row>
    <row r="2374" spans="1:19" ht="14.25" customHeight="1" x14ac:dyDescent="0.2">
      <c r="A2374" s="1" t="s">
        <v>24</v>
      </c>
      <c r="B2374" s="7">
        <v>46102.04787037037</v>
      </c>
      <c r="C2374" s="7">
        <v>46102.072268518517</v>
      </c>
      <c r="D2374" s="8">
        <v>46102</v>
      </c>
      <c r="E2374" s="9">
        <v>7.2268518517375924E-2</v>
      </c>
      <c r="F2374" s="10" t="s">
        <v>2656</v>
      </c>
      <c r="G2374" s="10" t="s">
        <v>21</v>
      </c>
      <c r="H2374" s="10" t="s">
        <v>142</v>
      </c>
      <c r="I2374" s="10" t="s">
        <v>23</v>
      </c>
      <c r="J2374" s="11">
        <v>0.83</v>
      </c>
      <c r="K2374" s="12"/>
      <c r="L2374" s="12"/>
      <c r="M2374" s="12"/>
      <c r="N2374" s="12"/>
      <c r="O2374" s="12"/>
      <c r="P2374" s="12"/>
      <c r="Q2374" s="12"/>
      <c r="R2374" s="12"/>
      <c r="S2374" s="12"/>
    </row>
    <row r="2375" spans="1:19" ht="14.25" customHeight="1" x14ac:dyDescent="0.2">
      <c r="A2375" s="1" t="s">
        <v>24</v>
      </c>
      <c r="B2375" s="7">
        <v>46102.047986111109</v>
      </c>
      <c r="C2375" s="7">
        <v>46102.07309027778</v>
      </c>
      <c r="D2375" s="8">
        <v>46102</v>
      </c>
      <c r="E2375" s="9">
        <v>7.3090277779556345E-2</v>
      </c>
      <c r="F2375" s="10" t="s">
        <v>2657</v>
      </c>
      <c r="G2375" s="10" t="s">
        <v>26</v>
      </c>
      <c r="H2375" s="10" t="s">
        <v>202</v>
      </c>
      <c r="I2375" s="10" t="s">
        <v>23</v>
      </c>
      <c r="J2375" s="11">
        <v>0.57999999999999996</v>
      </c>
      <c r="K2375" s="12"/>
      <c r="L2375" s="12"/>
      <c r="M2375" s="12"/>
      <c r="N2375" s="12"/>
      <c r="O2375" s="12"/>
      <c r="P2375" s="12"/>
      <c r="Q2375" s="12"/>
      <c r="R2375" s="12"/>
      <c r="S2375" s="12"/>
    </row>
    <row r="2376" spans="1:19" ht="14.25" customHeight="1" x14ac:dyDescent="0.2">
      <c r="A2376" s="1" t="s">
        <v>42</v>
      </c>
      <c r="B2376" s="7">
        <v>46102.024050925924</v>
      </c>
      <c r="C2376" s="7">
        <v>46102.073645833334</v>
      </c>
      <c r="D2376" s="8">
        <v>46102</v>
      </c>
      <c r="E2376" s="9">
        <v>7.3645833334012423E-2</v>
      </c>
      <c r="F2376" s="10" t="s">
        <v>2658</v>
      </c>
      <c r="G2376" s="10" t="s">
        <v>26</v>
      </c>
      <c r="H2376" s="10" t="s">
        <v>172</v>
      </c>
      <c r="I2376" s="10" t="s">
        <v>23</v>
      </c>
      <c r="J2376" s="11">
        <v>0.67</v>
      </c>
      <c r="K2376" s="12"/>
      <c r="L2376" s="12"/>
      <c r="M2376" s="12"/>
      <c r="N2376" s="12"/>
      <c r="O2376" s="12"/>
      <c r="P2376" s="12"/>
      <c r="Q2376" s="12"/>
      <c r="R2376" s="12"/>
      <c r="S2376" s="12"/>
    </row>
    <row r="2377" spans="1:19" ht="14.25" customHeight="1" x14ac:dyDescent="0.2">
      <c r="A2377" s="1" t="s">
        <v>95</v>
      </c>
      <c r="B2377" s="7">
        <v>46102.035555555558</v>
      </c>
      <c r="C2377" s="7">
        <v>46102.074201388888</v>
      </c>
      <c r="D2377" s="8">
        <v>46102</v>
      </c>
      <c r="E2377" s="9">
        <v>7.42013888884685E-2</v>
      </c>
      <c r="F2377" s="10" t="s">
        <v>2659</v>
      </c>
      <c r="G2377" s="10" t="s">
        <v>26</v>
      </c>
      <c r="H2377" s="10" t="s">
        <v>128</v>
      </c>
      <c r="I2377" s="10" t="s">
        <v>23</v>
      </c>
      <c r="J2377" s="11">
        <v>0.97</v>
      </c>
      <c r="K2377" s="12"/>
      <c r="L2377" s="12"/>
      <c r="M2377" s="12"/>
      <c r="N2377" s="12"/>
      <c r="O2377" s="12"/>
      <c r="P2377" s="12"/>
      <c r="Q2377" s="12"/>
      <c r="R2377" s="12"/>
      <c r="S2377" s="12"/>
    </row>
    <row r="2378" spans="1:19" ht="14.25" customHeight="1" x14ac:dyDescent="0.2">
      <c r="A2378" s="1" t="s">
        <v>57</v>
      </c>
      <c r="B2378" s="7">
        <v>46102.016365740739</v>
      </c>
      <c r="C2378" s="7">
        <v>46102.07472222222</v>
      </c>
      <c r="D2378" s="8">
        <v>46102</v>
      </c>
      <c r="E2378" s="9">
        <v>7.4722222219861578E-2</v>
      </c>
      <c r="F2378" s="10" t="s">
        <v>2660</v>
      </c>
      <c r="G2378" s="10" t="s">
        <v>26</v>
      </c>
      <c r="H2378" s="10" t="s">
        <v>289</v>
      </c>
      <c r="I2378" s="10" t="s">
        <v>23</v>
      </c>
      <c r="J2378" s="11">
        <v>0.97</v>
      </c>
      <c r="K2378" s="12"/>
      <c r="L2378" s="12"/>
      <c r="M2378" s="12"/>
      <c r="N2378" s="12"/>
      <c r="O2378" s="12"/>
      <c r="P2378" s="12"/>
      <c r="Q2378" s="12"/>
      <c r="R2378" s="12"/>
      <c r="S2378" s="12"/>
    </row>
    <row r="2379" spans="1:19" ht="14.25" customHeight="1" x14ac:dyDescent="0.2">
      <c r="A2379" s="1" t="s">
        <v>95</v>
      </c>
      <c r="B2379" s="7">
        <v>46102.032488425924</v>
      </c>
      <c r="C2379" s="7">
        <v>46102.079548611109</v>
      </c>
      <c r="D2379" s="8">
        <v>46102</v>
      </c>
      <c r="E2379" s="9">
        <v>7.9548611109203193E-2</v>
      </c>
      <c r="F2379" s="10" t="s">
        <v>2661</v>
      </c>
      <c r="G2379" s="10" t="s">
        <v>21</v>
      </c>
      <c r="H2379" s="10" t="s">
        <v>97</v>
      </c>
      <c r="I2379" s="10" t="s">
        <v>23</v>
      </c>
      <c r="J2379" s="11">
        <v>1.77</v>
      </c>
      <c r="K2379" s="12"/>
      <c r="L2379" s="12"/>
      <c r="M2379" s="12"/>
      <c r="N2379" s="12"/>
      <c r="O2379" s="12"/>
      <c r="P2379" s="12"/>
      <c r="Q2379" s="12"/>
      <c r="R2379" s="12"/>
      <c r="S2379" s="12"/>
    </row>
    <row r="2380" spans="1:19" ht="14.25" customHeight="1" x14ac:dyDescent="0.2">
      <c r="A2380" s="1" t="s">
        <v>95</v>
      </c>
      <c r="B2380" s="7">
        <v>46102.057638888888</v>
      </c>
      <c r="C2380" s="7">
        <v>46102.079837962963</v>
      </c>
      <c r="D2380" s="8">
        <v>46102</v>
      </c>
      <c r="E2380" s="9">
        <v>7.9837962963210884E-2</v>
      </c>
      <c r="F2380" s="10" t="s">
        <v>2662</v>
      </c>
      <c r="G2380" s="10" t="s">
        <v>180</v>
      </c>
      <c r="H2380" s="10" t="s">
        <v>504</v>
      </c>
      <c r="I2380" s="10" t="s">
        <v>23</v>
      </c>
      <c r="J2380" s="11">
        <v>1.44</v>
      </c>
      <c r="K2380" s="12"/>
      <c r="L2380" s="12"/>
      <c r="M2380" s="12"/>
      <c r="N2380" s="12"/>
      <c r="O2380" s="12"/>
      <c r="P2380" s="12"/>
      <c r="Q2380" s="12"/>
      <c r="R2380" s="12"/>
      <c r="S2380" s="12"/>
    </row>
    <row r="2381" spans="1:19" ht="14.25" customHeight="1" x14ac:dyDescent="0.2">
      <c r="A2381" s="1" t="s">
        <v>95</v>
      </c>
      <c r="B2381" s="7">
        <v>46102.075833333336</v>
      </c>
      <c r="C2381" s="7">
        <v>46102.10224537037</v>
      </c>
      <c r="D2381" s="8">
        <v>46102</v>
      </c>
      <c r="E2381" s="9">
        <v>0.10224537036992842</v>
      </c>
      <c r="F2381" s="10" t="s">
        <v>2663</v>
      </c>
      <c r="G2381" s="10" t="s">
        <v>21</v>
      </c>
      <c r="H2381" s="10" t="s">
        <v>183</v>
      </c>
      <c r="I2381" s="10" t="s">
        <v>23</v>
      </c>
      <c r="J2381" s="11">
        <v>1.1299999999999999</v>
      </c>
      <c r="K2381" s="12"/>
      <c r="L2381" s="12">
        <f>SUM(J2381:J2387)</f>
        <v>7.63</v>
      </c>
      <c r="M2381" s="13">
        <f>L2381*65</f>
        <v>495.95</v>
      </c>
      <c r="N2381" s="14">
        <f>MAX(500,M2381)</f>
        <v>500</v>
      </c>
      <c r="O2381" s="12"/>
      <c r="P2381" s="12"/>
      <c r="Q2381" s="12"/>
      <c r="R2381" s="12"/>
      <c r="S2381" s="12"/>
    </row>
    <row r="2382" spans="1:19" ht="14.25" customHeight="1" x14ac:dyDescent="0.2">
      <c r="A2382" s="1" t="s">
        <v>95</v>
      </c>
      <c r="B2382" s="7">
        <v>46102.078460648147</v>
      </c>
      <c r="C2382" s="7">
        <v>46102.10565972222</v>
      </c>
      <c r="D2382" s="8">
        <v>46102</v>
      </c>
      <c r="E2382" s="9">
        <v>0.10565972221957054</v>
      </c>
      <c r="F2382" s="10" t="s">
        <v>2664</v>
      </c>
      <c r="G2382" s="10" t="s">
        <v>21</v>
      </c>
      <c r="H2382" s="10" t="s">
        <v>154</v>
      </c>
      <c r="I2382" s="10" t="s">
        <v>23</v>
      </c>
      <c r="J2382" s="11">
        <v>1.77</v>
      </c>
      <c r="K2382" s="12"/>
      <c r="L2382" s="12"/>
      <c r="M2382" s="12"/>
      <c r="N2382" s="12"/>
      <c r="O2382" s="12"/>
      <c r="P2382" s="12"/>
      <c r="Q2382" s="12"/>
      <c r="R2382" s="12"/>
      <c r="S2382" s="12"/>
    </row>
    <row r="2383" spans="1:19" ht="14.25" customHeight="1" x14ac:dyDescent="0.2">
      <c r="A2383" s="1" t="s">
        <v>19</v>
      </c>
      <c r="B2383" s="7">
        <v>46102.07640046296</v>
      </c>
      <c r="C2383" s="7">
        <v>46102.106365740743</v>
      </c>
      <c r="D2383" s="8">
        <v>46102</v>
      </c>
      <c r="E2383" s="9">
        <v>0.10636574074305827</v>
      </c>
      <c r="F2383" s="10" t="s">
        <v>2665</v>
      </c>
      <c r="G2383" s="10" t="s">
        <v>26</v>
      </c>
      <c r="H2383" s="10" t="s">
        <v>162</v>
      </c>
      <c r="I2383" s="10" t="s">
        <v>23</v>
      </c>
      <c r="J2383" s="11">
        <v>0.49</v>
      </c>
      <c r="K2383" s="12"/>
      <c r="L2383" s="12"/>
      <c r="M2383" s="12"/>
      <c r="N2383" s="12"/>
      <c r="O2383" s="12"/>
      <c r="P2383" s="12"/>
      <c r="Q2383" s="12"/>
      <c r="R2383" s="12"/>
      <c r="S2383" s="12"/>
    </row>
    <row r="2384" spans="1:19" ht="14.25" customHeight="1" x14ac:dyDescent="0.2">
      <c r="A2384" s="1" t="s">
        <v>19</v>
      </c>
      <c r="B2384" s="7">
        <v>46102.10527777778</v>
      </c>
      <c r="C2384" s="7">
        <v>46102.112337962964</v>
      </c>
      <c r="D2384" s="8">
        <v>46102</v>
      </c>
      <c r="E2384" s="9">
        <v>0.11233796296437504</v>
      </c>
      <c r="F2384" s="10" t="s">
        <v>2666</v>
      </c>
      <c r="G2384" s="10" t="s">
        <v>21</v>
      </c>
      <c r="H2384" s="10" t="s">
        <v>22</v>
      </c>
      <c r="I2384" s="10" t="s">
        <v>23</v>
      </c>
      <c r="J2384" s="11">
        <v>0.83</v>
      </c>
      <c r="K2384" s="12"/>
      <c r="L2384" s="12"/>
      <c r="M2384" s="12"/>
      <c r="N2384" s="12"/>
      <c r="O2384" s="12"/>
      <c r="P2384" s="12"/>
      <c r="Q2384" s="12"/>
      <c r="R2384" s="12"/>
      <c r="S2384" s="12"/>
    </row>
    <row r="2385" spans="1:19" ht="14.25" customHeight="1" x14ac:dyDescent="0.2">
      <c r="A2385" s="1" t="s">
        <v>24</v>
      </c>
      <c r="B2385" s="7">
        <v>46102.104479166665</v>
      </c>
      <c r="C2385" s="7">
        <v>46102.124108796299</v>
      </c>
      <c r="D2385" s="8">
        <v>46102</v>
      </c>
      <c r="E2385" s="9">
        <v>0.12410879629896954</v>
      </c>
      <c r="F2385" s="10" t="s">
        <v>2667</v>
      </c>
      <c r="G2385" s="10" t="s">
        <v>26</v>
      </c>
      <c r="H2385" s="10" t="s">
        <v>315</v>
      </c>
      <c r="I2385" s="10" t="s">
        <v>23</v>
      </c>
      <c r="J2385" s="11">
        <v>0.88</v>
      </c>
      <c r="K2385" s="12"/>
      <c r="L2385" s="12"/>
      <c r="M2385" s="12"/>
      <c r="N2385" s="12"/>
      <c r="O2385" s="12"/>
      <c r="P2385" s="12"/>
      <c r="Q2385" s="12"/>
      <c r="R2385" s="12"/>
      <c r="S2385" s="12"/>
    </row>
    <row r="2386" spans="1:19" ht="14.25" customHeight="1" x14ac:dyDescent="0.2">
      <c r="A2386" s="1" t="s">
        <v>95</v>
      </c>
      <c r="B2386" s="7">
        <v>46102.107627314814</v>
      </c>
      <c r="C2386" s="7">
        <v>46102.124305555553</v>
      </c>
      <c r="D2386" s="8">
        <v>46102</v>
      </c>
      <c r="E2386" s="9">
        <v>0.12430555555329192</v>
      </c>
      <c r="F2386" s="10" t="s">
        <v>2668</v>
      </c>
      <c r="G2386" s="10" t="s">
        <v>21</v>
      </c>
      <c r="H2386" s="10" t="s">
        <v>110</v>
      </c>
      <c r="I2386" s="10" t="s">
        <v>23</v>
      </c>
      <c r="J2386" s="11">
        <v>0.83</v>
      </c>
      <c r="K2386" s="12"/>
      <c r="L2386" s="12"/>
      <c r="M2386" s="12"/>
      <c r="N2386" s="12"/>
      <c r="O2386" s="12"/>
      <c r="P2386" s="12"/>
      <c r="Q2386" s="12"/>
      <c r="R2386" s="12"/>
      <c r="S2386" s="12"/>
    </row>
    <row r="2387" spans="1:19" ht="14.25" customHeight="1" x14ac:dyDescent="0.2">
      <c r="A2387" s="1" t="s">
        <v>95</v>
      </c>
      <c r="B2387" s="7">
        <v>46102.10052083333</v>
      </c>
      <c r="C2387" s="7">
        <v>46102.124699074076</v>
      </c>
      <c r="D2387" s="8">
        <v>46102</v>
      </c>
      <c r="E2387" s="9">
        <v>0.12469907407648861</v>
      </c>
      <c r="F2387" s="10" t="s">
        <v>2669</v>
      </c>
      <c r="G2387" s="10" t="s">
        <v>21</v>
      </c>
      <c r="H2387" s="10" t="s">
        <v>108</v>
      </c>
      <c r="I2387" s="10" t="s">
        <v>23</v>
      </c>
      <c r="J2387" s="11">
        <v>1.7</v>
      </c>
      <c r="K2387" s="12"/>
      <c r="L2387" s="12"/>
      <c r="M2387" s="12"/>
      <c r="N2387" s="12"/>
      <c r="O2387" s="12"/>
      <c r="P2387" s="12"/>
      <c r="Q2387" s="12"/>
      <c r="R2387" s="12"/>
      <c r="S2387" s="12"/>
    </row>
    <row r="2388" spans="1:19" ht="14.25" customHeight="1" x14ac:dyDescent="0.2">
      <c r="A2388" s="1" t="s">
        <v>95</v>
      </c>
      <c r="B2388" s="7">
        <v>46102.111006944448</v>
      </c>
      <c r="C2388" s="7">
        <v>46102.12699074074</v>
      </c>
      <c r="D2388" s="8">
        <v>46102</v>
      </c>
      <c r="E2388" s="9">
        <v>0.12699074074043892</v>
      </c>
      <c r="F2388" s="10" t="s">
        <v>2670</v>
      </c>
      <c r="G2388" s="10" t="s">
        <v>21</v>
      </c>
      <c r="H2388" s="10" t="s">
        <v>97</v>
      </c>
      <c r="I2388" s="10" t="s">
        <v>23</v>
      </c>
      <c r="J2388" s="11">
        <v>1.77</v>
      </c>
      <c r="K2388" s="12">
        <f>SUM(J2388:J2424)</f>
        <v>42.109999999999985</v>
      </c>
      <c r="L2388" s="12">
        <f>SUM(J2388:J2399)</f>
        <v>13.770000000000001</v>
      </c>
      <c r="M2388" s="13">
        <f>L2388*65</f>
        <v>895.05000000000007</v>
      </c>
      <c r="N2388" s="14">
        <f>MAX(500,M2388)</f>
        <v>895.05000000000007</v>
      </c>
      <c r="O2388" s="12"/>
      <c r="P2388" s="12"/>
      <c r="Q2388" s="12"/>
      <c r="R2388" s="12"/>
      <c r="S2388" s="12"/>
    </row>
    <row r="2389" spans="1:19" ht="14.25" customHeight="1" x14ac:dyDescent="0.2">
      <c r="A2389" s="1" t="s">
        <v>112</v>
      </c>
      <c r="B2389" s="7">
        <v>46102.128055555557</v>
      </c>
      <c r="C2389" s="7">
        <v>46102.136967592596</v>
      </c>
      <c r="D2389" s="8">
        <v>46102</v>
      </c>
      <c r="E2389" s="9">
        <v>0.13696759259619284</v>
      </c>
      <c r="F2389" s="10" t="s">
        <v>2671</v>
      </c>
      <c r="G2389" s="10" t="s">
        <v>21</v>
      </c>
      <c r="H2389" s="10" t="s">
        <v>266</v>
      </c>
      <c r="I2389" s="10" t="s">
        <v>23</v>
      </c>
      <c r="J2389" s="11">
        <v>1.77</v>
      </c>
      <c r="K2389" s="12"/>
      <c r="L2389" s="12"/>
      <c r="M2389" s="12"/>
      <c r="N2389" s="12"/>
      <c r="O2389" s="12"/>
      <c r="P2389" s="12"/>
      <c r="Q2389" s="12"/>
      <c r="R2389" s="12"/>
      <c r="S2389" s="12"/>
    </row>
    <row r="2390" spans="1:19" ht="14.25" customHeight="1" x14ac:dyDescent="0.2">
      <c r="A2390" s="1" t="s">
        <v>19</v>
      </c>
      <c r="B2390" s="7">
        <v>46102.124814814815</v>
      </c>
      <c r="C2390" s="7">
        <v>46102.137372685182</v>
      </c>
      <c r="D2390" s="8">
        <v>46102</v>
      </c>
      <c r="E2390" s="9">
        <v>0.13737268518161727</v>
      </c>
      <c r="F2390" s="10" t="s">
        <v>2672</v>
      </c>
      <c r="G2390" s="10" t="s">
        <v>21</v>
      </c>
      <c r="H2390" s="10" t="s">
        <v>41</v>
      </c>
      <c r="I2390" s="10" t="s">
        <v>23</v>
      </c>
      <c r="J2390" s="11">
        <v>1.77</v>
      </c>
      <c r="K2390" s="12"/>
      <c r="L2390" s="12"/>
      <c r="M2390" s="12"/>
      <c r="N2390" s="12"/>
      <c r="O2390" s="12"/>
      <c r="P2390" s="12"/>
      <c r="Q2390" s="12"/>
      <c r="R2390" s="12"/>
      <c r="S2390" s="12"/>
    </row>
    <row r="2391" spans="1:19" ht="14.25" customHeight="1" x14ac:dyDescent="0.2">
      <c r="A2391" s="1" t="s">
        <v>57</v>
      </c>
      <c r="B2391" s="7">
        <v>46102.137025462966</v>
      </c>
      <c r="C2391" s="7">
        <v>46102.146678240744</v>
      </c>
      <c r="D2391" s="8">
        <v>46102</v>
      </c>
      <c r="E2391" s="9">
        <v>0.14667824074422242</v>
      </c>
      <c r="F2391" s="10" t="s">
        <v>2673</v>
      </c>
      <c r="G2391" s="10" t="s">
        <v>21</v>
      </c>
      <c r="H2391" s="10" t="s">
        <v>59</v>
      </c>
      <c r="I2391" s="10" t="s">
        <v>23</v>
      </c>
      <c r="J2391" s="11">
        <v>0.83</v>
      </c>
      <c r="K2391" s="12"/>
      <c r="L2391" s="12"/>
      <c r="M2391" s="12"/>
      <c r="N2391" s="12"/>
      <c r="O2391" s="12"/>
      <c r="P2391" s="12"/>
      <c r="Q2391" s="12"/>
      <c r="R2391" s="12"/>
      <c r="S2391" s="12"/>
    </row>
    <row r="2392" spans="1:19" ht="14.25" customHeight="1" x14ac:dyDescent="0.2">
      <c r="A2392" s="1" t="s">
        <v>19</v>
      </c>
      <c r="B2392" s="7">
        <v>46102.133310185185</v>
      </c>
      <c r="C2392" s="7">
        <v>46102.148148148146</v>
      </c>
      <c r="D2392" s="8">
        <v>46102</v>
      </c>
      <c r="E2392" s="9">
        <v>0.14814814814599231</v>
      </c>
      <c r="F2392" s="10" t="s">
        <v>2674</v>
      </c>
      <c r="G2392" s="10" t="s">
        <v>21</v>
      </c>
      <c r="H2392" s="10" t="s">
        <v>41</v>
      </c>
      <c r="I2392" s="10" t="s">
        <v>23</v>
      </c>
      <c r="J2392" s="11">
        <v>1.77</v>
      </c>
      <c r="K2392" s="12"/>
      <c r="L2392" s="12"/>
      <c r="M2392" s="12"/>
      <c r="N2392" s="12"/>
      <c r="O2392" s="12"/>
      <c r="P2392" s="12"/>
      <c r="Q2392" s="12"/>
      <c r="R2392" s="12"/>
      <c r="S2392" s="12"/>
    </row>
    <row r="2393" spans="1:19" ht="14.25" customHeight="1" x14ac:dyDescent="0.2">
      <c r="A2393" s="1" t="s">
        <v>24</v>
      </c>
      <c r="B2393" s="7">
        <v>46102.122141203705</v>
      </c>
      <c r="C2393" s="7">
        <v>46102.1483912037</v>
      </c>
      <c r="D2393" s="8">
        <v>46102</v>
      </c>
      <c r="E2393" s="9">
        <v>0.14839120370015735</v>
      </c>
      <c r="F2393" s="10" t="s">
        <v>2675</v>
      </c>
      <c r="G2393" s="10" t="s">
        <v>21</v>
      </c>
      <c r="H2393" s="10" t="s">
        <v>22</v>
      </c>
      <c r="I2393" s="10" t="s">
        <v>23</v>
      </c>
      <c r="J2393" s="11">
        <v>0.83</v>
      </c>
      <c r="K2393" s="12"/>
      <c r="L2393" s="12"/>
      <c r="M2393" s="12"/>
      <c r="N2393" s="12"/>
      <c r="O2393" s="12"/>
      <c r="P2393" s="12"/>
      <c r="Q2393" s="12"/>
      <c r="R2393" s="12"/>
      <c r="S2393" s="12"/>
    </row>
    <row r="2394" spans="1:19" ht="14.25" customHeight="1" x14ac:dyDescent="0.2">
      <c r="A2394" s="1" t="s">
        <v>24</v>
      </c>
      <c r="B2394" s="7">
        <v>46102.122141203705</v>
      </c>
      <c r="C2394" s="7">
        <v>46102.148622685185</v>
      </c>
      <c r="D2394" s="8">
        <v>46102</v>
      </c>
      <c r="E2394" s="9">
        <v>0.14862268518481869</v>
      </c>
      <c r="F2394" s="10" t="s">
        <v>2676</v>
      </c>
      <c r="G2394" s="10" t="s">
        <v>21</v>
      </c>
      <c r="H2394" s="10" t="s">
        <v>52</v>
      </c>
      <c r="I2394" s="10" t="s">
        <v>23</v>
      </c>
      <c r="J2394" s="11">
        <v>0.98</v>
      </c>
      <c r="K2394" s="12"/>
      <c r="L2394" s="12"/>
      <c r="M2394" s="12"/>
      <c r="N2394" s="12"/>
      <c r="O2394" s="12"/>
      <c r="P2394" s="12"/>
      <c r="Q2394" s="12"/>
      <c r="R2394" s="12"/>
      <c r="S2394" s="12"/>
    </row>
    <row r="2395" spans="1:19" ht="14.25" customHeight="1" x14ac:dyDescent="0.2">
      <c r="A2395" s="1" t="s">
        <v>24</v>
      </c>
      <c r="B2395" s="7">
        <v>46102.131192129629</v>
      </c>
      <c r="C2395" s="7">
        <v>46102.149664351855</v>
      </c>
      <c r="D2395" s="8">
        <v>46102</v>
      </c>
      <c r="E2395" s="9">
        <v>0.14966435185488081</v>
      </c>
      <c r="F2395" s="10" t="s">
        <v>2677</v>
      </c>
      <c r="G2395" s="10" t="s">
        <v>21</v>
      </c>
      <c r="H2395" s="10" t="s">
        <v>22</v>
      </c>
      <c r="I2395" s="10" t="s">
        <v>23</v>
      </c>
      <c r="J2395" s="11">
        <v>0.83</v>
      </c>
      <c r="K2395" s="12"/>
      <c r="L2395" s="12"/>
      <c r="M2395" s="12"/>
      <c r="N2395" s="12"/>
      <c r="O2395" s="12"/>
      <c r="P2395" s="12"/>
      <c r="Q2395" s="12"/>
      <c r="R2395" s="12"/>
      <c r="S2395" s="12"/>
    </row>
    <row r="2396" spans="1:19" ht="14.25" customHeight="1" x14ac:dyDescent="0.2">
      <c r="A2396" s="1" t="s">
        <v>24</v>
      </c>
      <c r="B2396" s="7">
        <v>46102.141770833332</v>
      </c>
      <c r="C2396" s="7">
        <v>46102.150578703702</v>
      </c>
      <c r="D2396" s="8">
        <v>46102</v>
      </c>
      <c r="E2396" s="9">
        <v>0.15057870370219462</v>
      </c>
      <c r="F2396" s="10" t="s">
        <v>2678</v>
      </c>
      <c r="G2396" s="10" t="s">
        <v>21</v>
      </c>
      <c r="H2396" s="10" t="s">
        <v>22</v>
      </c>
      <c r="I2396" s="10" t="s">
        <v>23</v>
      </c>
      <c r="J2396" s="11">
        <v>0.83</v>
      </c>
      <c r="K2396" s="12"/>
      <c r="L2396" s="12"/>
      <c r="M2396" s="12"/>
      <c r="N2396" s="12"/>
      <c r="O2396" s="12"/>
      <c r="P2396" s="12"/>
      <c r="Q2396" s="12"/>
      <c r="R2396" s="12"/>
      <c r="S2396" s="12"/>
    </row>
    <row r="2397" spans="1:19" ht="14.25" customHeight="1" x14ac:dyDescent="0.2">
      <c r="A2397" s="1" t="s">
        <v>24</v>
      </c>
      <c r="B2397" s="7">
        <v>46102.135462962964</v>
      </c>
      <c r="C2397" s="7">
        <v>46102.151087962964</v>
      </c>
      <c r="D2397" s="8">
        <v>46102</v>
      </c>
      <c r="E2397" s="9">
        <v>0.151087962964084</v>
      </c>
      <c r="F2397" s="10" t="s">
        <v>2679</v>
      </c>
      <c r="G2397" s="10" t="s">
        <v>26</v>
      </c>
      <c r="H2397" s="10" t="s">
        <v>202</v>
      </c>
      <c r="I2397" s="10" t="s">
        <v>23</v>
      </c>
      <c r="J2397" s="11">
        <v>0.57999999999999996</v>
      </c>
      <c r="K2397" s="12"/>
      <c r="L2397" s="12"/>
      <c r="M2397" s="12"/>
      <c r="N2397" s="12"/>
      <c r="O2397" s="12"/>
      <c r="P2397" s="12"/>
      <c r="Q2397" s="12"/>
      <c r="R2397" s="12"/>
      <c r="S2397" s="12"/>
    </row>
    <row r="2398" spans="1:19" ht="14.25" customHeight="1" x14ac:dyDescent="0.2">
      <c r="A2398" s="1" t="s">
        <v>95</v>
      </c>
      <c r="B2398" s="7">
        <v>46102.111180555556</v>
      </c>
      <c r="C2398" s="7">
        <v>46102.164317129631</v>
      </c>
      <c r="D2398" s="8">
        <v>46102</v>
      </c>
      <c r="E2398" s="9">
        <v>0.16431712963094469</v>
      </c>
      <c r="F2398" s="10" t="s">
        <v>2680</v>
      </c>
      <c r="G2398" s="10" t="s">
        <v>21</v>
      </c>
      <c r="H2398" s="10" t="s">
        <v>110</v>
      </c>
      <c r="I2398" s="10" t="s">
        <v>23</v>
      </c>
      <c r="J2398" s="11">
        <v>0.83</v>
      </c>
      <c r="K2398" s="12"/>
      <c r="L2398" s="12"/>
      <c r="M2398" s="12"/>
      <c r="N2398" s="12"/>
      <c r="O2398" s="12"/>
      <c r="P2398" s="12"/>
      <c r="Q2398" s="12"/>
      <c r="R2398" s="12"/>
      <c r="S2398" s="12"/>
    </row>
    <row r="2399" spans="1:19" ht="14.25" customHeight="1" x14ac:dyDescent="0.2">
      <c r="A2399" s="1" t="s">
        <v>95</v>
      </c>
      <c r="B2399" s="7">
        <v>46102.147615740738</v>
      </c>
      <c r="C2399" s="7">
        <v>46102.165717592594</v>
      </c>
      <c r="D2399" s="8">
        <v>46102</v>
      </c>
      <c r="E2399" s="9">
        <v>0.16571759259386454</v>
      </c>
      <c r="F2399" s="10" t="s">
        <v>2681</v>
      </c>
      <c r="G2399" s="10" t="s">
        <v>21</v>
      </c>
      <c r="H2399" s="10" t="s">
        <v>412</v>
      </c>
      <c r="I2399" s="10" t="s">
        <v>23</v>
      </c>
      <c r="J2399" s="11">
        <v>0.98</v>
      </c>
      <c r="K2399" s="12"/>
      <c r="L2399" s="12"/>
      <c r="M2399" s="12"/>
      <c r="N2399" s="12"/>
      <c r="O2399" s="12"/>
      <c r="P2399" s="12"/>
      <c r="Q2399" s="12"/>
      <c r="R2399" s="12"/>
      <c r="S2399" s="12"/>
    </row>
    <row r="2400" spans="1:19" ht="14.25" customHeight="1" x14ac:dyDescent="0.2">
      <c r="A2400" s="1" t="s">
        <v>28</v>
      </c>
      <c r="B2400" s="7">
        <v>46102.15966435185</v>
      </c>
      <c r="C2400" s="7">
        <v>46102.172627314816</v>
      </c>
      <c r="D2400" s="8">
        <v>46102</v>
      </c>
      <c r="E2400" s="9">
        <v>0.17262731481605442</v>
      </c>
      <c r="F2400" s="10" t="s">
        <v>2682</v>
      </c>
      <c r="G2400" s="10" t="s">
        <v>21</v>
      </c>
      <c r="H2400" s="10" t="s">
        <v>41</v>
      </c>
      <c r="I2400" s="10" t="s">
        <v>23</v>
      </c>
      <c r="J2400" s="11">
        <v>1.77</v>
      </c>
      <c r="K2400" s="12"/>
      <c r="L2400" s="12">
        <f>SUM(J2400:J2409)</f>
        <v>13.38</v>
      </c>
      <c r="M2400" s="13">
        <f>L2400*65</f>
        <v>869.7</v>
      </c>
      <c r="N2400" s="14">
        <f>MAX(500,M2400)</f>
        <v>869.7</v>
      </c>
      <c r="O2400" s="12"/>
      <c r="P2400" s="12"/>
      <c r="Q2400" s="12"/>
      <c r="R2400" s="12"/>
      <c r="S2400" s="12"/>
    </row>
    <row r="2401" spans="1:19" ht="14.25" customHeight="1" x14ac:dyDescent="0.2">
      <c r="A2401" s="1" t="s">
        <v>42</v>
      </c>
      <c r="B2401" s="7">
        <v>46102.154317129629</v>
      </c>
      <c r="C2401" s="7">
        <v>46102.178518518522</v>
      </c>
      <c r="D2401" s="8">
        <v>46102</v>
      </c>
      <c r="E2401" s="9">
        <v>0.1785185185217415</v>
      </c>
      <c r="F2401" s="10" t="s">
        <v>2683</v>
      </c>
      <c r="G2401" s="10" t="s">
        <v>21</v>
      </c>
      <c r="H2401" s="10" t="s">
        <v>227</v>
      </c>
      <c r="I2401" s="10" t="s">
        <v>23</v>
      </c>
      <c r="J2401" s="11">
        <v>0.83</v>
      </c>
      <c r="K2401" s="12"/>
      <c r="L2401" s="12"/>
      <c r="M2401" s="12"/>
      <c r="N2401" s="12"/>
      <c r="O2401" s="12"/>
      <c r="P2401" s="12"/>
      <c r="Q2401" s="12"/>
      <c r="R2401" s="12"/>
      <c r="S2401" s="12"/>
    </row>
    <row r="2402" spans="1:19" ht="14.25" customHeight="1" x14ac:dyDescent="0.2">
      <c r="A2402" s="1" t="s">
        <v>24</v>
      </c>
      <c r="B2402" s="7">
        <v>46102.166620370372</v>
      </c>
      <c r="C2402" s="7">
        <v>46102.183298611111</v>
      </c>
      <c r="D2402" s="8">
        <v>46102</v>
      </c>
      <c r="E2402" s="9">
        <v>0.18329861111124046</v>
      </c>
      <c r="F2402" s="10" t="s">
        <v>2684</v>
      </c>
      <c r="G2402" s="10" t="s">
        <v>21</v>
      </c>
      <c r="H2402" s="10" t="s">
        <v>39</v>
      </c>
      <c r="I2402" s="10" t="s">
        <v>23</v>
      </c>
      <c r="J2402" s="11">
        <v>1.77</v>
      </c>
      <c r="K2402" s="12"/>
      <c r="L2402" s="12"/>
      <c r="M2402" s="12"/>
      <c r="N2402" s="12"/>
      <c r="O2402" s="12"/>
      <c r="P2402" s="12"/>
      <c r="Q2402" s="12"/>
      <c r="R2402" s="12"/>
      <c r="S2402" s="12"/>
    </row>
    <row r="2403" spans="1:19" ht="14.25" customHeight="1" x14ac:dyDescent="0.2">
      <c r="A2403" s="1" t="s">
        <v>33</v>
      </c>
      <c r="B2403" s="7">
        <v>46102.167210648149</v>
      </c>
      <c r="C2403" s="7">
        <v>46102.192418981482</v>
      </c>
      <c r="D2403" s="8">
        <v>46102</v>
      </c>
      <c r="E2403" s="9">
        <v>0.19241898148175096</v>
      </c>
      <c r="F2403" s="10" t="s">
        <v>2685</v>
      </c>
      <c r="G2403" s="10" t="s">
        <v>21</v>
      </c>
      <c r="H2403" s="10" t="s">
        <v>22</v>
      </c>
      <c r="I2403" s="10" t="s">
        <v>23</v>
      </c>
      <c r="J2403" s="11">
        <v>0.83</v>
      </c>
      <c r="K2403" s="12"/>
      <c r="L2403" s="12"/>
      <c r="M2403" s="12"/>
      <c r="N2403" s="12"/>
      <c r="O2403" s="12"/>
      <c r="P2403" s="12"/>
      <c r="Q2403" s="12"/>
      <c r="R2403" s="12"/>
      <c r="S2403" s="12"/>
    </row>
    <row r="2404" spans="1:19" ht="14.25" customHeight="1" x14ac:dyDescent="0.2">
      <c r="A2404" s="1" t="s">
        <v>28</v>
      </c>
      <c r="B2404" s="7">
        <v>46102.182662037034</v>
      </c>
      <c r="C2404" s="7">
        <v>46102.192800925928</v>
      </c>
      <c r="D2404" s="8">
        <v>46102</v>
      </c>
      <c r="E2404" s="9">
        <v>0.192800925928168</v>
      </c>
      <c r="F2404" s="10" t="s">
        <v>2686</v>
      </c>
      <c r="G2404" s="10" t="s">
        <v>21</v>
      </c>
      <c r="H2404" s="10" t="s">
        <v>41</v>
      </c>
      <c r="I2404" s="10" t="s">
        <v>23</v>
      </c>
      <c r="J2404" s="11">
        <v>1.77</v>
      </c>
      <c r="K2404" s="12"/>
      <c r="L2404" s="12"/>
      <c r="M2404" s="12"/>
      <c r="N2404" s="12"/>
      <c r="O2404" s="12"/>
      <c r="P2404" s="12"/>
      <c r="Q2404" s="12"/>
      <c r="R2404" s="12"/>
      <c r="S2404" s="12"/>
    </row>
    <row r="2405" spans="1:19" ht="14.25" customHeight="1" x14ac:dyDescent="0.2">
      <c r="A2405" s="1" t="s">
        <v>33</v>
      </c>
      <c r="B2405" s="7">
        <v>46102.167210648149</v>
      </c>
      <c r="C2405" s="7">
        <v>46102.193541666667</v>
      </c>
      <c r="D2405" s="8">
        <v>46102</v>
      </c>
      <c r="E2405" s="9">
        <v>0.19354166666744277</v>
      </c>
      <c r="F2405" s="10" t="s">
        <v>2687</v>
      </c>
      <c r="G2405" s="10" t="s">
        <v>21</v>
      </c>
      <c r="H2405" s="10" t="s">
        <v>281</v>
      </c>
      <c r="I2405" s="10" t="s">
        <v>23</v>
      </c>
      <c r="J2405" s="11">
        <v>2.5</v>
      </c>
      <c r="K2405" s="12"/>
      <c r="L2405" s="12"/>
      <c r="M2405" s="12"/>
      <c r="N2405" s="12"/>
      <c r="O2405" s="12"/>
      <c r="P2405" s="12"/>
      <c r="Q2405" s="12"/>
      <c r="R2405" s="12"/>
      <c r="S2405" s="12"/>
    </row>
    <row r="2406" spans="1:19" ht="14.25" customHeight="1" x14ac:dyDescent="0.2">
      <c r="A2406" s="1" t="s">
        <v>57</v>
      </c>
      <c r="B2406" s="7">
        <v>46102.18645833333</v>
      </c>
      <c r="C2406" s="7">
        <v>46102.198877314811</v>
      </c>
      <c r="D2406" s="8">
        <v>46102</v>
      </c>
      <c r="E2406" s="9">
        <v>0.19887731481139781</v>
      </c>
      <c r="F2406" s="10" t="s">
        <v>2688</v>
      </c>
      <c r="G2406" s="10" t="s">
        <v>21</v>
      </c>
      <c r="H2406" s="10" t="s">
        <v>303</v>
      </c>
      <c r="I2406" s="10" t="s">
        <v>23</v>
      </c>
      <c r="J2406" s="11">
        <v>1.77</v>
      </c>
      <c r="K2406" s="12"/>
      <c r="L2406" s="12"/>
      <c r="M2406" s="12"/>
      <c r="N2406" s="12"/>
      <c r="O2406" s="12"/>
      <c r="P2406" s="12"/>
      <c r="Q2406" s="12"/>
      <c r="R2406" s="12"/>
      <c r="S2406" s="12"/>
    </row>
    <row r="2407" spans="1:19" ht="14.25" customHeight="1" x14ac:dyDescent="0.2">
      <c r="A2407" s="1" t="s">
        <v>57</v>
      </c>
      <c r="B2407" s="7">
        <v>46102.184363425928</v>
      </c>
      <c r="C2407" s="7">
        <v>46102.199050925927</v>
      </c>
      <c r="D2407" s="8">
        <v>46102</v>
      </c>
      <c r="E2407" s="9">
        <v>0.19905092592671281</v>
      </c>
      <c r="F2407" s="10" t="s">
        <v>2689</v>
      </c>
      <c r="G2407" s="10" t="s">
        <v>21</v>
      </c>
      <c r="H2407" s="10" t="s">
        <v>133</v>
      </c>
      <c r="I2407" s="10" t="s">
        <v>23</v>
      </c>
      <c r="J2407" s="11">
        <v>0.98</v>
      </c>
      <c r="K2407" s="12"/>
      <c r="L2407" s="12"/>
      <c r="M2407" s="12"/>
      <c r="N2407" s="12"/>
      <c r="O2407" s="12"/>
      <c r="P2407" s="12"/>
      <c r="Q2407" s="12"/>
      <c r="R2407" s="12"/>
      <c r="S2407" s="12"/>
    </row>
    <row r="2408" spans="1:19" ht="14.25" customHeight="1" x14ac:dyDescent="0.2">
      <c r="A2408" s="1" t="s">
        <v>57</v>
      </c>
      <c r="B2408" s="7">
        <v>46102.182569444441</v>
      </c>
      <c r="C2408" s="7">
        <v>46102.199305555558</v>
      </c>
      <c r="D2408" s="8">
        <v>46102</v>
      </c>
      <c r="E2408" s="9">
        <v>0.1993055555576575</v>
      </c>
      <c r="F2408" s="10" t="s">
        <v>2690</v>
      </c>
      <c r="G2408" s="10" t="s">
        <v>21</v>
      </c>
      <c r="H2408" s="10" t="s">
        <v>2691</v>
      </c>
      <c r="I2408" s="10" t="s">
        <v>23</v>
      </c>
      <c r="J2408" s="11">
        <v>0.98</v>
      </c>
      <c r="K2408" s="12"/>
      <c r="L2408" s="12"/>
      <c r="M2408" s="12"/>
      <c r="N2408" s="12"/>
      <c r="O2408" s="12"/>
      <c r="P2408" s="12"/>
      <c r="Q2408" s="12"/>
      <c r="R2408" s="12"/>
      <c r="S2408" s="12"/>
    </row>
    <row r="2409" spans="1:19" ht="14.25" customHeight="1" x14ac:dyDescent="0.2">
      <c r="A2409" s="1" t="s">
        <v>95</v>
      </c>
      <c r="B2409" s="7">
        <v>46102.15351851852</v>
      </c>
      <c r="C2409" s="7">
        <v>46102.199479166666</v>
      </c>
      <c r="D2409" s="8">
        <v>46102</v>
      </c>
      <c r="E2409" s="9">
        <v>0.19947916666569654</v>
      </c>
      <c r="F2409" s="10" t="s">
        <v>2692</v>
      </c>
      <c r="G2409" s="10" t="s">
        <v>44</v>
      </c>
      <c r="H2409" s="10" t="s">
        <v>892</v>
      </c>
      <c r="I2409" s="10" t="s">
        <v>23</v>
      </c>
      <c r="J2409" s="11">
        <v>0.18</v>
      </c>
      <c r="K2409" s="12"/>
      <c r="L2409" s="12"/>
      <c r="M2409" s="12"/>
      <c r="N2409" s="12"/>
      <c r="O2409" s="12"/>
      <c r="P2409" s="12"/>
      <c r="Q2409" s="12"/>
      <c r="R2409" s="12"/>
      <c r="S2409" s="12"/>
    </row>
    <row r="2410" spans="1:19" ht="14.25" customHeight="1" x14ac:dyDescent="0.2">
      <c r="A2410" s="1" t="s">
        <v>19</v>
      </c>
      <c r="B2410" s="7">
        <v>46102.187604166669</v>
      </c>
      <c r="C2410" s="7">
        <v>46102.210613425923</v>
      </c>
      <c r="D2410" s="8">
        <v>46102</v>
      </c>
      <c r="E2410" s="9">
        <v>0.21061342592292931</v>
      </c>
      <c r="F2410" s="10" t="s">
        <v>2693</v>
      </c>
      <c r="G2410" s="10" t="s">
        <v>21</v>
      </c>
      <c r="H2410" s="10" t="s">
        <v>2694</v>
      </c>
      <c r="I2410" s="10" t="s">
        <v>23</v>
      </c>
      <c r="J2410" s="11">
        <v>0.98</v>
      </c>
      <c r="K2410" s="12"/>
      <c r="L2410" s="12">
        <f>SUM(J2410:J2424)</f>
        <v>14.959999999999999</v>
      </c>
      <c r="M2410" s="13">
        <f>L2410*65</f>
        <v>972.4</v>
      </c>
      <c r="N2410" s="14">
        <f>MAX(500,M2410)</f>
        <v>972.4</v>
      </c>
      <c r="O2410" s="12"/>
      <c r="P2410" s="12"/>
      <c r="Q2410" s="12"/>
      <c r="R2410" s="12"/>
      <c r="S2410" s="12"/>
    </row>
    <row r="2411" spans="1:19" ht="14.25" customHeight="1" x14ac:dyDescent="0.2">
      <c r="A2411" s="1" t="s">
        <v>95</v>
      </c>
      <c r="B2411" s="7">
        <v>46102.189085648148</v>
      </c>
      <c r="C2411" s="7">
        <v>46102.216909722221</v>
      </c>
      <c r="D2411" s="8">
        <v>46102</v>
      </c>
      <c r="E2411" s="9">
        <v>0.21690972222131677</v>
      </c>
      <c r="F2411" s="10" t="s">
        <v>2695</v>
      </c>
      <c r="G2411" s="10" t="s">
        <v>21</v>
      </c>
      <c r="H2411" s="10" t="s">
        <v>110</v>
      </c>
      <c r="I2411" s="10" t="s">
        <v>23</v>
      </c>
      <c r="J2411" s="11">
        <v>0.83</v>
      </c>
      <c r="K2411" s="12"/>
      <c r="L2411" s="12"/>
      <c r="M2411" s="12"/>
      <c r="N2411" s="12"/>
      <c r="O2411" s="12"/>
      <c r="P2411" s="12"/>
      <c r="Q2411" s="12"/>
      <c r="R2411" s="12"/>
      <c r="S2411" s="12"/>
    </row>
    <row r="2412" spans="1:19" ht="14.25" customHeight="1" x14ac:dyDescent="0.2">
      <c r="A2412" s="1" t="s">
        <v>63</v>
      </c>
      <c r="B2412" s="7">
        <v>46102.179571759261</v>
      </c>
      <c r="C2412" s="7">
        <v>46102.217175925929</v>
      </c>
      <c r="D2412" s="8">
        <v>46102</v>
      </c>
      <c r="E2412" s="9">
        <v>0.21717592592904111</v>
      </c>
      <c r="F2412" s="10" t="s">
        <v>2696</v>
      </c>
      <c r="G2412" s="10" t="s">
        <v>21</v>
      </c>
      <c r="H2412" s="10" t="s">
        <v>110</v>
      </c>
      <c r="I2412" s="10" t="s">
        <v>23</v>
      </c>
      <c r="J2412" s="11">
        <v>0.83</v>
      </c>
      <c r="K2412" s="12"/>
      <c r="L2412" s="12"/>
      <c r="M2412" s="12"/>
      <c r="N2412" s="12"/>
      <c r="O2412" s="12"/>
      <c r="P2412" s="12"/>
      <c r="Q2412" s="12"/>
      <c r="R2412" s="12"/>
      <c r="S2412" s="12"/>
    </row>
    <row r="2413" spans="1:19" ht="14.25" customHeight="1" x14ac:dyDescent="0.2">
      <c r="A2413" s="1" t="s">
        <v>63</v>
      </c>
      <c r="B2413" s="7">
        <v>46102.193530092591</v>
      </c>
      <c r="C2413" s="7">
        <v>46102.217719907407</v>
      </c>
      <c r="D2413" s="8">
        <v>46102</v>
      </c>
      <c r="E2413" s="9">
        <v>0.21771990740671754</v>
      </c>
      <c r="F2413" s="10" t="s">
        <v>2697</v>
      </c>
      <c r="G2413" s="10" t="s">
        <v>21</v>
      </c>
      <c r="H2413" s="10" t="s">
        <v>2698</v>
      </c>
      <c r="I2413" s="10" t="s">
        <v>23</v>
      </c>
      <c r="J2413" s="11">
        <v>1.71</v>
      </c>
      <c r="K2413" s="12"/>
      <c r="L2413" s="12"/>
      <c r="M2413" s="12"/>
      <c r="N2413" s="12"/>
      <c r="O2413" s="12"/>
      <c r="P2413" s="12"/>
      <c r="Q2413" s="12"/>
      <c r="R2413" s="12"/>
      <c r="S2413" s="12"/>
    </row>
    <row r="2414" spans="1:19" ht="14.25" customHeight="1" x14ac:dyDescent="0.2">
      <c r="A2414" s="1" t="s">
        <v>63</v>
      </c>
      <c r="B2414" s="7">
        <v>46102.193530092591</v>
      </c>
      <c r="C2414" s="7">
        <v>46102.218229166669</v>
      </c>
      <c r="D2414" s="8">
        <v>46102</v>
      </c>
      <c r="E2414" s="9">
        <v>0.21822916666860692</v>
      </c>
      <c r="F2414" s="10" t="s">
        <v>2699</v>
      </c>
      <c r="G2414" s="10" t="s">
        <v>21</v>
      </c>
      <c r="H2414" s="10" t="s">
        <v>2700</v>
      </c>
      <c r="I2414" s="10" t="s">
        <v>23</v>
      </c>
      <c r="J2414" s="11">
        <v>1.71</v>
      </c>
      <c r="K2414" s="12"/>
      <c r="L2414" s="12"/>
      <c r="M2414" s="12"/>
      <c r="N2414" s="12"/>
      <c r="O2414" s="12"/>
      <c r="P2414" s="12"/>
      <c r="Q2414" s="12"/>
      <c r="R2414" s="12"/>
      <c r="S2414" s="12"/>
    </row>
    <row r="2415" spans="1:19" ht="14.25" customHeight="1" x14ac:dyDescent="0.2">
      <c r="A2415" s="1" t="s">
        <v>63</v>
      </c>
      <c r="B2415" s="7">
        <v>46102.180659722224</v>
      </c>
      <c r="C2415" s="7">
        <v>46102.219375000001</v>
      </c>
      <c r="D2415" s="8">
        <v>46102</v>
      </c>
      <c r="E2415" s="9">
        <v>0.21937500000058208</v>
      </c>
      <c r="F2415" s="10" t="s">
        <v>2701</v>
      </c>
      <c r="G2415" s="10" t="s">
        <v>21</v>
      </c>
      <c r="H2415" s="10" t="s">
        <v>1279</v>
      </c>
      <c r="I2415" s="10" t="s">
        <v>23</v>
      </c>
      <c r="J2415" s="11">
        <v>1.05</v>
      </c>
      <c r="K2415" s="12"/>
      <c r="L2415" s="12"/>
      <c r="M2415" s="12"/>
      <c r="N2415" s="12"/>
      <c r="O2415" s="12"/>
      <c r="P2415" s="12"/>
      <c r="Q2415" s="12"/>
      <c r="R2415" s="12"/>
      <c r="S2415" s="12"/>
    </row>
    <row r="2416" spans="1:19" ht="14.25" customHeight="1" x14ac:dyDescent="0.2">
      <c r="A2416" s="1" t="s">
        <v>95</v>
      </c>
      <c r="B2416" s="7">
        <v>46102.18546296296</v>
      </c>
      <c r="C2416" s="7">
        <v>46102.219618055555</v>
      </c>
      <c r="D2416" s="8">
        <v>46102</v>
      </c>
      <c r="E2416" s="9">
        <v>0.21961805555474712</v>
      </c>
      <c r="F2416" s="10" t="s">
        <v>2702</v>
      </c>
      <c r="G2416" s="10" t="s">
        <v>21</v>
      </c>
      <c r="H2416" s="10" t="s">
        <v>110</v>
      </c>
      <c r="I2416" s="10" t="s">
        <v>23</v>
      </c>
      <c r="J2416" s="11">
        <v>0.83</v>
      </c>
      <c r="K2416" s="12"/>
      <c r="L2416" s="12"/>
      <c r="M2416" s="12"/>
      <c r="N2416" s="12"/>
      <c r="O2416" s="12"/>
      <c r="P2416" s="12"/>
      <c r="Q2416" s="12"/>
      <c r="R2416" s="12"/>
      <c r="S2416" s="12"/>
    </row>
    <row r="2417" spans="1:19" ht="14.25" customHeight="1" x14ac:dyDescent="0.2">
      <c r="A2417" s="1" t="s">
        <v>95</v>
      </c>
      <c r="B2417" s="7">
        <v>46102.221226851849</v>
      </c>
      <c r="C2417" s="7">
        <v>46102.224791666667</v>
      </c>
      <c r="D2417" s="8">
        <v>46102</v>
      </c>
      <c r="E2417" s="9">
        <v>0.22479166666744277</v>
      </c>
      <c r="F2417" s="10" t="s">
        <v>2703</v>
      </c>
      <c r="G2417" s="10" t="s">
        <v>21</v>
      </c>
      <c r="H2417" s="10" t="s">
        <v>108</v>
      </c>
      <c r="I2417" s="10" t="s">
        <v>23</v>
      </c>
      <c r="J2417" s="11">
        <v>1.7</v>
      </c>
      <c r="K2417" s="12"/>
      <c r="L2417" s="12"/>
      <c r="M2417" s="12"/>
      <c r="N2417" s="12"/>
      <c r="O2417" s="12"/>
      <c r="P2417" s="12"/>
      <c r="Q2417" s="12"/>
      <c r="R2417" s="12"/>
      <c r="S2417" s="12"/>
    </row>
    <row r="2418" spans="1:19" ht="14.25" customHeight="1" x14ac:dyDescent="0.2">
      <c r="A2418" s="1" t="s">
        <v>24</v>
      </c>
      <c r="B2418" s="7">
        <v>46102.213483796295</v>
      </c>
      <c r="C2418" s="7">
        <v>46102.226736111108</v>
      </c>
      <c r="D2418" s="8">
        <v>46102</v>
      </c>
      <c r="E2418" s="9">
        <v>0.22673611110803904</v>
      </c>
      <c r="F2418" s="10" t="s">
        <v>2704</v>
      </c>
      <c r="G2418" s="10" t="s">
        <v>21</v>
      </c>
      <c r="H2418" s="10" t="s">
        <v>71</v>
      </c>
      <c r="I2418" s="10" t="s">
        <v>23</v>
      </c>
      <c r="J2418" s="11">
        <v>1.05</v>
      </c>
      <c r="K2418" s="12"/>
      <c r="L2418" s="12"/>
      <c r="M2418" s="12"/>
      <c r="N2418" s="12"/>
      <c r="O2418" s="12"/>
      <c r="P2418" s="12"/>
      <c r="Q2418" s="12"/>
      <c r="R2418" s="12"/>
      <c r="S2418" s="12"/>
    </row>
    <row r="2419" spans="1:19" ht="14.25" customHeight="1" x14ac:dyDescent="0.2">
      <c r="A2419" s="1" t="s">
        <v>42</v>
      </c>
      <c r="B2419" s="7">
        <v>46102.208993055552</v>
      </c>
      <c r="C2419" s="7">
        <v>46102.227222222224</v>
      </c>
      <c r="D2419" s="8">
        <v>46102</v>
      </c>
      <c r="E2419" s="9">
        <v>0.22722222222364508</v>
      </c>
      <c r="F2419" s="10" t="s">
        <v>2705</v>
      </c>
      <c r="G2419" s="10" t="s">
        <v>44</v>
      </c>
      <c r="H2419" s="10" t="s">
        <v>50</v>
      </c>
      <c r="I2419" s="10" t="s">
        <v>23</v>
      </c>
      <c r="J2419" s="11">
        <v>0.18</v>
      </c>
      <c r="K2419" s="12"/>
      <c r="L2419" s="12"/>
      <c r="M2419" s="12"/>
      <c r="N2419" s="12"/>
      <c r="O2419" s="12"/>
      <c r="P2419" s="12"/>
      <c r="Q2419" s="12"/>
      <c r="R2419" s="12"/>
      <c r="S2419" s="12"/>
    </row>
    <row r="2420" spans="1:19" ht="14.25" customHeight="1" x14ac:dyDescent="0.2">
      <c r="A2420" s="1" t="s">
        <v>42</v>
      </c>
      <c r="B2420" s="7">
        <v>46102.215925925928</v>
      </c>
      <c r="C2420" s="7">
        <v>46102.228101851855</v>
      </c>
      <c r="D2420" s="8">
        <v>46102</v>
      </c>
      <c r="E2420" s="9">
        <v>0.22810185185517184</v>
      </c>
      <c r="F2420" s="10" t="s">
        <v>2706</v>
      </c>
      <c r="G2420" s="10" t="s">
        <v>44</v>
      </c>
      <c r="H2420" s="10" t="s">
        <v>497</v>
      </c>
      <c r="I2420" s="10" t="s">
        <v>23</v>
      </c>
      <c r="J2420" s="11">
        <v>0.18</v>
      </c>
      <c r="K2420" s="12"/>
      <c r="L2420" s="12"/>
      <c r="M2420" s="12"/>
      <c r="N2420" s="12"/>
      <c r="O2420" s="12"/>
      <c r="P2420" s="12"/>
      <c r="Q2420" s="12"/>
      <c r="R2420" s="12"/>
      <c r="S2420" s="12"/>
    </row>
    <row r="2421" spans="1:19" ht="14.25" customHeight="1" x14ac:dyDescent="0.2">
      <c r="A2421" s="1" t="s">
        <v>42</v>
      </c>
      <c r="B2421" s="7">
        <v>46102.211655092593</v>
      </c>
      <c r="C2421" s="7">
        <v>46102.228750000002</v>
      </c>
      <c r="D2421" s="8">
        <v>46102</v>
      </c>
      <c r="E2421" s="9">
        <v>0.22875000000203727</v>
      </c>
      <c r="F2421" s="10" t="s">
        <v>2707</v>
      </c>
      <c r="G2421" s="10" t="s">
        <v>44</v>
      </c>
      <c r="H2421" s="10" t="s">
        <v>50</v>
      </c>
      <c r="I2421" s="10" t="s">
        <v>23</v>
      </c>
      <c r="J2421" s="11">
        <v>0.18</v>
      </c>
      <c r="K2421" s="12"/>
      <c r="L2421" s="12"/>
      <c r="M2421" s="12"/>
      <c r="N2421" s="12"/>
      <c r="O2421" s="12"/>
      <c r="P2421" s="12"/>
      <c r="Q2421" s="12"/>
      <c r="R2421" s="12"/>
      <c r="S2421" s="12"/>
    </row>
    <row r="2422" spans="1:19" ht="14.25" customHeight="1" x14ac:dyDescent="0.2">
      <c r="A2422" s="1" t="s">
        <v>63</v>
      </c>
      <c r="B2422" s="7">
        <v>46102.214108796295</v>
      </c>
      <c r="C2422" s="7">
        <v>46102.23337962963</v>
      </c>
      <c r="D2422" s="8">
        <v>46102</v>
      </c>
      <c r="E2422" s="9">
        <v>0.23337962962978054</v>
      </c>
      <c r="F2422" s="10" t="s">
        <v>2708</v>
      </c>
      <c r="G2422" s="10" t="s">
        <v>21</v>
      </c>
      <c r="H2422" s="10" t="s">
        <v>1535</v>
      </c>
      <c r="I2422" s="10" t="s">
        <v>23</v>
      </c>
      <c r="J2422" s="11">
        <v>1.7</v>
      </c>
      <c r="K2422" s="12"/>
      <c r="L2422" s="12"/>
      <c r="M2422" s="12"/>
      <c r="N2422" s="12"/>
      <c r="O2422" s="12"/>
      <c r="P2422" s="12"/>
      <c r="Q2422" s="12"/>
      <c r="R2422" s="12"/>
      <c r="S2422" s="12"/>
    </row>
    <row r="2423" spans="1:19" ht="14.25" customHeight="1" x14ac:dyDescent="0.2">
      <c r="A2423" s="1" t="s">
        <v>63</v>
      </c>
      <c r="B2423" s="7">
        <v>46102.214108796295</v>
      </c>
      <c r="C2423" s="7">
        <v>46102.233854166669</v>
      </c>
      <c r="D2423" s="8">
        <v>46102</v>
      </c>
      <c r="E2423" s="9">
        <v>0.23385416666860692</v>
      </c>
      <c r="F2423" s="10" t="s">
        <v>2709</v>
      </c>
      <c r="G2423" s="10" t="s">
        <v>21</v>
      </c>
      <c r="H2423" s="10" t="s">
        <v>1279</v>
      </c>
      <c r="I2423" s="10" t="s">
        <v>23</v>
      </c>
      <c r="J2423" s="11">
        <v>1.05</v>
      </c>
      <c r="K2423" s="12"/>
      <c r="L2423" s="12"/>
      <c r="M2423" s="12"/>
      <c r="N2423" s="12"/>
      <c r="O2423" s="12"/>
      <c r="P2423" s="12"/>
      <c r="Q2423" s="12"/>
      <c r="R2423" s="12"/>
      <c r="S2423" s="12"/>
    </row>
    <row r="2424" spans="1:19" ht="14.25" customHeight="1" x14ac:dyDescent="0.2">
      <c r="A2424" s="1" t="s">
        <v>95</v>
      </c>
      <c r="B2424" s="7">
        <v>46102.1877662037</v>
      </c>
      <c r="C2424" s="7">
        <v>46102.248171296298</v>
      </c>
      <c r="D2424" s="8">
        <v>46102</v>
      </c>
      <c r="E2424" s="9">
        <v>0.24817129629809642</v>
      </c>
      <c r="F2424" s="10" t="s">
        <v>2710</v>
      </c>
      <c r="G2424" s="10" t="s">
        <v>21</v>
      </c>
      <c r="H2424" s="10" t="s">
        <v>52</v>
      </c>
      <c r="I2424" s="10" t="s">
        <v>23</v>
      </c>
      <c r="J2424" s="11">
        <v>0.98</v>
      </c>
      <c r="K2424" s="12"/>
      <c r="L2424" s="12"/>
      <c r="M2424" s="12"/>
      <c r="N2424" s="12"/>
      <c r="O2424" s="12"/>
      <c r="P2424" s="12"/>
      <c r="Q2424" s="12"/>
      <c r="R2424" s="12"/>
      <c r="S2424" s="12"/>
    </row>
    <row r="2425" spans="1:19" ht="14.25" customHeight="1" x14ac:dyDescent="0.2">
      <c r="A2425" s="1" t="s">
        <v>24</v>
      </c>
      <c r="B2425" s="7">
        <v>46102.855416666665</v>
      </c>
      <c r="C2425" s="7">
        <v>46102.879965277774</v>
      </c>
      <c r="D2425" s="8">
        <v>46102</v>
      </c>
      <c r="E2425" s="9">
        <v>0.87996527777431766</v>
      </c>
      <c r="F2425" s="10" t="s">
        <v>2711</v>
      </c>
      <c r="G2425" s="10" t="s">
        <v>21</v>
      </c>
      <c r="H2425" s="10" t="s">
        <v>41</v>
      </c>
      <c r="I2425" s="10" t="s">
        <v>23</v>
      </c>
      <c r="J2425" s="11">
        <v>1.77</v>
      </c>
      <c r="K2425" s="12">
        <f>SUM(J2425:J2531)</f>
        <v>131.08999999999995</v>
      </c>
      <c r="L2425" s="12">
        <f>SUM(J2425:J2436)</f>
        <v>14.51</v>
      </c>
      <c r="M2425" s="13">
        <f>L2425*65</f>
        <v>943.15</v>
      </c>
      <c r="N2425" s="14">
        <f>MAX(500,M2425)</f>
        <v>943.15</v>
      </c>
      <c r="O2425" s="12"/>
      <c r="P2425" s="12"/>
      <c r="Q2425" s="12"/>
      <c r="R2425" s="12"/>
      <c r="S2425" s="12"/>
    </row>
    <row r="2426" spans="1:19" ht="14.25" customHeight="1" x14ac:dyDescent="0.2">
      <c r="A2426" s="1" t="s">
        <v>24</v>
      </c>
      <c r="B2426" s="7">
        <v>46102.84033564815</v>
      </c>
      <c r="C2426" s="7">
        <v>46102.880254629628</v>
      </c>
      <c r="D2426" s="8">
        <v>46102</v>
      </c>
      <c r="E2426" s="9">
        <v>0.88025462962832535</v>
      </c>
      <c r="F2426" s="10" t="s">
        <v>2712</v>
      </c>
      <c r="G2426" s="10" t="s">
        <v>21</v>
      </c>
      <c r="H2426" s="10" t="s">
        <v>216</v>
      </c>
      <c r="I2426" s="10" t="s">
        <v>23</v>
      </c>
      <c r="J2426" s="11">
        <v>0.98</v>
      </c>
      <c r="K2426" s="12"/>
      <c r="L2426" s="12"/>
      <c r="M2426" s="12"/>
      <c r="N2426" s="12"/>
      <c r="O2426" s="12"/>
      <c r="P2426" s="12"/>
      <c r="Q2426" s="12"/>
      <c r="R2426" s="12"/>
      <c r="S2426" s="12"/>
    </row>
    <row r="2427" spans="1:19" ht="14.25" customHeight="1" x14ac:dyDescent="0.2">
      <c r="A2427" s="1" t="s">
        <v>24</v>
      </c>
      <c r="B2427" s="7">
        <v>46102.832974537036</v>
      </c>
      <c r="C2427" s="7">
        <v>46102.881307870368</v>
      </c>
      <c r="D2427" s="8">
        <v>46102</v>
      </c>
      <c r="E2427" s="9">
        <v>0.88130787036789116</v>
      </c>
      <c r="F2427" s="10" t="s">
        <v>2713</v>
      </c>
      <c r="G2427" s="10" t="s">
        <v>21</v>
      </c>
      <c r="H2427" s="10" t="s">
        <v>41</v>
      </c>
      <c r="I2427" s="10" t="s">
        <v>23</v>
      </c>
      <c r="J2427" s="11">
        <v>1.77</v>
      </c>
      <c r="K2427" s="12"/>
      <c r="L2427" s="12"/>
      <c r="M2427" s="12"/>
      <c r="N2427" s="12"/>
      <c r="O2427" s="12"/>
      <c r="P2427" s="12"/>
      <c r="Q2427" s="12"/>
      <c r="R2427" s="12"/>
      <c r="S2427" s="12"/>
    </row>
    <row r="2428" spans="1:19" ht="14.25" customHeight="1" x14ac:dyDescent="0.2">
      <c r="A2428" s="1" t="s">
        <v>24</v>
      </c>
      <c r="B2428" s="7">
        <v>46102.872152777774</v>
      </c>
      <c r="C2428" s="7">
        <v>46102.888495370367</v>
      </c>
      <c r="D2428" s="8">
        <v>46102</v>
      </c>
      <c r="E2428" s="9">
        <v>0.88849537036730908</v>
      </c>
      <c r="F2428" s="10" t="s">
        <v>2714</v>
      </c>
      <c r="G2428" s="10" t="s">
        <v>26</v>
      </c>
      <c r="H2428" s="10" t="s">
        <v>2715</v>
      </c>
      <c r="I2428" s="10" t="s">
        <v>23</v>
      </c>
      <c r="J2428" s="11">
        <v>0.88</v>
      </c>
      <c r="K2428" s="12"/>
      <c r="L2428" s="12"/>
      <c r="M2428" s="12"/>
      <c r="N2428" s="12"/>
      <c r="O2428" s="12"/>
      <c r="P2428" s="12"/>
      <c r="Q2428" s="12"/>
      <c r="R2428" s="12"/>
      <c r="S2428" s="12"/>
    </row>
    <row r="2429" spans="1:19" ht="14.25" customHeight="1" x14ac:dyDescent="0.2">
      <c r="A2429" s="1" t="s">
        <v>42</v>
      </c>
      <c r="B2429" s="7">
        <v>46102.867546296293</v>
      </c>
      <c r="C2429" s="7">
        <v>46102.897719907407</v>
      </c>
      <c r="D2429" s="8">
        <v>46102</v>
      </c>
      <c r="E2429" s="9">
        <v>0.89771990740700858</v>
      </c>
      <c r="F2429" s="10" t="s">
        <v>2716</v>
      </c>
      <c r="G2429" s="10" t="s">
        <v>26</v>
      </c>
      <c r="H2429" s="10" t="s">
        <v>78</v>
      </c>
      <c r="I2429" s="10" t="s">
        <v>23</v>
      </c>
      <c r="J2429" s="11">
        <v>0.56999999999999995</v>
      </c>
      <c r="K2429" s="12"/>
      <c r="L2429" s="12"/>
      <c r="M2429" s="12"/>
      <c r="N2429" s="12"/>
      <c r="O2429" s="12"/>
      <c r="P2429" s="12"/>
      <c r="Q2429" s="12"/>
      <c r="R2429" s="12"/>
      <c r="S2429" s="12"/>
    </row>
    <row r="2430" spans="1:19" ht="14.25" customHeight="1" x14ac:dyDescent="0.2">
      <c r="A2430" s="1" t="s">
        <v>19</v>
      </c>
      <c r="B2430" s="7">
        <v>46102.887546296297</v>
      </c>
      <c r="C2430" s="7">
        <v>46102.898263888892</v>
      </c>
      <c r="D2430" s="8">
        <v>46102</v>
      </c>
      <c r="E2430" s="9">
        <v>0.89826388889196096</v>
      </c>
      <c r="F2430" s="10" t="s">
        <v>2717</v>
      </c>
      <c r="G2430" s="10" t="s">
        <v>21</v>
      </c>
      <c r="H2430" s="10" t="s">
        <v>41</v>
      </c>
      <c r="I2430" s="10" t="s">
        <v>23</v>
      </c>
      <c r="J2430" s="11">
        <v>1.77</v>
      </c>
      <c r="K2430" s="12"/>
      <c r="L2430" s="12"/>
      <c r="M2430" s="12"/>
      <c r="N2430" s="12"/>
      <c r="O2430" s="12"/>
      <c r="P2430" s="12"/>
      <c r="Q2430" s="12"/>
      <c r="R2430" s="12"/>
      <c r="S2430" s="12"/>
    </row>
    <row r="2431" spans="1:19" ht="14.25" customHeight="1" x14ac:dyDescent="0.2">
      <c r="A2431" s="1" t="s">
        <v>28</v>
      </c>
      <c r="B2431" s="7">
        <v>46102.878969907404</v>
      </c>
      <c r="C2431" s="7">
        <v>46102.899108796293</v>
      </c>
      <c r="D2431" s="8">
        <v>46102</v>
      </c>
      <c r="E2431" s="9">
        <v>0.89910879629314877</v>
      </c>
      <c r="F2431" s="10" t="s">
        <v>2718</v>
      </c>
      <c r="G2431" s="10" t="s">
        <v>26</v>
      </c>
      <c r="H2431" s="10" t="s">
        <v>90</v>
      </c>
      <c r="I2431" s="10" t="s">
        <v>23</v>
      </c>
      <c r="J2431" s="11">
        <v>1.34</v>
      </c>
      <c r="K2431" s="12"/>
      <c r="L2431" s="12"/>
      <c r="M2431" s="12"/>
      <c r="N2431" s="12"/>
      <c r="O2431" s="12"/>
      <c r="P2431" s="12"/>
      <c r="Q2431" s="12"/>
      <c r="R2431" s="12"/>
      <c r="S2431" s="12"/>
    </row>
    <row r="2432" spans="1:19" ht="14.25" customHeight="1" x14ac:dyDescent="0.2">
      <c r="A2432" s="1" t="s">
        <v>33</v>
      </c>
      <c r="B2432" s="7">
        <v>46102.887141203704</v>
      </c>
      <c r="C2432" s="7">
        <v>46102.90184027778</v>
      </c>
      <c r="D2432" s="8">
        <v>46102</v>
      </c>
      <c r="E2432" s="9">
        <v>0.90184027778013842</v>
      </c>
      <c r="F2432" s="10" t="s">
        <v>2719</v>
      </c>
      <c r="G2432" s="10" t="s">
        <v>21</v>
      </c>
      <c r="H2432" s="10" t="s">
        <v>101</v>
      </c>
      <c r="I2432" s="10" t="s">
        <v>23</v>
      </c>
      <c r="J2432" s="11">
        <v>1.7</v>
      </c>
      <c r="K2432" s="12"/>
      <c r="L2432" s="12"/>
      <c r="M2432" s="12"/>
      <c r="N2432" s="12"/>
      <c r="O2432" s="12"/>
      <c r="P2432" s="12"/>
      <c r="Q2432" s="12"/>
      <c r="R2432" s="12"/>
      <c r="S2432" s="12"/>
    </row>
    <row r="2433" spans="1:19" ht="14.25" customHeight="1" x14ac:dyDescent="0.2">
      <c r="A2433" s="1" t="s">
        <v>57</v>
      </c>
      <c r="B2433" s="7">
        <v>46102.896724537037</v>
      </c>
      <c r="C2433" s="7">
        <v>46102.90384259259</v>
      </c>
      <c r="D2433" s="8">
        <v>46102</v>
      </c>
      <c r="E2433" s="9">
        <v>0.90384259259008104</v>
      </c>
      <c r="F2433" s="10" t="s">
        <v>2720</v>
      </c>
      <c r="G2433" s="10" t="s">
        <v>21</v>
      </c>
      <c r="H2433" s="10" t="s">
        <v>59</v>
      </c>
      <c r="I2433" s="10" t="s">
        <v>23</v>
      </c>
      <c r="J2433" s="11">
        <v>0.83</v>
      </c>
      <c r="K2433" s="12"/>
      <c r="L2433" s="12"/>
      <c r="M2433" s="12"/>
      <c r="N2433" s="12"/>
      <c r="O2433" s="12"/>
      <c r="P2433" s="12"/>
      <c r="Q2433" s="12"/>
      <c r="R2433" s="12"/>
      <c r="S2433" s="12"/>
    </row>
    <row r="2434" spans="1:19" ht="14.25" customHeight="1" x14ac:dyDescent="0.2">
      <c r="A2434" s="1" t="s">
        <v>28</v>
      </c>
      <c r="B2434" s="7">
        <v>46102.892546296294</v>
      </c>
      <c r="C2434" s="7">
        <v>46102.914675925924</v>
      </c>
      <c r="D2434" s="8">
        <v>46102</v>
      </c>
      <c r="E2434" s="9">
        <v>0.91467592592380242</v>
      </c>
      <c r="F2434" s="10" t="s">
        <v>2721</v>
      </c>
      <c r="G2434" s="10" t="s">
        <v>26</v>
      </c>
      <c r="H2434" s="10" t="s">
        <v>90</v>
      </c>
      <c r="I2434" s="10" t="s">
        <v>23</v>
      </c>
      <c r="J2434" s="11">
        <v>1.34</v>
      </c>
      <c r="K2434" s="12"/>
      <c r="L2434" s="12"/>
      <c r="M2434" s="12"/>
      <c r="N2434" s="12"/>
      <c r="O2434" s="12"/>
      <c r="P2434" s="12"/>
      <c r="Q2434" s="12"/>
      <c r="R2434" s="12"/>
      <c r="S2434" s="12"/>
    </row>
    <row r="2435" spans="1:19" ht="14.25" customHeight="1" x14ac:dyDescent="0.2">
      <c r="A2435" s="1" t="s">
        <v>28</v>
      </c>
      <c r="B2435" s="7">
        <v>46102.899270833332</v>
      </c>
      <c r="C2435" s="7">
        <v>46102.915324074071</v>
      </c>
      <c r="D2435" s="8">
        <v>46102</v>
      </c>
      <c r="E2435" s="9">
        <v>0.91532407407066785</v>
      </c>
      <c r="F2435" s="10" t="s">
        <v>2722</v>
      </c>
      <c r="G2435" s="10" t="s">
        <v>21</v>
      </c>
      <c r="H2435" s="10" t="s">
        <v>1116</v>
      </c>
      <c r="I2435" s="10" t="s">
        <v>23</v>
      </c>
      <c r="J2435" s="11">
        <v>0.83</v>
      </c>
      <c r="K2435" s="12"/>
      <c r="L2435" s="12"/>
      <c r="M2435" s="12"/>
      <c r="N2435" s="12"/>
      <c r="O2435" s="12"/>
      <c r="P2435" s="12"/>
      <c r="Q2435" s="12"/>
      <c r="R2435" s="12"/>
      <c r="S2435" s="12"/>
    </row>
    <row r="2436" spans="1:19" ht="14.25" customHeight="1" x14ac:dyDescent="0.2">
      <c r="A2436" s="1" t="s">
        <v>28</v>
      </c>
      <c r="B2436" s="7">
        <v>46102.905266203707</v>
      </c>
      <c r="C2436" s="7">
        <v>46102.916087962964</v>
      </c>
      <c r="D2436" s="8">
        <v>46102</v>
      </c>
      <c r="E2436" s="9">
        <v>0.91608796296350192</v>
      </c>
      <c r="F2436" s="10" t="s">
        <v>2723</v>
      </c>
      <c r="G2436" s="10" t="s">
        <v>26</v>
      </c>
      <c r="H2436" s="10" t="s">
        <v>56</v>
      </c>
      <c r="I2436" s="10" t="s">
        <v>23</v>
      </c>
      <c r="J2436" s="11">
        <v>0.73</v>
      </c>
      <c r="K2436" s="12"/>
      <c r="L2436" s="12"/>
      <c r="M2436" s="12"/>
      <c r="N2436" s="12"/>
      <c r="O2436" s="12"/>
      <c r="P2436" s="12"/>
      <c r="Q2436" s="12"/>
      <c r="R2436" s="12"/>
      <c r="S2436" s="12"/>
    </row>
    <row r="2437" spans="1:19" ht="14.25" customHeight="1" x14ac:dyDescent="0.2">
      <c r="A2437" s="1" t="s">
        <v>28</v>
      </c>
      <c r="B2437" s="7">
        <v>46102.90084490741</v>
      </c>
      <c r="C2437" s="7">
        <v>46102.916747685187</v>
      </c>
      <c r="D2437" s="8">
        <v>46102</v>
      </c>
      <c r="E2437" s="9">
        <v>0.916747685187147</v>
      </c>
      <c r="F2437" s="10" t="s">
        <v>2724</v>
      </c>
      <c r="G2437" s="10" t="s">
        <v>21</v>
      </c>
      <c r="H2437" s="10" t="s">
        <v>268</v>
      </c>
      <c r="I2437" s="10" t="s">
        <v>23</v>
      </c>
      <c r="J2437" s="11">
        <v>1.35</v>
      </c>
      <c r="K2437" s="12"/>
      <c r="L2437" s="12">
        <f>SUM(J2437:J2469)</f>
        <v>37.939999999999991</v>
      </c>
      <c r="M2437" s="13">
        <f>L2437*65</f>
        <v>2466.0999999999995</v>
      </c>
      <c r="N2437" s="14">
        <f>MAX(500,M2437)</f>
        <v>2466.0999999999995</v>
      </c>
      <c r="O2437" s="12"/>
      <c r="P2437" s="12"/>
      <c r="Q2437" s="12"/>
      <c r="R2437" s="12"/>
      <c r="S2437" s="12"/>
    </row>
    <row r="2438" spans="1:19" ht="14.25" customHeight="1" x14ac:dyDescent="0.2">
      <c r="A2438" s="1" t="s">
        <v>33</v>
      </c>
      <c r="B2438" s="7">
        <v>46102.907812500001</v>
      </c>
      <c r="C2438" s="7">
        <v>46102.919768518521</v>
      </c>
      <c r="D2438" s="8">
        <v>46102</v>
      </c>
      <c r="E2438" s="9">
        <v>0.91976851852086838</v>
      </c>
      <c r="F2438" s="10" t="s">
        <v>2725</v>
      </c>
      <c r="G2438" s="10" t="s">
        <v>21</v>
      </c>
      <c r="H2438" s="10" t="s">
        <v>22</v>
      </c>
      <c r="I2438" s="10" t="s">
        <v>23</v>
      </c>
      <c r="J2438" s="11">
        <v>0.83</v>
      </c>
      <c r="K2438" s="12"/>
      <c r="L2438" s="12"/>
      <c r="M2438" s="12"/>
      <c r="N2438" s="12"/>
      <c r="O2438" s="12"/>
      <c r="P2438" s="12"/>
      <c r="Q2438" s="12"/>
      <c r="R2438" s="12"/>
      <c r="S2438" s="12"/>
    </row>
    <row r="2439" spans="1:19" ht="14.25" customHeight="1" x14ac:dyDescent="0.2">
      <c r="A2439" s="1" t="s">
        <v>33</v>
      </c>
      <c r="B2439" s="7">
        <v>46102.897546296299</v>
      </c>
      <c r="C2439" s="7">
        <v>46102.920011574075</v>
      </c>
      <c r="D2439" s="8">
        <v>46102</v>
      </c>
      <c r="E2439" s="9">
        <v>0.92001157407503342</v>
      </c>
      <c r="F2439" s="10" t="s">
        <v>2726</v>
      </c>
      <c r="G2439" s="10" t="s">
        <v>26</v>
      </c>
      <c r="H2439" s="10" t="s">
        <v>2715</v>
      </c>
      <c r="I2439" s="10" t="s">
        <v>23</v>
      </c>
      <c r="J2439" s="11">
        <v>0.88</v>
      </c>
      <c r="K2439" s="12"/>
      <c r="L2439" s="12"/>
      <c r="M2439" s="12"/>
      <c r="N2439" s="12"/>
      <c r="O2439" s="12"/>
      <c r="P2439" s="12"/>
      <c r="Q2439" s="12"/>
      <c r="R2439" s="12"/>
      <c r="S2439" s="12"/>
    </row>
    <row r="2440" spans="1:19" ht="14.25" customHeight="1" x14ac:dyDescent="0.2">
      <c r="A2440" s="1" t="s">
        <v>24</v>
      </c>
      <c r="B2440" s="7">
        <v>46102.888854166667</v>
      </c>
      <c r="C2440" s="7">
        <v>46102.922951388886</v>
      </c>
      <c r="D2440" s="8">
        <v>46102</v>
      </c>
      <c r="E2440" s="9">
        <v>0.92295138888584916</v>
      </c>
      <c r="F2440" s="10" t="s">
        <v>2727</v>
      </c>
      <c r="G2440" s="10" t="s">
        <v>21</v>
      </c>
      <c r="H2440" s="10" t="s">
        <v>22</v>
      </c>
      <c r="I2440" s="10" t="s">
        <v>23</v>
      </c>
      <c r="J2440" s="11">
        <v>0.83</v>
      </c>
      <c r="K2440" s="12"/>
      <c r="L2440" s="12"/>
      <c r="M2440" s="12"/>
      <c r="N2440" s="12"/>
      <c r="O2440" s="12"/>
      <c r="P2440" s="12"/>
      <c r="Q2440" s="12"/>
      <c r="R2440" s="12"/>
      <c r="S2440" s="12"/>
    </row>
    <row r="2441" spans="1:19" ht="14.25" customHeight="1" x14ac:dyDescent="0.2">
      <c r="A2441" s="1" t="s">
        <v>24</v>
      </c>
      <c r="B2441" s="7">
        <v>46102.888854166667</v>
      </c>
      <c r="C2441" s="7">
        <v>46102.923310185186</v>
      </c>
      <c r="D2441" s="8">
        <v>46102</v>
      </c>
      <c r="E2441" s="9">
        <v>0.92331018518598285</v>
      </c>
      <c r="F2441" s="10" t="s">
        <v>2728</v>
      </c>
      <c r="G2441" s="10" t="s">
        <v>21</v>
      </c>
      <c r="H2441" s="10" t="s">
        <v>52</v>
      </c>
      <c r="I2441" s="10" t="s">
        <v>23</v>
      </c>
      <c r="J2441" s="11">
        <v>0.98</v>
      </c>
      <c r="K2441" s="12"/>
      <c r="L2441" s="12"/>
      <c r="M2441" s="12"/>
      <c r="N2441" s="12"/>
      <c r="O2441" s="12"/>
      <c r="P2441" s="12"/>
      <c r="Q2441" s="12"/>
      <c r="R2441" s="12"/>
      <c r="S2441" s="12"/>
    </row>
    <row r="2442" spans="1:19" ht="14.25" customHeight="1" x14ac:dyDescent="0.2">
      <c r="A2442" s="1" t="s">
        <v>24</v>
      </c>
      <c r="B2442" s="7">
        <v>46102.902048611111</v>
      </c>
      <c r="C2442" s="7">
        <v>46102.923657407409</v>
      </c>
      <c r="D2442" s="8">
        <v>46102</v>
      </c>
      <c r="E2442" s="9">
        <v>0.92365740740933688</v>
      </c>
      <c r="F2442" s="10" t="s">
        <v>2729</v>
      </c>
      <c r="G2442" s="10" t="s">
        <v>21</v>
      </c>
      <c r="H2442" s="10" t="s">
        <v>22</v>
      </c>
      <c r="I2442" s="10" t="s">
        <v>23</v>
      </c>
      <c r="J2442" s="11">
        <v>0.83</v>
      </c>
      <c r="K2442" s="12"/>
      <c r="L2442" s="12"/>
      <c r="M2442" s="12"/>
      <c r="N2442" s="12"/>
      <c r="O2442" s="12"/>
      <c r="P2442" s="12"/>
      <c r="Q2442" s="12"/>
      <c r="R2442" s="12"/>
      <c r="S2442" s="12"/>
    </row>
    <row r="2443" spans="1:19" ht="14.25" customHeight="1" x14ac:dyDescent="0.2">
      <c r="A2443" s="1" t="s">
        <v>19</v>
      </c>
      <c r="B2443" s="7">
        <v>46102.913726851853</v>
      </c>
      <c r="C2443" s="7">
        <v>46102.923819444448</v>
      </c>
      <c r="D2443" s="8">
        <v>46102</v>
      </c>
      <c r="E2443" s="9">
        <v>0.92381944444787223</v>
      </c>
      <c r="F2443" s="10" t="s">
        <v>2730</v>
      </c>
      <c r="G2443" s="10" t="s">
        <v>21</v>
      </c>
      <c r="H2443" s="10" t="s">
        <v>22</v>
      </c>
      <c r="I2443" s="10" t="s">
        <v>23</v>
      </c>
      <c r="J2443" s="11">
        <v>0.83</v>
      </c>
      <c r="K2443" s="12"/>
      <c r="L2443" s="12"/>
      <c r="M2443" s="12"/>
      <c r="N2443" s="12"/>
      <c r="O2443" s="12"/>
      <c r="P2443" s="12"/>
      <c r="Q2443" s="12"/>
      <c r="R2443" s="12"/>
      <c r="S2443" s="12"/>
    </row>
    <row r="2444" spans="1:19" ht="14.25" customHeight="1" x14ac:dyDescent="0.2">
      <c r="A2444" s="1" t="s">
        <v>42</v>
      </c>
      <c r="B2444" s="7">
        <v>46102.859710648147</v>
      </c>
      <c r="C2444" s="7">
        <v>46102.926203703704</v>
      </c>
      <c r="D2444" s="8">
        <v>46102</v>
      </c>
      <c r="E2444" s="9">
        <v>0.92620370370423188</v>
      </c>
      <c r="F2444" s="10" t="s">
        <v>2731</v>
      </c>
      <c r="G2444" s="10" t="s">
        <v>21</v>
      </c>
      <c r="H2444" s="10" t="s">
        <v>225</v>
      </c>
      <c r="I2444" s="10" t="s">
        <v>23</v>
      </c>
      <c r="J2444" s="11">
        <v>1.77</v>
      </c>
      <c r="K2444" s="12"/>
      <c r="L2444" s="12"/>
      <c r="M2444" s="12"/>
      <c r="N2444" s="12"/>
      <c r="O2444" s="12"/>
      <c r="P2444" s="12"/>
      <c r="Q2444" s="12"/>
      <c r="R2444" s="12"/>
      <c r="S2444" s="12"/>
    </row>
    <row r="2445" spans="1:19" ht="14.25" customHeight="1" x14ac:dyDescent="0.2">
      <c r="A2445" s="1" t="s">
        <v>24</v>
      </c>
      <c r="B2445" s="7">
        <v>46102.893680555557</v>
      </c>
      <c r="C2445" s="7">
        <v>46102.92827546296</v>
      </c>
      <c r="D2445" s="8">
        <v>46102</v>
      </c>
      <c r="E2445" s="9">
        <v>0.9282754629603005</v>
      </c>
      <c r="F2445" s="10" t="s">
        <v>2732</v>
      </c>
      <c r="G2445" s="10" t="s">
        <v>21</v>
      </c>
      <c r="H2445" s="10" t="s">
        <v>41</v>
      </c>
      <c r="I2445" s="10" t="s">
        <v>23</v>
      </c>
      <c r="J2445" s="11">
        <v>1.77</v>
      </c>
      <c r="K2445" s="12"/>
      <c r="L2445" s="12"/>
      <c r="M2445" s="12"/>
      <c r="N2445" s="12"/>
      <c r="O2445" s="12"/>
      <c r="P2445" s="12"/>
      <c r="Q2445" s="12"/>
      <c r="R2445" s="12"/>
      <c r="S2445" s="12"/>
    </row>
    <row r="2446" spans="1:19" ht="14.25" customHeight="1" x14ac:dyDescent="0.2">
      <c r="A2446" s="1" t="s">
        <v>24</v>
      </c>
      <c r="B2446" s="7">
        <v>46102.845277777778</v>
      </c>
      <c r="C2446" s="7">
        <v>46102.9294212963</v>
      </c>
      <c r="D2446" s="8">
        <v>46102</v>
      </c>
      <c r="E2446" s="9">
        <v>0.92942129629955161</v>
      </c>
      <c r="F2446" s="10" t="s">
        <v>2733</v>
      </c>
      <c r="G2446" s="10" t="s">
        <v>21</v>
      </c>
      <c r="H2446" s="10" t="s">
        <v>2734</v>
      </c>
      <c r="I2446" s="10" t="s">
        <v>23</v>
      </c>
      <c r="J2446" s="11">
        <v>1.27</v>
      </c>
      <c r="K2446" s="12"/>
      <c r="L2446" s="12"/>
      <c r="M2446" s="12"/>
      <c r="N2446" s="12"/>
      <c r="O2446" s="12"/>
      <c r="P2446" s="12"/>
      <c r="Q2446" s="12"/>
      <c r="R2446" s="12"/>
      <c r="S2446" s="12"/>
    </row>
    <row r="2447" spans="1:19" ht="14.25" customHeight="1" x14ac:dyDescent="0.2">
      <c r="A2447" s="1" t="s">
        <v>19</v>
      </c>
      <c r="B2447" s="7">
        <v>46102.922384259262</v>
      </c>
      <c r="C2447" s="7">
        <v>46102.935590277775</v>
      </c>
      <c r="D2447" s="8">
        <v>46102</v>
      </c>
      <c r="E2447" s="9">
        <v>0.93559027777519077</v>
      </c>
      <c r="F2447" s="10" t="s">
        <v>2735</v>
      </c>
      <c r="G2447" s="10" t="s">
        <v>21</v>
      </c>
      <c r="H2447" s="10" t="s">
        <v>22</v>
      </c>
      <c r="I2447" s="10" t="s">
        <v>23</v>
      </c>
      <c r="J2447" s="11">
        <v>0.83</v>
      </c>
      <c r="K2447" s="12"/>
      <c r="L2447" s="12"/>
      <c r="M2447" s="12"/>
      <c r="N2447" s="12"/>
      <c r="O2447" s="12"/>
      <c r="P2447" s="12"/>
      <c r="Q2447" s="12"/>
      <c r="R2447" s="12"/>
      <c r="S2447" s="12"/>
    </row>
    <row r="2448" spans="1:19" ht="14.25" customHeight="1" x14ac:dyDescent="0.2">
      <c r="A2448" s="1" t="s">
        <v>46</v>
      </c>
      <c r="B2448" s="7">
        <v>46102.916064814817</v>
      </c>
      <c r="C2448" s="7">
        <v>46102.936041666668</v>
      </c>
      <c r="D2448" s="8">
        <v>46102</v>
      </c>
      <c r="E2448" s="9">
        <v>0.93604166666773381</v>
      </c>
      <c r="F2448" s="10" t="s">
        <v>2736</v>
      </c>
      <c r="G2448" s="10" t="s">
        <v>21</v>
      </c>
      <c r="H2448" s="10" t="s">
        <v>22</v>
      </c>
      <c r="I2448" s="10" t="s">
        <v>23</v>
      </c>
      <c r="J2448" s="11">
        <v>0.83</v>
      </c>
      <c r="K2448" s="12"/>
      <c r="L2448" s="12"/>
      <c r="M2448" s="12"/>
      <c r="N2448" s="12"/>
      <c r="O2448" s="12"/>
      <c r="P2448" s="12"/>
      <c r="Q2448" s="12"/>
      <c r="R2448" s="12"/>
      <c r="S2448" s="12"/>
    </row>
    <row r="2449" spans="1:19" ht="14.25" customHeight="1" x14ac:dyDescent="0.2">
      <c r="A2449" s="1" t="s">
        <v>19</v>
      </c>
      <c r="B2449" s="7">
        <v>46102.922372685185</v>
      </c>
      <c r="C2449" s="7">
        <v>46102.936296296299</v>
      </c>
      <c r="D2449" s="8">
        <v>46102</v>
      </c>
      <c r="E2449" s="9">
        <v>0.9362962962986785</v>
      </c>
      <c r="F2449" s="10" t="s">
        <v>2737</v>
      </c>
      <c r="G2449" s="10" t="s">
        <v>21</v>
      </c>
      <c r="H2449" s="10" t="s">
        <v>52</v>
      </c>
      <c r="I2449" s="10" t="s">
        <v>23</v>
      </c>
      <c r="J2449" s="11">
        <v>0.98</v>
      </c>
      <c r="K2449" s="12"/>
      <c r="L2449" s="12"/>
      <c r="M2449" s="12"/>
      <c r="N2449" s="12"/>
      <c r="O2449" s="12"/>
      <c r="P2449" s="12"/>
      <c r="Q2449" s="12"/>
      <c r="R2449" s="12"/>
      <c r="S2449" s="12"/>
    </row>
    <row r="2450" spans="1:19" ht="14.25" customHeight="1" x14ac:dyDescent="0.2">
      <c r="A2450" s="1" t="s">
        <v>19</v>
      </c>
      <c r="B2450" s="7">
        <v>46102.929270833331</v>
      </c>
      <c r="C2450" s="7">
        <v>46102.936793981484</v>
      </c>
      <c r="D2450" s="8">
        <v>46102</v>
      </c>
      <c r="E2450" s="9">
        <v>0.93679398148378823</v>
      </c>
      <c r="F2450" s="10" t="s">
        <v>2738</v>
      </c>
      <c r="G2450" s="10" t="s">
        <v>21</v>
      </c>
      <c r="H2450" s="10" t="s">
        <v>41</v>
      </c>
      <c r="I2450" s="10" t="s">
        <v>23</v>
      </c>
      <c r="J2450" s="11">
        <v>1.77</v>
      </c>
      <c r="K2450" s="12"/>
      <c r="L2450" s="12"/>
      <c r="M2450" s="12"/>
      <c r="N2450" s="12"/>
      <c r="O2450" s="12"/>
      <c r="P2450" s="12"/>
      <c r="Q2450" s="12"/>
      <c r="R2450" s="12"/>
      <c r="S2450" s="12"/>
    </row>
    <row r="2451" spans="1:19" ht="14.25" customHeight="1" x14ac:dyDescent="0.2">
      <c r="A2451" s="1" t="s">
        <v>33</v>
      </c>
      <c r="B2451" s="7">
        <v>46102.919861111113</v>
      </c>
      <c r="C2451" s="7">
        <v>46102.938055555554</v>
      </c>
      <c r="D2451" s="8">
        <v>46102</v>
      </c>
      <c r="E2451" s="9">
        <v>0.93805555555445608</v>
      </c>
      <c r="F2451" s="10" t="s">
        <v>2739</v>
      </c>
      <c r="G2451" s="10" t="s">
        <v>21</v>
      </c>
      <c r="H2451" s="10" t="s">
        <v>39</v>
      </c>
      <c r="I2451" s="10" t="s">
        <v>23</v>
      </c>
      <c r="J2451" s="11">
        <v>1.77</v>
      </c>
      <c r="K2451" s="12"/>
      <c r="L2451" s="12"/>
      <c r="M2451" s="12"/>
      <c r="N2451" s="12"/>
      <c r="O2451" s="12"/>
      <c r="P2451" s="12"/>
      <c r="Q2451" s="12"/>
      <c r="R2451" s="12"/>
      <c r="S2451" s="12"/>
    </row>
    <row r="2452" spans="1:19" ht="14.25" customHeight="1" x14ac:dyDescent="0.2">
      <c r="A2452" s="1" t="s">
        <v>42</v>
      </c>
      <c r="B2452" s="7">
        <v>46102.891898148147</v>
      </c>
      <c r="C2452" s="7">
        <v>46102.939675925925</v>
      </c>
      <c r="D2452" s="8">
        <v>46102</v>
      </c>
      <c r="E2452" s="9">
        <v>0.93967592592525762</v>
      </c>
      <c r="F2452" s="10" t="s">
        <v>2740</v>
      </c>
      <c r="G2452" s="10" t="s">
        <v>26</v>
      </c>
      <c r="H2452" s="10" t="s">
        <v>56</v>
      </c>
      <c r="I2452" s="10" t="s">
        <v>23</v>
      </c>
      <c r="J2452" s="11">
        <v>0.73</v>
      </c>
      <c r="K2452" s="12"/>
      <c r="L2452" s="12"/>
      <c r="M2452" s="12"/>
      <c r="N2452" s="12"/>
      <c r="O2452" s="12"/>
      <c r="P2452" s="12"/>
      <c r="Q2452" s="12"/>
      <c r="R2452" s="12"/>
      <c r="S2452" s="12"/>
    </row>
    <row r="2453" spans="1:19" ht="14.25" customHeight="1" x14ac:dyDescent="0.2">
      <c r="A2453" s="1" t="s">
        <v>24</v>
      </c>
      <c r="B2453" s="7">
        <v>46102.920925925922</v>
      </c>
      <c r="C2453" s="7">
        <v>46102.94</v>
      </c>
      <c r="D2453" s="8">
        <v>46102</v>
      </c>
      <c r="E2453" s="9">
        <v>0.94000000000232831</v>
      </c>
      <c r="F2453" s="10" t="s">
        <v>2741</v>
      </c>
      <c r="G2453" s="10" t="s">
        <v>21</v>
      </c>
      <c r="H2453" s="10" t="s">
        <v>1342</v>
      </c>
      <c r="I2453" s="10" t="s">
        <v>23</v>
      </c>
      <c r="J2453" s="11">
        <v>0.83</v>
      </c>
      <c r="K2453" s="12"/>
      <c r="L2453" s="12"/>
      <c r="M2453" s="12"/>
      <c r="N2453" s="12"/>
      <c r="O2453" s="12"/>
      <c r="P2453" s="12"/>
      <c r="Q2453" s="12"/>
      <c r="R2453" s="12"/>
      <c r="S2453" s="12"/>
    </row>
    <row r="2454" spans="1:19" ht="14.25" customHeight="1" x14ac:dyDescent="0.2">
      <c r="A2454" s="1" t="s">
        <v>28</v>
      </c>
      <c r="B2454" s="7">
        <v>46102.92046296296</v>
      </c>
      <c r="C2454" s="7">
        <v>46102.940335648149</v>
      </c>
      <c r="D2454" s="8">
        <v>46102</v>
      </c>
      <c r="E2454" s="9">
        <v>0.94033564814890269</v>
      </c>
      <c r="F2454" s="10" t="s">
        <v>2742</v>
      </c>
      <c r="G2454" s="10" t="s">
        <v>21</v>
      </c>
      <c r="H2454" s="10" t="s">
        <v>41</v>
      </c>
      <c r="I2454" s="10" t="s">
        <v>23</v>
      </c>
      <c r="J2454" s="11">
        <v>1.77</v>
      </c>
      <c r="K2454" s="12"/>
      <c r="L2454" s="12"/>
      <c r="M2454" s="12"/>
      <c r="N2454" s="12"/>
      <c r="O2454" s="12"/>
      <c r="P2454" s="12"/>
      <c r="Q2454" s="12"/>
      <c r="R2454" s="12"/>
      <c r="S2454" s="12"/>
    </row>
    <row r="2455" spans="1:19" ht="14.25" customHeight="1" x14ac:dyDescent="0.2">
      <c r="A2455" s="1" t="s">
        <v>28</v>
      </c>
      <c r="B2455" s="7">
        <v>46102.92046296296</v>
      </c>
      <c r="C2455" s="7">
        <v>46102.940682870372</v>
      </c>
      <c r="D2455" s="8">
        <v>46102</v>
      </c>
      <c r="E2455" s="9">
        <v>0.94068287037225673</v>
      </c>
      <c r="F2455" s="10" t="s">
        <v>2743</v>
      </c>
      <c r="G2455" s="10" t="s">
        <v>21</v>
      </c>
      <c r="H2455" s="10" t="s">
        <v>39</v>
      </c>
      <c r="I2455" s="10" t="s">
        <v>23</v>
      </c>
      <c r="J2455" s="11">
        <v>1.77</v>
      </c>
      <c r="K2455" s="12"/>
      <c r="L2455" s="12"/>
      <c r="M2455" s="12"/>
      <c r="N2455" s="12"/>
      <c r="O2455" s="12"/>
      <c r="P2455" s="12"/>
      <c r="Q2455" s="12"/>
      <c r="R2455" s="12"/>
      <c r="S2455" s="12"/>
    </row>
    <row r="2456" spans="1:19" ht="14.25" customHeight="1" x14ac:dyDescent="0.2">
      <c r="A2456" s="1" t="s">
        <v>24</v>
      </c>
      <c r="B2456" s="7">
        <v>46102.914317129631</v>
      </c>
      <c r="C2456" s="7">
        <v>46102.941377314812</v>
      </c>
      <c r="D2456" s="8">
        <v>46102</v>
      </c>
      <c r="E2456" s="9">
        <v>0.94137731481168885</v>
      </c>
      <c r="F2456" s="10" t="s">
        <v>2744</v>
      </c>
      <c r="G2456" s="10" t="s">
        <v>21</v>
      </c>
      <c r="H2456" s="10" t="s">
        <v>101</v>
      </c>
      <c r="I2456" s="10" t="s">
        <v>23</v>
      </c>
      <c r="J2456" s="11">
        <v>1.7</v>
      </c>
      <c r="K2456" s="12"/>
      <c r="L2456" s="12"/>
      <c r="M2456" s="12"/>
      <c r="N2456" s="12"/>
      <c r="O2456" s="12"/>
      <c r="P2456" s="12"/>
      <c r="Q2456" s="12"/>
      <c r="R2456" s="12"/>
      <c r="S2456" s="12"/>
    </row>
    <row r="2457" spans="1:19" ht="14.25" customHeight="1" x14ac:dyDescent="0.2">
      <c r="A2457" s="1" t="s">
        <v>46</v>
      </c>
      <c r="B2457" s="7">
        <v>46102.919953703706</v>
      </c>
      <c r="C2457" s="7">
        <v>46102.94158564815</v>
      </c>
      <c r="D2457" s="8">
        <v>46102</v>
      </c>
      <c r="E2457" s="9">
        <v>0.94158564815006685</v>
      </c>
      <c r="F2457" s="10" t="s">
        <v>2745</v>
      </c>
      <c r="G2457" s="10" t="s">
        <v>21</v>
      </c>
      <c r="H2457" s="10" t="s">
        <v>52</v>
      </c>
      <c r="I2457" s="10" t="s">
        <v>23</v>
      </c>
      <c r="J2457" s="11">
        <v>0.98</v>
      </c>
      <c r="K2457" s="12"/>
      <c r="L2457" s="12"/>
      <c r="M2457" s="12"/>
      <c r="N2457" s="12"/>
      <c r="O2457" s="12"/>
      <c r="P2457" s="12"/>
      <c r="Q2457" s="12"/>
      <c r="R2457" s="12"/>
      <c r="S2457" s="12"/>
    </row>
    <row r="2458" spans="1:19" ht="14.25" customHeight="1" x14ac:dyDescent="0.2">
      <c r="A2458" s="1" t="s">
        <v>46</v>
      </c>
      <c r="B2458" s="7">
        <v>46102.924895833334</v>
      </c>
      <c r="C2458" s="7">
        <v>46102.94189814815</v>
      </c>
      <c r="D2458" s="8">
        <v>46102</v>
      </c>
      <c r="E2458" s="9">
        <v>0.94189814815035788</v>
      </c>
      <c r="F2458" s="10" t="s">
        <v>2746</v>
      </c>
      <c r="G2458" s="10" t="s">
        <v>21</v>
      </c>
      <c r="H2458" s="10" t="s">
        <v>216</v>
      </c>
      <c r="I2458" s="10" t="s">
        <v>23</v>
      </c>
      <c r="J2458" s="11">
        <v>0.98</v>
      </c>
      <c r="K2458" s="12"/>
      <c r="L2458" s="12"/>
      <c r="M2458" s="12"/>
      <c r="N2458" s="12"/>
      <c r="O2458" s="12"/>
      <c r="P2458" s="12"/>
      <c r="Q2458" s="12"/>
      <c r="R2458" s="12"/>
      <c r="S2458" s="12"/>
    </row>
    <row r="2459" spans="1:19" ht="14.25" customHeight="1" x14ac:dyDescent="0.2">
      <c r="A2459" s="1" t="s">
        <v>46</v>
      </c>
      <c r="B2459" s="7">
        <v>46102.921249999999</v>
      </c>
      <c r="C2459" s="7">
        <v>46102.942106481481</v>
      </c>
      <c r="D2459" s="8">
        <v>46102</v>
      </c>
      <c r="E2459" s="9">
        <v>0.94210648148145992</v>
      </c>
      <c r="F2459" s="10" t="s">
        <v>2747</v>
      </c>
      <c r="G2459" s="10" t="s">
        <v>21</v>
      </c>
      <c r="H2459" s="10" t="s">
        <v>598</v>
      </c>
      <c r="I2459" s="10" t="s">
        <v>23</v>
      </c>
      <c r="J2459" s="11">
        <v>0.98</v>
      </c>
      <c r="K2459" s="12"/>
      <c r="L2459" s="12"/>
      <c r="M2459" s="12"/>
      <c r="N2459" s="12"/>
      <c r="O2459" s="12"/>
      <c r="P2459" s="12"/>
      <c r="Q2459" s="12"/>
      <c r="R2459" s="12"/>
      <c r="S2459" s="12"/>
    </row>
    <row r="2460" spans="1:19" ht="14.25" customHeight="1" x14ac:dyDescent="0.2">
      <c r="A2460" s="1" t="s">
        <v>42</v>
      </c>
      <c r="B2460" s="7">
        <v>46102.917002314818</v>
      </c>
      <c r="C2460" s="7">
        <v>46102.942731481482</v>
      </c>
      <c r="D2460" s="8">
        <v>46102</v>
      </c>
      <c r="E2460" s="9">
        <v>0.942731481482042</v>
      </c>
      <c r="F2460" s="10" t="s">
        <v>2748</v>
      </c>
      <c r="G2460" s="10" t="s">
        <v>44</v>
      </c>
      <c r="H2460" s="10" t="s">
        <v>140</v>
      </c>
      <c r="I2460" s="10" t="s">
        <v>23</v>
      </c>
      <c r="J2460" s="11">
        <v>0.18</v>
      </c>
      <c r="K2460" s="12"/>
      <c r="L2460" s="12"/>
      <c r="M2460" s="12"/>
      <c r="N2460" s="12"/>
      <c r="O2460" s="12"/>
      <c r="P2460" s="12"/>
      <c r="Q2460" s="12"/>
      <c r="R2460" s="12"/>
      <c r="S2460" s="12"/>
    </row>
    <row r="2461" spans="1:19" ht="14.25" customHeight="1" x14ac:dyDescent="0.2">
      <c r="A2461" s="1" t="s">
        <v>33</v>
      </c>
      <c r="B2461" s="7">
        <v>46102.933032407411</v>
      </c>
      <c r="C2461" s="7">
        <v>46102.947106481479</v>
      </c>
      <c r="D2461" s="8">
        <v>46102</v>
      </c>
      <c r="E2461" s="9">
        <v>0.94710648147884058</v>
      </c>
      <c r="F2461" s="10" t="s">
        <v>2749</v>
      </c>
      <c r="G2461" s="10" t="s">
        <v>21</v>
      </c>
      <c r="H2461" s="10" t="s">
        <v>41</v>
      </c>
      <c r="I2461" s="10" t="s">
        <v>23</v>
      </c>
      <c r="J2461" s="11">
        <v>1.77</v>
      </c>
      <c r="K2461" s="12"/>
      <c r="L2461" s="12"/>
      <c r="M2461" s="12"/>
      <c r="N2461" s="12"/>
      <c r="O2461" s="12"/>
      <c r="P2461" s="12"/>
      <c r="Q2461" s="12"/>
      <c r="R2461" s="12"/>
      <c r="S2461" s="12"/>
    </row>
    <row r="2462" spans="1:19" ht="14.25" customHeight="1" x14ac:dyDescent="0.2">
      <c r="A2462" s="1" t="s">
        <v>24</v>
      </c>
      <c r="B2462" s="7">
        <v>46102.902395833335</v>
      </c>
      <c r="C2462" s="7">
        <v>46102.947789351849</v>
      </c>
      <c r="D2462" s="8">
        <v>46102</v>
      </c>
      <c r="E2462" s="9">
        <v>0.947789351848769</v>
      </c>
      <c r="F2462" s="10" t="s">
        <v>2750</v>
      </c>
      <c r="G2462" s="10" t="s">
        <v>26</v>
      </c>
      <c r="H2462" s="10" t="s">
        <v>284</v>
      </c>
      <c r="I2462" s="10" t="s">
        <v>23</v>
      </c>
      <c r="J2462" s="11">
        <v>0.88</v>
      </c>
      <c r="K2462" s="12"/>
      <c r="L2462" s="12"/>
      <c r="M2462" s="12"/>
      <c r="N2462" s="12"/>
      <c r="O2462" s="12"/>
      <c r="P2462" s="12"/>
      <c r="Q2462" s="12"/>
      <c r="R2462" s="12"/>
      <c r="S2462" s="12"/>
    </row>
    <row r="2463" spans="1:19" ht="14.25" customHeight="1" x14ac:dyDescent="0.2">
      <c r="A2463" s="1" t="s">
        <v>42</v>
      </c>
      <c r="B2463" s="7">
        <v>46102.903124999997</v>
      </c>
      <c r="C2463" s="7">
        <v>46102.94809027778</v>
      </c>
      <c r="D2463" s="8">
        <v>46102</v>
      </c>
      <c r="E2463" s="9">
        <v>0.94809027777955635</v>
      </c>
      <c r="F2463" s="10" t="s">
        <v>2751</v>
      </c>
      <c r="G2463" s="10" t="s">
        <v>26</v>
      </c>
      <c r="H2463" s="10" t="s">
        <v>76</v>
      </c>
      <c r="I2463" s="10" t="s">
        <v>23</v>
      </c>
      <c r="J2463" s="11">
        <v>0.75</v>
      </c>
      <c r="K2463" s="12"/>
      <c r="L2463" s="12"/>
      <c r="M2463" s="12"/>
      <c r="N2463" s="12"/>
      <c r="O2463" s="12"/>
      <c r="P2463" s="12"/>
      <c r="Q2463" s="12"/>
      <c r="R2463" s="12"/>
      <c r="S2463" s="12"/>
    </row>
    <row r="2464" spans="1:19" ht="14.25" customHeight="1" x14ac:dyDescent="0.2">
      <c r="A2464" s="1" t="s">
        <v>24</v>
      </c>
      <c r="B2464" s="7">
        <v>46102.93445601852</v>
      </c>
      <c r="C2464" s="7">
        <v>46102.950810185182</v>
      </c>
      <c r="D2464" s="8">
        <v>46102</v>
      </c>
      <c r="E2464" s="9">
        <v>0.95081018518249039</v>
      </c>
      <c r="F2464" s="10" t="s">
        <v>2752</v>
      </c>
      <c r="G2464" s="10" t="s">
        <v>21</v>
      </c>
      <c r="H2464" s="10" t="s">
        <v>52</v>
      </c>
      <c r="I2464" s="10" t="s">
        <v>23</v>
      </c>
      <c r="J2464" s="11">
        <v>0.98</v>
      </c>
      <c r="K2464" s="12"/>
      <c r="L2464" s="12"/>
      <c r="M2464" s="12"/>
      <c r="N2464" s="12"/>
      <c r="O2464" s="12"/>
      <c r="P2464" s="12"/>
      <c r="Q2464" s="12"/>
      <c r="R2464" s="12"/>
      <c r="S2464" s="12"/>
    </row>
    <row r="2465" spans="1:19" ht="14.25" customHeight="1" x14ac:dyDescent="0.2">
      <c r="A2465" s="1" t="s">
        <v>24</v>
      </c>
      <c r="B2465" s="7">
        <v>46102.93445601852</v>
      </c>
      <c r="C2465" s="7">
        <v>46102.950983796298</v>
      </c>
      <c r="D2465" s="8">
        <v>46102</v>
      </c>
      <c r="E2465" s="9">
        <v>0.95098379629780538</v>
      </c>
      <c r="F2465" s="10" t="s">
        <v>2753</v>
      </c>
      <c r="G2465" s="10" t="s">
        <v>21</v>
      </c>
      <c r="H2465" s="10" t="s">
        <v>22</v>
      </c>
      <c r="I2465" s="10" t="s">
        <v>23</v>
      </c>
      <c r="J2465" s="11">
        <v>0.83</v>
      </c>
      <c r="K2465" s="12"/>
      <c r="L2465" s="12"/>
      <c r="M2465" s="12"/>
      <c r="N2465" s="12"/>
      <c r="O2465" s="12"/>
      <c r="P2465" s="12"/>
      <c r="Q2465" s="12"/>
      <c r="R2465" s="12"/>
      <c r="S2465" s="12"/>
    </row>
    <row r="2466" spans="1:19" ht="14.25" customHeight="1" x14ac:dyDescent="0.2">
      <c r="A2466" s="1" t="s">
        <v>24</v>
      </c>
      <c r="B2466" s="7">
        <v>46102.920925925922</v>
      </c>
      <c r="C2466" s="7">
        <v>46102.95212962963</v>
      </c>
      <c r="D2466" s="8">
        <v>46102</v>
      </c>
      <c r="E2466" s="9">
        <v>0.95212962962978054</v>
      </c>
      <c r="F2466" s="10" t="s">
        <v>2754</v>
      </c>
      <c r="G2466" s="10" t="s">
        <v>21</v>
      </c>
      <c r="H2466" s="10" t="s">
        <v>61</v>
      </c>
      <c r="I2466" s="10" t="s">
        <v>23</v>
      </c>
      <c r="J2466" s="11">
        <v>2.5</v>
      </c>
      <c r="K2466" s="12"/>
      <c r="L2466" s="12"/>
      <c r="M2466" s="12"/>
      <c r="N2466" s="12"/>
      <c r="O2466" s="12"/>
      <c r="P2466" s="12"/>
      <c r="Q2466" s="12"/>
      <c r="R2466" s="12"/>
      <c r="S2466" s="12"/>
    </row>
    <row r="2467" spans="1:19" ht="14.25" customHeight="1" x14ac:dyDescent="0.2">
      <c r="A2467" s="1" t="s">
        <v>24</v>
      </c>
      <c r="B2467" s="7">
        <v>46102.93445601852</v>
      </c>
      <c r="C2467" s="7">
        <v>46102.952604166669</v>
      </c>
      <c r="D2467" s="8">
        <v>46102</v>
      </c>
      <c r="E2467" s="9">
        <v>0.95260416666860692</v>
      </c>
      <c r="F2467" s="10" t="s">
        <v>2755</v>
      </c>
      <c r="G2467" s="10" t="s">
        <v>21</v>
      </c>
      <c r="H2467" s="10" t="s">
        <v>216</v>
      </c>
      <c r="I2467" s="10" t="s">
        <v>23</v>
      </c>
      <c r="J2467" s="11">
        <v>0.98</v>
      </c>
      <c r="K2467" s="12"/>
      <c r="L2467" s="12"/>
      <c r="M2467" s="12"/>
      <c r="N2467" s="12"/>
      <c r="O2467" s="12"/>
      <c r="P2467" s="12"/>
      <c r="Q2467" s="12"/>
      <c r="R2467" s="12"/>
      <c r="S2467" s="12"/>
    </row>
    <row r="2468" spans="1:19" ht="14.25" customHeight="1" x14ac:dyDescent="0.2">
      <c r="A2468" s="1" t="s">
        <v>24</v>
      </c>
      <c r="B2468" s="7">
        <v>46102.944537037038</v>
      </c>
      <c r="C2468" s="7">
        <v>46102.9528125</v>
      </c>
      <c r="D2468" s="8">
        <v>46102</v>
      </c>
      <c r="E2468" s="9">
        <v>0.95281249999970896</v>
      </c>
      <c r="F2468" s="10" t="s">
        <v>2756</v>
      </c>
      <c r="G2468" s="10" t="s">
        <v>21</v>
      </c>
      <c r="H2468" s="10" t="s">
        <v>52</v>
      </c>
      <c r="I2468" s="10" t="s">
        <v>23</v>
      </c>
      <c r="J2468" s="11">
        <v>0.98</v>
      </c>
      <c r="K2468" s="12"/>
      <c r="L2468" s="12"/>
      <c r="M2468" s="12"/>
      <c r="N2468" s="12"/>
      <c r="O2468" s="12"/>
      <c r="P2468" s="12"/>
      <c r="Q2468" s="12"/>
      <c r="R2468" s="12"/>
      <c r="S2468" s="12"/>
    </row>
    <row r="2469" spans="1:19" ht="14.25" customHeight="1" x14ac:dyDescent="0.2">
      <c r="A2469" s="1" t="s">
        <v>24</v>
      </c>
      <c r="B2469" s="7">
        <v>46102.93445601852</v>
      </c>
      <c r="C2469" s="7">
        <v>46102.953333333331</v>
      </c>
      <c r="D2469" s="8">
        <v>46102</v>
      </c>
      <c r="E2469" s="9">
        <v>0.95333333333110204</v>
      </c>
      <c r="F2469" s="10" t="s">
        <v>2757</v>
      </c>
      <c r="G2469" s="10" t="s">
        <v>21</v>
      </c>
      <c r="H2469" s="10" t="s">
        <v>1116</v>
      </c>
      <c r="I2469" s="10" t="s">
        <v>23</v>
      </c>
      <c r="J2469" s="11">
        <v>0.83</v>
      </c>
      <c r="K2469" s="12"/>
      <c r="L2469" s="12"/>
      <c r="M2469" s="12"/>
      <c r="N2469" s="12"/>
      <c r="O2469" s="12"/>
      <c r="P2469" s="12"/>
      <c r="Q2469" s="12"/>
      <c r="R2469" s="12"/>
      <c r="S2469" s="12"/>
    </row>
    <row r="2470" spans="1:19" ht="14.25" customHeight="1" x14ac:dyDescent="0.2">
      <c r="A2470" s="1" t="s">
        <v>28</v>
      </c>
      <c r="B2470" s="7">
        <v>46102.945856481485</v>
      </c>
      <c r="C2470" s="7">
        <v>46102.958657407406</v>
      </c>
      <c r="D2470" s="8">
        <v>46102</v>
      </c>
      <c r="E2470" s="9">
        <v>0.95865740740555339</v>
      </c>
      <c r="F2470" s="10" t="s">
        <v>2758</v>
      </c>
      <c r="G2470" s="10" t="s">
        <v>21</v>
      </c>
      <c r="H2470" s="10" t="s">
        <v>22</v>
      </c>
      <c r="I2470" s="10" t="s">
        <v>23</v>
      </c>
      <c r="J2470" s="11">
        <v>0.83</v>
      </c>
      <c r="K2470" s="12"/>
      <c r="L2470" s="12">
        <f>SUM(J2470:J2482)</f>
        <v>18.409999999999993</v>
      </c>
      <c r="M2470" s="13">
        <f>L2470*65</f>
        <v>1196.6499999999996</v>
      </c>
      <c r="N2470" s="14">
        <f>MAX(500,M2470)</f>
        <v>1196.6499999999996</v>
      </c>
      <c r="O2470" s="12"/>
      <c r="P2470" s="12"/>
      <c r="Q2470" s="12"/>
      <c r="R2470" s="12"/>
      <c r="S2470" s="12"/>
    </row>
    <row r="2471" spans="1:19" ht="14.25" customHeight="1" x14ac:dyDescent="0.2">
      <c r="A2471" s="1" t="s">
        <v>19</v>
      </c>
      <c r="B2471" s="7">
        <v>46102.945659722223</v>
      </c>
      <c r="C2471" s="7">
        <v>46102.959641203706</v>
      </c>
      <c r="D2471" s="8">
        <v>46102</v>
      </c>
      <c r="E2471" s="9">
        <v>0.95964120370626915</v>
      </c>
      <c r="F2471" s="10" t="s">
        <v>2759</v>
      </c>
      <c r="G2471" s="10" t="s">
        <v>21</v>
      </c>
      <c r="H2471" s="10" t="s">
        <v>101</v>
      </c>
      <c r="I2471" s="10" t="s">
        <v>23</v>
      </c>
      <c r="J2471" s="11">
        <v>1.7</v>
      </c>
      <c r="K2471" s="12"/>
      <c r="L2471" s="12"/>
      <c r="M2471" s="12"/>
      <c r="N2471" s="12"/>
      <c r="O2471" s="12"/>
      <c r="P2471" s="12"/>
      <c r="Q2471" s="12"/>
      <c r="R2471" s="12"/>
      <c r="S2471" s="12"/>
    </row>
    <row r="2472" spans="1:19" ht="14.25" customHeight="1" x14ac:dyDescent="0.2">
      <c r="A2472" s="1" t="s">
        <v>46</v>
      </c>
      <c r="B2472" s="7">
        <v>46102.936493055553</v>
      </c>
      <c r="C2472" s="7">
        <v>46102.960370370369</v>
      </c>
      <c r="D2472" s="8">
        <v>46102</v>
      </c>
      <c r="E2472" s="9">
        <v>0.96037037036876427</v>
      </c>
      <c r="F2472" s="10" t="s">
        <v>2760</v>
      </c>
      <c r="G2472" s="10" t="s">
        <v>21</v>
      </c>
      <c r="H2472" s="10" t="s">
        <v>409</v>
      </c>
      <c r="I2472" s="10" t="s">
        <v>23</v>
      </c>
      <c r="J2472" s="11">
        <v>2.9</v>
      </c>
      <c r="K2472" s="12"/>
      <c r="L2472" s="12"/>
      <c r="M2472" s="12"/>
      <c r="N2472" s="12"/>
      <c r="O2472" s="12"/>
      <c r="P2472" s="12"/>
      <c r="Q2472" s="12"/>
      <c r="R2472" s="12"/>
      <c r="S2472" s="12"/>
    </row>
    <row r="2473" spans="1:19" ht="14.25" customHeight="1" x14ac:dyDescent="0.2">
      <c r="A2473" s="1" t="s">
        <v>19</v>
      </c>
      <c r="B2473" s="7">
        <v>46102.9533912037</v>
      </c>
      <c r="C2473" s="7">
        <v>46102.966180555559</v>
      </c>
      <c r="D2473" s="8">
        <v>46102</v>
      </c>
      <c r="E2473" s="9">
        <v>0.96618055555882165</v>
      </c>
      <c r="F2473" s="10" t="s">
        <v>2761</v>
      </c>
      <c r="G2473" s="10" t="s">
        <v>21</v>
      </c>
      <c r="H2473" s="10" t="s">
        <v>41</v>
      </c>
      <c r="I2473" s="10" t="s">
        <v>23</v>
      </c>
      <c r="J2473" s="11">
        <v>1.77</v>
      </c>
      <c r="K2473" s="12"/>
      <c r="L2473" s="12"/>
      <c r="M2473" s="12"/>
      <c r="N2473" s="12"/>
      <c r="O2473" s="12"/>
      <c r="P2473" s="12"/>
      <c r="Q2473" s="12"/>
      <c r="R2473" s="12"/>
      <c r="S2473" s="12"/>
    </row>
    <row r="2474" spans="1:19" ht="14.25" customHeight="1" x14ac:dyDescent="0.2">
      <c r="A2474" s="1" t="s">
        <v>148</v>
      </c>
      <c r="B2474" s="7">
        <v>46102.955671296295</v>
      </c>
      <c r="C2474" s="7">
        <v>46102.971770833334</v>
      </c>
      <c r="D2474" s="8">
        <v>46102</v>
      </c>
      <c r="E2474" s="9">
        <v>0.97177083333372138</v>
      </c>
      <c r="F2474" s="10" t="s">
        <v>2762</v>
      </c>
      <c r="G2474" s="10" t="s">
        <v>21</v>
      </c>
      <c r="H2474" s="10" t="s">
        <v>635</v>
      </c>
      <c r="I2474" s="10" t="s">
        <v>23</v>
      </c>
      <c r="J2474" s="11">
        <v>1.77</v>
      </c>
      <c r="K2474" s="12"/>
      <c r="L2474" s="12"/>
      <c r="M2474" s="12"/>
      <c r="N2474" s="12"/>
      <c r="O2474" s="12"/>
      <c r="P2474" s="12"/>
      <c r="Q2474" s="12"/>
      <c r="R2474" s="12"/>
      <c r="S2474" s="12"/>
    </row>
    <row r="2475" spans="1:19" ht="14.25" customHeight="1" x14ac:dyDescent="0.2">
      <c r="A2475" s="1" t="s">
        <v>42</v>
      </c>
      <c r="B2475" s="7">
        <v>46102.93986111111</v>
      </c>
      <c r="C2475" s="7">
        <v>46102.97488425926</v>
      </c>
      <c r="D2475" s="8">
        <v>46102</v>
      </c>
      <c r="E2475" s="9">
        <v>0.97488425925985212</v>
      </c>
      <c r="F2475" s="10" t="s">
        <v>2763</v>
      </c>
      <c r="G2475" s="10" t="s">
        <v>21</v>
      </c>
      <c r="H2475" s="10" t="s">
        <v>97</v>
      </c>
      <c r="I2475" s="10" t="s">
        <v>23</v>
      </c>
      <c r="J2475" s="11">
        <v>1.77</v>
      </c>
      <c r="K2475" s="12"/>
      <c r="L2475" s="12"/>
      <c r="M2475" s="12"/>
      <c r="N2475" s="12"/>
      <c r="O2475" s="12"/>
      <c r="P2475" s="12"/>
      <c r="Q2475" s="12"/>
      <c r="R2475" s="12"/>
      <c r="S2475" s="12"/>
    </row>
    <row r="2476" spans="1:19" ht="14.25" customHeight="1" x14ac:dyDescent="0.2">
      <c r="A2476" s="1" t="s">
        <v>28</v>
      </c>
      <c r="B2476" s="7">
        <v>46102.956932870373</v>
      </c>
      <c r="C2476" s="7">
        <v>46102.975358796299</v>
      </c>
      <c r="D2476" s="8">
        <v>46102</v>
      </c>
      <c r="E2476" s="9">
        <v>0.9753587962986785</v>
      </c>
      <c r="F2476" s="10" t="s">
        <v>2764</v>
      </c>
      <c r="G2476" s="10" t="s">
        <v>21</v>
      </c>
      <c r="H2476" s="10" t="s">
        <v>41</v>
      </c>
      <c r="I2476" s="10" t="s">
        <v>23</v>
      </c>
      <c r="J2476" s="11">
        <v>1.77</v>
      </c>
      <c r="K2476" s="12"/>
      <c r="L2476" s="12"/>
      <c r="M2476" s="12"/>
      <c r="N2476" s="12"/>
      <c r="O2476" s="12"/>
      <c r="P2476" s="12"/>
      <c r="Q2476" s="12"/>
      <c r="R2476" s="12"/>
      <c r="S2476" s="12"/>
    </row>
    <row r="2477" spans="1:19" ht="14.25" customHeight="1" x14ac:dyDescent="0.2">
      <c r="A2477" s="1" t="s">
        <v>28</v>
      </c>
      <c r="B2477" s="7">
        <v>46102.962083333332</v>
      </c>
      <c r="C2477" s="7">
        <v>46102.976030092592</v>
      </c>
      <c r="D2477" s="8">
        <v>46102</v>
      </c>
      <c r="E2477" s="9">
        <v>0.97603009259182727</v>
      </c>
      <c r="F2477" s="10" t="s">
        <v>2765</v>
      </c>
      <c r="G2477" s="10" t="s">
        <v>21</v>
      </c>
      <c r="H2477" s="10" t="s">
        <v>101</v>
      </c>
      <c r="I2477" s="10" t="s">
        <v>23</v>
      </c>
      <c r="J2477" s="11">
        <v>1.7</v>
      </c>
      <c r="K2477" s="12"/>
      <c r="L2477" s="12"/>
      <c r="M2477" s="12"/>
      <c r="N2477" s="12"/>
      <c r="O2477" s="12"/>
      <c r="P2477" s="12"/>
      <c r="Q2477" s="12"/>
      <c r="R2477" s="12"/>
      <c r="S2477" s="12"/>
    </row>
    <row r="2478" spans="1:19" ht="14.25" customHeight="1" x14ac:dyDescent="0.2">
      <c r="A2478" s="1" t="s">
        <v>19</v>
      </c>
      <c r="B2478" s="7">
        <v>46102.941863425927</v>
      </c>
      <c r="C2478" s="7">
        <v>46102.977037037039</v>
      </c>
      <c r="D2478" s="8">
        <v>46102</v>
      </c>
      <c r="E2478" s="9">
        <v>0.97703703703882638</v>
      </c>
      <c r="F2478" s="10" t="s">
        <v>2766</v>
      </c>
      <c r="G2478" s="10" t="s">
        <v>26</v>
      </c>
      <c r="H2478" s="10" t="s">
        <v>56</v>
      </c>
      <c r="I2478" s="10" t="s">
        <v>23</v>
      </c>
      <c r="J2478" s="11">
        <v>0.73</v>
      </c>
      <c r="K2478" s="12"/>
      <c r="L2478" s="12"/>
      <c r="M2478" s="12"/>
      <c r="N2478" s="12"/>
      <c r="O2478" s="12"/>
      <c r="P2478" s="12"/>
      <c r="Q2478" s="12"/>
      <c r="R2478" s="12"/>
      <c r="S2478" s="12"/>
    </row>
    <row r="2479" spans="1:19" ht="14.25" customHeight="1" x14ac:dyDescent="0.2">
      <c r="A2479" s="1" t="s">
        <v>19</v>
      </c>
      <c r="B2479" s="7">
        <v>46102.966574074075</v>
      </c>
      <c r="C2479" s="7">
        <v>46102.982002314813</v>
      </c>
      <c r="D2479" s="8">
        <v>46102</v>
      </c>
      <c r="E2479" s="9">
        <v>0.98200231481314404</v>
      </c>
      <c r="F2479" s="10" t="s">
        <v>2767</v>
      </c>
      <c r="G2479" s="10" t="s">
        <v>21</v>
      </c>
      <c r="H2479" s="10" t="s">
        <v>52</v>
      </c>
      <c r="I2479" s="10" t="s">
        <v>23</v>
      </c>
      <c r="J2479" s="11">
        <v>0.98</v>
      </c>
      <c r="K2479" s="12"/>
      <c r="L2479" s="12"/>
      <c r="M2479" s="12"/>
      <c r="N2479" s="12"/>
      <c r="O2479" s="12"/>
      <c r="P2479" s="12"/>
      <c r="Q2479" s="12"/>
      <c r="R2479" s="12"/>
      <c r="S2479" s="12"/>
    </row>
    <row r="2480" spans="1:19" ht="14.25" customHeight="1" x14ac:dyDescent="0.2">
      <c r="A2480" s="1" t="s">
        <v>19</v>
      </c>
      <c r="B2480" s="7">
        <v>46102.966562499998</v>
      </c>
      <c r="C2480" s="7">
        <v>46102.982685185183</v>
      </c>
      <c r="D2480" s="8">
        <v>46102</v>
      </c>
      <c r="E2480" s="9">
        <v>0.98268518518307246</v>
      </c>
      <c r="F2480" s="10" t="s">
        <v>2768</v>
      </c>
      <c r="G2480" s="10" t="s">
        <v>21</v>
      </c>
      <c r="H2480" s="10" t="s">
        <v>22</v>
      </c>
      <c r="I2480" s="10" t="s">
        <v>23</v>
      </c>
      <c r="J2480" s="11">
        <v>0.83</v>
      </c>
      <c r="K2480" s="12"/>
      <c r="L2480" s="12"/>
      <c r="M2480" s="12"/>
      <c r="N2480" s="12"/>
      <c r="O2480" s="12"/>
      <c r="P2480" s="12"/>
      <c r="Q2480" s="12"/>
      <c r="R2480" s="12"/>
      <c r="S2480" s="12"/>
    </row>
    <row r="2481" spans="1:19" ht="14.25" customHeight="1" x14ac:dyDescent="0.2">
      <c r="A2481" s="1" t="s">
        <v>24</v>
      </c>
      <c r="B2481" s="7">
        <v>46102.958865740744</v>
      </c>
      <c r="C2481" s="7">
        <v>46102.983055555553</v>
      </c>
      <c r="D2481" s="8">
        <v>46102</v>
      </c>
      <c r="E2481" s="9">
        <v>0.98305555555270985</v>
      </c>
      <c r="F2481" s="10" t="s">
        <v>2769</v>
      </c>
      <c r="G2481" s="10" t="s">
        <v>21</v>
      </c>
      <c r="H2481" s="10" t="s">
        <v>1116</v>
      </c>
      <c r="I2481" s="10" t="s">
        <v>23</v>
      </c>
      <c r="J2481" s="11">
        <v>0.83</v>
      </c>
      <c r="K2481" s="12"/>
      <c r="L2481" s="12"/>
      <c r="M2481" s="12"/>
      <c r="N2481" s="12"/>
      <c r="O2481" s="12"/>
      <c r="P2481" s="12"/>
      <c r="Q2481" s="12"/>
      <c r="R2481" s="12"/>
      <c r="S2481" s="12"/>
    </row>
    <row r="2482" spans="1:19" ht="14.25" customHeight="1" x14ac:dyDescent="0.2">
      <c r="A2482" s="1" t="s">
        <v>19</v>
      </c>
      <c r="B2482" s="7">
        <v>46102.976597222223</v>
      </c>
      <c r="C2482" s="7">
        <v>46102.983437499999</v>
      </c>
      <c r="D2482" s="8">
        <v>46102</v>
      </c>
      <c r="E2482" s="9">
        <v>0.98343749999912689</v>
      </c>
      <c r="F2482" s="10" t="s">
        <v>2770</v>
      </c>
      <c r="G2482" s="10" t="s">
        <v>21</v>
      </c>
      <c r="H2482" s="10" t="s">
        <v>54</v>
      </c>
      <c r="I2482" s="10" t="s">
        <v>23</v>
      </c>
      <c r="J2482" s="11">
        <v>0.83</v>
      </c>
      <c r="K2482" s="12"/>
      <c r="L2482" s="12"/>
      <c r="M2482" s="12"/>
      <c r="N2482" s="12"/>
      <c r="O2482" s="12"/>
      <c r="P2482" s="12"/>
      <c r="Q2482" s="12"/>
      <c r="R2482" s="12"/>
      <c r="S2482" s="12"/>
    </row>
    <row r="2483" spans="1:19" ht="14.25" customHeight="1" x14ac:dyDescent="0.2">
      <c r="A2483" s="1" t="s">
        <v>57</v>
      </c>
      <c r="B2483" s="7">
        <v>46102.980243055557</v>
      </c>
      <c r="C2483" s="7">
        <v>46103.001215277778</v>
      </c>
      <c r="D2483" s="8">
        <v>46103</v>
      </c>
      <c r="E2483" s="9">
        <v>1.2152777781011537E-3</v>
      </c>
      <c r="F2483" s="10" t="s">
        <v>2771</v>
      </c>
      <c r="G2483" s="10" t="s">
        <v>21</v>
      </c>
      <c r="H2483" s="10" t="s">
        <v>59</v>
      </c>
      <c r="I2483" s="10" t="s">
        <v>23</v>
      </c>
      <c r="J2483" s="11">
        <v>0.83</v>
      </c>
      <c r="K2483" s="12"/>
      <c r="L2483" s="12">
        <f>SUM(J2483:J2509)</f>
        <v>35.669999999999987</v>
      </c>
      <c r="M2483" s="13">
        <f>L2483*65</f>
        <v>2318.5499999999993</v>
      </c>
      <c r="N2483" s="14">
        <f>MAX(500,M2483)</f>
        <v>2318.5499999999993</v>
      </c>
      <c r="O2483" s="12"/>
      <c r="P2483" s="12"/>
      <c r="Q2483" s="12"/>
      <c r="R2483" s="12"/>
      <c r="S2483" s="12"/>
    </row>
    <row r="2484" spans="1:19" ht="14.25" customHeight="1" x14ac:dyDescent="0.2">
      <c r="A2484" s="1" t="s">
        <v>95</v>
      </c>
      <c r="B2484" s="7">
        <v>46102.967835648145</v>
      </c>
      <c r="C2484" s="7">
        <v>46103.00172453704</v>
      </c>
      <c r="D2484" s="8">
        <v>46103</v>
      </c>
      <c r="E2484" s="9">
        <v>1.7245370399905369E-3</v>
      </c>
      <c r="F2484" s="10" t="s">
        <v>2772</v>
      </c>
      <c r="G2484" s="10" t="s">
        <v>21</v>
      </c>
      <c r="H2484" s="10" t="s">
        <v>154</v>
      </c>
      <c r="I2484" s="10" t="s">
        <v>23</v>
      </c>
      <c r="J2484" s="11">
        <v>1.77</v>
      </c>
      <c r="K2484" s="12"/>
      <c r="L2484" s="12"/>
      <c r="M2484" s="12"/>
      <c r="N2484" s="12"/>
      <c r="O2484" s="12"/>
      <c r="P2484" s="12"/>
      <c r="Q2484" s="12"/>
      <c r="R2484" s="12"/>
      <c r="S2484" s="12"/>
    </row>
    <row r="2485" spans="1:19" ht="14.25" customHeight="1" x14ac:dyDescent="0.2">
      <c r="A2485" s="1" t="s">
        <v>28</v>
      </c>
      <c r="B2485" s="7">
        <v>46102.969571759262</v>
      </c>
      <c r="C2485" s="7">
        <v>46103.002280092594</v>
      </c>
      <c r="D2485" s="8">
        <v>46103</v>
      </c>
      <c r="E2485" s="9">
        <v>2.2800925944466144E-3</v>
      </c>
      <c r="F2485" s="10" t="s">
        <v>2773</v>
      </c>
      <c r="G2485" s="10" t="s">
        <v>21</v>
      </c>
      <c r="H2485" s="10" t="s">
        <v>1966</v>
      </c>
      <c r="I2485" s="10" t="s">
        <v>23</v>
      </c>
      <c r="J2485" s="11">
        <v>1.1299999999999999</v>
      </c>
      <c r="K2485" s="12"/>
      <c r="L2485" s="12"/>
      <c r="M2485" s="12"/>
      <c r="N2485" s="12"/>
      <c r="O2485" s="12"/>
      <c r="P2485" s="12"/>
      <c r="Q2485" s="12"/>
      <c r="R2485" s="12"/>
      <c r="S2485" s="12"/>
    </row>
    <row r="2486" spans="1:19" ht="14.25" customHeight="1" x14ac:dyDescent="0.2">
      <c r="A2486" s="1" t="s">
        <v>28</v>
      </c>
      <c r="B2486" s="7">
        <v>46102.979212962964</v>
      </c>
      <c r="C2486" s="7">
        <v>46103.002581018518</v>
      </c>
      <c r="D2486" s="8">
        <v>46103</v>
      </c>
      <c r="E2486" s="9">
        <v>2.5810185179580003E-3</v>
      </c>
      <c r="F2486" s="10" t="s">
        <v>2774</v>
      </c>
      <c r="G2486" s="10" t="s">
        <v>21</v>
      </c>
      <c r="H2486" s="10" t="s">
        <v>41</v>
      </c>
      <c r="I2486" s="10" t="s">
        <v>23</v>
      </c>
      <c r="J2486" s="11">
        <v>1.77</v>
      </c>
      <c r="K2486" s="12"/>
      <c r="L2486" s="12"/>
      <c r="M2486" s="12"/>
      <c r="N2486" s="12"/>
      <c r="O2486" s="12"/>
      <c r="P2486" s="12"/>
      <c r="Q2486" s="12"/>
      <c r="R2486" s="12"/>
      <c r="S2486" s="12"/>
    </row>
    <row r="2487" spans="1:19" ht="14.25" customHeight="1" x14ac:dyDescent="0.2">
      <c r="A2487" s="1" t="s">
        <v>24</v>
      </c>
      <c r="B2487" s="7">
        <v>46102.964837962965</v>
      </c>
      <c r="C2487" s="7">
        <v>46103.003483796296</v>
      </c>
      <c r="D2487" s="8">
        <v>46103</v>
      </c>
      <c r="E2487" s="9">
        <v>3.4837962957681157E-3</v>
      </c>
      <c r="F2487" s="10" t="s">
        <v>2775</v>
      </c>
      <c r="G2487" s="10" t="s">
        <v>26</v>
      </c>
      <c r="H2487" s="10" t="s">
        <v>80</v>
      </c>
      <c r="I2487" s="10" t="s">
        <v>23</v>
      </c>
      <c r="J2487" s="11">
        <v>0.56999999999999995</v>
      </c>
      <c r="K2487" s="12"/>
      <c r="L2487" s="12"/>
      <c r="M2487" s="12"/>
      <c r="N2487" s="12"/>
      <c r="O2487" s="12"/>
      <c r="P2487" s="12"/>
      <c r="Q2487" s="12"/>
      <c r="R2487" s="12"/>
      <c r="S2487" s="12"/>
    </row>
    <row r="2488" spans="1:19" ht="14.25" customHeight="1" x14ac:dyDescent="0.2">
      <c r="A2488" s="1" t="s">
        <v>24</v>
      </c>
      <c r="B2488" s="7">
        <v>46102.952638888892</v>
      </c>
      <c r="C2488" s="7">
        <v>46103.004236111112</v>
      </c>
      <c r="D2488" s="8">
        <v>46103</v>
      </c>
      <c r="E2488" s="9">
        <v>4.2361111118225381E-3</v>
      </c>
      <c r="F2488" s="10" t="s">
        <v>2776</v>
      </c>
      <c r="G2488" s="10" t="s">
        <v>26</v>
      </c>
      <c r="H2488" s="10" t="s">
        <v>80</v>
      </c>
      <c r="I2488" s="10" t="s">
        <v>23</v>
      </c>
      <c r="J2488" s="11">
        <v>0.56999999999999995</v>
      </c>
      <c r="K2488" s="12"/>
      <c r="L2488" s="12"/>
      <c r="M2488" s="12"/>
      <c r="N2488" s="12"/>
      <c r="O2488" s="12"/>
      <c r="P2488" s="12"/>
      <c r="Q2488" s="12"/>
      <c r="R2488" s="12"/>
      <c r="S2488" s="12"/>
    </row>
    <row r="2489" spans="1:19" ht="14.25" customHeight="1" x14ac:dyDescent="0.2">
      <c r="A2489" s="1" t="s">
        <v>28</v>
      </c>
      <c r="B2489" s="7">
        <v>46102.977719907409</v>
      </c>
      <c r="C2489" s="7">
        <v>46103.004988425928</v>
      </c>
      <c r="D2489" s="8">
        <v>46103</v>
      </c>
      <c r="E2489" s="9">
        <v>4.9884259278769605E-3</v>
      </c>
      <c r="F2489" s="10" t="s">
        <v>2777</v>
      </c>
      <c r="G2489" s="10" t="s">
        <v>26</v>
      </c>
      <c r="H2489" s="10" t="s">
        <v>92</v>
      </c>
      <c r="I2489" s="10" t="s">
        <v>23</v>
      </c>
      <c r="J2489" s="11">
        <v>0.63</v>
      </c>
      <c r="K2489" s="12"/>
      <c r="L2489" s="12"/>
      <c r="M2489" s="12"/>
      <c r="N2489" s="12"/>
      <c r="O2489" s="12"/>
      <c r="P2489" s="12"/>
      <c r="Q2489" s="12"/>
      <c r="R2489" s="12"/>
      <c r="S2489" s="12"/>
    </row>
    <row r="2490" spans="1:19" ht="14.25" customHeight="1" x14ac:dyDescent="0.2">
      <c r="A2490" s="1" t="s">
        <v>19</v>
      </c>
      <c r="B2490" s="7">
        <v>46102.981319444443</v>
      </c>
      <c r="C2490" s="7">
        <v>46103.006331018521</v>
      </c>
      <c r="D2490" s="8">
        <v>46103</v>
      </c>
      <c r="E2490" s="9">
        <v>6.33101852145046E-3</v>
      </c>
      <c r="F2490" s="10" t="s">
        <v>2778</v>
      </c>
      <c r="G2490" s="10" t="s">
        <v>26</v>
      </c>
      <c r="H2490" s="10" t="s">
        <v>90</v>
      </c>
      <c r="I2490" s="10" t="s">
        <v>23</v>
      </c>
      <c r="J2490" s="11">
        <v>1.34</v>
      </c>
      <c r="K2490" s="12"/>
      <c r="L2490" s="12"/>
      <c r="M2490" s="12"/>
      <c r="N2490" s="12"/>
      <c r="O2490" s="12"/>
      <c r="P2490" s="12"/>
      <c r="Q2490" s="12"/>
      <c r="R2490" s="12"/>
      <c r="S2490" s="12"/>
    </row>
    <row r="2491" spans="1:19" ht="14.25" customHeight="1" x14ac:dyDescent="0.2">
      <c r="A2491" s="1" t="s">
        <v>28</v>
      </c>
      <c r="B2491" s="7">
        <v>46102.997199074074</v>
      </c>
      <c r="C2491" s="7">
        <v>46103.011307870373</v>
      </c>
      <c r="D2491" s="8">
        <v>46103</v>
      </c>
      <c r="E2491" s="9">
        <v>1.1307870372547768E-2</v>
      </c>
      <c r="F2491" s="10" t="s">
        <v>2779</v>
      </c>
      <c r="G2491" s="10" t="s">
        <v>21</v>
      </c>
      <c r="H2491" s="10" t="s">
        <v>41</v>
      </c>
      <c r="I2491" s="10" t="s">
        <v>23</v>
      </c>
      <c r="J2491" s="11">
        <v>1.77</v>
      </c>
      <c r="K2491" s="12"/>
      <c r="L2491" s="12"/>
      <c r="M2491" s="12"/>
      <c r="N2491" s="12"/>
      <c r="O2491" s="12"/>
      <c r="P2491" s="12"/>
      <c r="Q2491" s="12"/>
      <c r="R2491" s="12"/>
      <c r="S2491" s="12"/>
    </row>
    <row r="2492" spans="1:19" ht="14.25" customHeight="1" x14ac:dyDescent="0.2">
      <c r="A2492" s="1" t="s">
        <v>95</v>
      </c>
      <c r="B2492" s="7">
        <v>46102.981666666667</v>
      </c>
      <c r="C2492" s="7">
        <v>46103.011689814812</v>
      </c>
      <c r="D2492" s="8">
        <v>46103</v>
      </c>
      <c r="E2492" s="9">
        <v>1.1689814811688848E-2</v>
      </c>
      <c r="F2492" s="10" t="s">
        <v>2780</v>
      </c>
      <c r="G2492" s="10" t="s">
        <v>21</v>
      </c>
      <c r="H2492" s="10" t="s">
        <v>97</v>
      </c>
      <c r="I2492" s="10" t="s">
        <v>23</v>
      </c>
      <c r="J2492" s="11">
        <v>1.77</v>
      </c>
      <c r="K2492" s="12"/>
      <c r="L2492" s="12"/>
      <c r="M2492" s="12"/>
      <c r="N2492" s="12"/>
      <c r="O2492" s="12"/>
      <c r="P2492" s="12"/>
      <c r="Q2492" s="12"/>
      <c r="R2492" s="12"/>
      <c r="S2492" s="12"/>
    </row>
    <row r="2493" spans="1:19" ht="14.25" customHeight="1" x14ac:dyDescent="0.2">
      <c r="A2493" s="1" t="s">
        <v>148</v>
      </c>
      <c r="B2493" s="7">
        <v>46102.962754629632</v>
      </c>
      <c r="C2493" s="7">
        <v>46103.012060185189</v>
      </c>
      <c r="D2493" s="8">
        <v>46103</v>
      </c>
      <c r="E2493" s="9">
        <v>1.206018518860219E-2</v>
      </c>
      <c r="F2493" s="10" t="s">
        <v>2781</v>
      </c>
      <c r="G2493" s="10" t="s">
        <v>21</v>
      </c>
      <c r="H2493" s="10" t="s">
        <v>635</v>
      </c>
      <c r="I2493" s="10" t="s">
        <v>23</v>
      </c>
      <c r="J2493" s="11">
        <v>1.77</v>
      </c>
      <c r="K2493" s="12"/>
      <c r="L2493" s="12"/>
      <c r="M2493" s="12"/>
      <c r="N2493" s="12"/>
      <c r="O2493" s="12"/>
      <c r="P2493" s="12"/>
      <c r="Q2493" s="12"/>
      <c r="R2493" s="12"/>
      <c r="S2493" s="12"/>
    </row>
    <row r="2494" spans="1:19" ht="14.25" customHeight="1" x14ac:dyDescent="0.2">
      <c r="A2494" s="1" t="s">
        <v>24</v>
      </c>
      <c r="B2494" s="7">
        <v>46103.004849537036</v>
      </c>
      <c r="C2494" s="7">
        <v>46103.0158912037</v>
      </c>
      <c r="D2494" s="8">
        <v>46103</v>
      </c>
      <c r="E2494" s="9">
        <v>1.5891203700448386E-2</v>
      </c>
      <c r="F2494" s="10" t="s">
        <v>2782</v>
      </c>
      <c r="G2494" s="10" t="s">
        <v>21</v>
      </c>
      <c r="H2494" s="10" t="s">
        <v>41</v>
      </c>
      <c r="I2494" s="10" t="s">
        <v>23</v>
      </c>
      <c r="J2494" s="11">
        <v>1.77</v>
      </c>
      <c r="K2494" s="12"/>
      <c r="L2494" s="12"/>
      <c r="M2494" s="12"/>
      <c r="N2494" s="12"/>
      <c r="O2494" s="12"/>
      <c r="P2494" s="12"/>
      <c r="Q2494" s="12"/>
      <c r="R2494" s="12"/>
      <c r="S2494" s="12"/>
    </row>
    <row r="2495" spans="1:19" ht="14.25" customHeight="1" x14ac:dyDescent="0.2">
      <c r="A2495" s="1" t="s">
        <v>19</v>
      </c>
      <c r="B2495" s="7">
        <v>46102.99690972222</v>
      </c>
      <c r="C2495" s="7">
        <v>46103.016736111109</v>
      </c>
      <c r="D2495" s="8">
        <v>46103</v>
      </c>
      <c r="E2495" s="9">
        <v>1.6736111108912155E-2</v>
      </c>
      <c r="F2495" s="10" t="s">
        <v>2783</v>
      </c>
      <c r="G2495" s="10" t="s">
        <v>21</v>
      </c>
      <c r="H2495" s="10" t="s">
        <v>281</v>
      </c>
      <c r="I2495" s="10" t="s">
        <v>23</v>
      </c>
      <c r="J2495" s="11">
        <v>2.5</v>
      </c>
      <c r="K2495" s="12"/>
      <c r="L2495" s="12"/>
      <c r="M2495" s="12"/>
      <c r="N2495" s="12"/>
      <c r="O2495" s="12"/>
      <c r="P2495" s="12"/>
      <c r="Q2495" s="12"/>
      <c r="R2495" s="12"/>
      <c r="S2495" s="12"/>
    </row>
    <row r="2496" spans="1:19" ht="14.25" customHeight="1" x14ac:dyDescent="0.2">
      <c r="A2496" s="1" t="s">
        <v>95</v>
      </c>
      <c r="B2496" s="7">
        <v>46103.000891203701</v>
      </c>
      <c r="C2496" s="7">
        <v>46103.020995370367</v>
      </c>
      <c r="D2496" s="8">
        <v>46103</v>
      </c>
      <c r="E2496" s="9">
        <v>2.099537036701804E-2</v>
      </c>
      <c r="F2496" s="10" t="s">
        <v>2784</v>
      </c>
      <c r="G2496" s="10" t="s">
        <v>21</v>
      </c>
      <c r="H2496" s="10" t="s">
        <v>97</v>
      </c>
      <c r="I2496" s="10" t="s">
        <v>23</v>
      </c>
      <c r="J2496" s="11">
        <v>1.77</v>
      </c>
      <c r="K2496" s="12"/>
      <c r="L2496" s="12"/>
      <c r="M2496" s="12"/>
      <c r="N2496" s="12"/>
      <c r="O2496" s="12"/>
      <c r="P2496" s="12"/>
      <c r="Q2496" s="12"/>
      <c r="R2496" s="12"/>
      <c r="S2496" s="12"/>
    </row>
    <row r="2497" spans="1:19" ht="14.25" customHeight="1" x14ac:dyDescent="0.2">
      <c r="A2497" s="1" t="s">
        <v>28</v>
      </c>
      <c r="B2497" s="7">
        <v>46103.007951388892</v>
      </c>
      <c r="C2497" s="7">
        <v>46103.021493055552</v>
      </c>
      <c r="D2497" s="8">
        <v>46103</v>
      </c>
      <c r="E2497" s="9">
        <v>2.1493055552127771E-2</v>
      </c>
      <c r="F2497" s="10" t="s">
        <v>2785</v>
      </c>
      <c r="G2497" s="10" t="s">
        <v>21</v>
      </c>
      <c r="H2497" s="10" t="s">
        <v>22</v>
      </c>
      <c r="I2497" s="10" t="s">
        <v>23</v>
      </c>
      <c r="J2497" s="11">
        <v>0.83</v>
      </c>
      <c r="K2497" s="12"/>
      <c r="L2497" s="12"/>
      <c r="M2497" s="12"/>
      <c r="N2497" s="12"/>
      <c r="O2497" s="12"/>
      <c r="P2497" s="12"/>
      <c r="Q2497" s="12"/>
      <c r="R2497" s="12"/>
      <c r="S2497" s="12"/>
    </row>
    <row r="2498" spans="1:19" ht="14.25" customHeight="1" x14ac:dyDescent="0.2">
      <c r="A2498" s="1" t="s">
        <v>95</v>
      </c>
      <c r="B2498" s="7">
        <v>46103.008252314816</v>
      </c>
      <c r="C2498" s="7">
        <v>46103.024745370371</v>
      </c>
      <c r="D2498" s="8">
        <v>46103</v>
      </c>
      <c r="E2498" s="9">
        <v>2.47453703705105E-2</v>
      </c>
      <c r="F2498" s="10" t="s">
        <v>2786</v>
      </c>
      <c r="G2498" s="10" t="s">
        <v>21</v>
      </c>
      <c r="H2498" s="10" t="s">
        <v>110</v>
      </c>
      <c r="I2498" s="10" t="s">
        <v>23</v>
      </c>
      <c r="J2498" s="11">
        <v>0.83</v>
      </c>
      <c r="K2498" s="12"/>
      <c r="L2498" s="12"/>
      <c r="M2498" s="12"/>
      <c r="N2498" s="12"/>
      <c r="O2498" s="12"/>
      <c r="P2498" s="12"/>
      <c r="Q2498" s="12"/>
      <c r="R2498" s="12"/>
      <c r="S2498" s="12"/>
    </row>
    <row r="2499" spans="1:19" ht="14.25" customHeight="1" x14ac:dyDescent="0.2">
      <c r="A2499" s="1" t="s">
        <v>57</v>
      </c>
      <c r="B2499" s="7">
        <v>46103.000011574077</v>
      </c>
      <c r="C2499" s="7">
        <v>46103.025046296294</v>
      </c>
      <c r="D2499" s="8">
        <v>46103</v>
      </c>
      <c r="E2499" s="9">
        <v>2.5046296294021886E-2</v>
      </c>
      <c r="F2499" s="10" t="s">
        <v>2787</v>
      </c>
      <c r="G2499" s="10" t="s">
        <v>21</v>
      </c>
      <c r="H2499" s="10" t="s">
        <v>59</v>
      </c>
      <c r="I2499" s="10" t="s">
        <v>23</v>
      </c>
      <c r="J2499" s="11">
        <v>0.83</v>
      </c>
      <c r="K2499" s="12"/>
      <c r="L2499" s="12"/>
      <c r="M2499" s="12"/>
      <c r="N2499" s="12"/>
      <c r="O2499" s="12"/>
      <c r="P2499" s="12"/>
      <c r="Q2499" s="12"/>
      <c r="R2499" s="12"/>
      <c r="S2499" s="12"/>
    </row>
    <row r="2500" spans="1:19" ht="14.25" customHeight="1" x14ac:dyDescent="0.2">
      <c r="A2500" s="1" t="s">
        <v>57</v>
      </c>
      <c r="B2500" s="7">
        <v>46103.001238425924</v>
      </c>
      <c r="C2500" s="7">
        <v>46103.025324074071</v>
      </c>
      <c r="D2500" s="8">
        <v>46103</v>
      </c>
      <c r="E2500" s="9">
        <v>2.5324074071249925E-2</v>
      </c>
      <c r="F2500" s="10" t="s">
        <v>2788</v>
      </c>
      <c r="G2500" s="10" t="s">
        <v>21</v>
      </c>
      <c r="H2500" s="10" t="s">
        <v>710</v>
      </c>
      <c r="I2500" s="10" t="s">
        <v>23</v>
      </c>
      <c r="J2500" s="11">
        <v>0.98</v>
      </c>
      <c r="K2500" s="12"/>
      <c r="L2500" s="12"/>
      <c r="M2500" s="12"/>
      <c r="N2500" s="12"/>
      <c r="O2500" s="12"/>
      <c r="P2500" s="12"/>
      <c r="Q2500" s="12"/>
      <c r="R2500" s="12"/>
      <c r="S2500" s="12"/>
    </row>
    <row r="2501" spans="1:19" ht="14.25" customHeight="1" x14ac:dyDescent="0.2">
      <c r="A2501" s="1" t="s">
        <v>19</v>
      </c>
      <c r="B2501" s="7">
        <v>46102.988287037035</v>
      </c>
      <c r="C2501" s="7">
        <v>46103.025752314818</v>
      </c>
      <c r="D2501" s="8">
        <v>46103</v>
      </c>
      <c r="E2501" s="9">
        <v>2.5752314817509614E-2</v>
      </c>
      <c r="F2501" s="10" t="s">
        <v>2789</v>
      </c>
      <c r="G2501" s="10" t="s">
        <v>26</v>
      </c>
      <c r="H2501" s="10" t="s">
        <v>37</v>
      </c>
      <c r="I2501" s="10" t="s">
        <v>23</v>
      </c>
      <c r="J2501" s="11">
        <v>0.88</v>
      </c>
      <c r="K2501" s="12"/>
      <c r="L2501" s="12"/>
      <c r="M2501" s="12"/>
      <c r="N2501" s="12"/>
      <c r="O2501" s="12"/>
      <c r="P2501" s="12"/>
      <c r="Q2501" s="12"/>
      <c r="R2501" s="12"/>
      <c r="S2501" s="12"/>
    </row>
    <row r="2502" spans="1:19" ht="14.25" customHeight="1" x14ac:dyDescent="0.2">
      <c r="A2502" s="1" t="s">
        <v>57</v>
      </c>
      <c r="B2502" s="7">
        <v>46103.00271990741</v>
      </c>
      <c r="C2502" s="7">
        <v>46103.026539351849</v>
      </c>
      <c r="D2502" s="8">
        <v>46103</v>
      </c>
      <c r="E2502" s="9">
        <v>2.6539351849351078E-2</v>
      </c>
      <c r="F2502" s="10" t="s">
        <v>2790</v>
      </c>
      <c r="G2502" s="10" t="s">
        <v>21</v>
      </c>
      <c r="H2502" s="10" t="s">
        <v>2791</v>
      </c>
      <c r="I2502" s="10" t="s">
        <v>23</v>
      </c>
      <c r="J2502" s="11">
        <v>1.05</v>
      </c>
      <c r="K2502" s="12"/>
      <c r="L2502" s="12"/>
      <c r="M2502" s="12"/>
      <c r="N2502" s="12"/>
      <c r="O2502" s="12"/>
      <c r="P2502" s="12"/>
      <c r="Q2502" s="12"/>
      <c r="R2502" s="12"/>
      <c r="S2502" s="12"/>
    </row>
    <row r="2503" spans="1:19" ht="14.25" customHeight="1" x14ac:dyDescent="0.2">
      <c r="A2503" s="1" t="s">
        <v>57</v>
      </c>
      <c r="B2503" s="7">
        <v>46103.004293981481</v>
      </c>
      <c r="C2503" s="7">
        <v>46103.026979166665</v>
      </c>
      <c r="D2503" s="8">
        <v>46103</v>
      </c>
      <c r="E2503" s="9">
        <v>2.6979166665114462E-2</v>
      </c>
      <c r="F2503" s="10" t="s">
        <v>2792</v>
      </c>
      <c r="G2503" s="10" t="s">
        <v>21</v>
      </c>
      <c r="H2503" s="10" t="s">
        <v>687</v>
      </c>
      <c r="I2503" s="10" t="s">
        <v>23</v>
      </c>
      <c r="J2503" s="11">
        <v>1.7</v>
      </c>
      <c r="K2503" s="12"/>
      <c r="L2503" s="12"/>
      <c r="M2503" s="12"/>
      <c r="N2503" s="12"/>
      <c r="O2503" s="12"/>
      <c r="P2503" s="12"/>
      <c r="Q2503" s="12"/>
      <c r="R2503" s="12"/>
      <c r="S2503" s="12"/>
    </row>
    <row r="2504" spans="1:19" ht="14.25" customHeight="1" x14ac:dyDescent="0.2">
      <c r="A2504" s="1" t="s">
        <v>95</v>
      </c>
      <c r="B2504" s="7">
        <v>46102.99827546296</v>
      </c>
      <c r="C2504" s="7">
        <v>46103.028657407405</v>
      </c>
      <c r="D2504" s="8">
        <v>46103</v>
      </c>
      <c r="E2504" s="9">
        <v>2.8657407405262347E-2</v>
      </c>
      <c r="F2504" s="10" t="s">
        <v>2793</v>
      </c>
      <c r="G2504" s="10" t="s">
        <v>21</v>
      </c>
      <c r="H2504" s="10" t="s">
        <v>108</v>
      </c>
      <c r="I2504" s="10" t="s">
        <v>23</v>
      </c>
      <c r="J2504" s="11">
        <v>1.7</v>
      </c>
      <c r="K2504" s="12"/>
      <c r="L2504" s="12"/>
      <c r="M2504" s="12"/>
      <c r="N2504" s="12"/>
      <c r="O2504" s="12"/>
      <c r="P2504" s="12"/>
      <c r="Q2504" s="12"/>
      <c r="R2504" s="12"/>
      <c r="S2504" s="12"/>
    </row>
    <row r="2505" spans="1:19" ht="14.25" customHeight="1" x14ac:dyDescent="0.2">
      <c r="A2505" s="1" t="s">
        <v>28</v>
      </c>
      <c r="B2505" s="7">
        <v>46102.986724537041</v>
      </c>
      <c r="C2505" s="7">
        <v>46103.029953703706</v>
      </c>
      <c r="D2505" s="8">
        <v>46103</v>
      </c>
      <c r="E2505" s="9">
        <v>2.9953703706269152E-2</v>
      </c>
      <c r="F2505" s="10" t="s">
        <v>2794</v>
      </c>
      <c r="G2505" s="10" t="s">
        <v>21</v>
      </c>
      <c r="H2505" s="10" t="s">
        <v>281</v>
      </c>
      <c r="I2505" s="10" t="s">
        <v>23</v>
      </c>
      <c r="J2505" s="11">
        <v>2.5</v>
      </c>
      <c r="K2505" s="12"/>
      <c r="L2505" s="12"/>
      <c r="M2505" s="12"/>
      <c r="N2505" s="12"/>
      <c r="O2505" s="12"/>
      <c r="P2505" s="12"/>
      <c r="Q2505" s="12"/>
      <c r="R2505" s="12"/>
      <c r="S2505" s="12"/>
    </row>
    <row r="2506" spans="1:19" ht="14.25" customHeight="1" x14ac:dyDescent="0.2">
      <c r="A2506" s="1" t="s">
        <v>24</v>
      </c>
      <c r="B2506" s="7">
        <v>46103.022592592592</v>
      </c>
      <c r="C2506" s="7">
        <v>46103.03979166667</v>
      </c>
      <c r="D2506" s="8">
        <v>46103</v>
      </c>
      <c r="E2506" s="9">
        <v>3.9791666669771075E-2</v>
      </c>
      <c r="F2506" s="10" t="s">
        <v>2795</v>
      </c>
      <c r="G2506" s="10" t="s">
        <v>21</v>
      </c>
      <c r="H2506" s="10" t="s">
        <v>22</v>
      </c>
      <c r="I2506" s="10" t="s">
        <v>23</v>
      </c>
      <c r="J2506" s="11">
        <v>0.83</v>
      </c>
      <c r="K2506" s="12"/>
      <c r="L2506" s="12"/>
      <c r="M2506" s="12"/>
      <c r="N2506" s="12"/>
      <c r="O2506" s="12"/>
      <c r="P2506" s="12"/>
      <c r="Q2506" s="12"/>
      <c r="R2506" s="12"/>
      <c r="S2506" s="12"/>
    </row>
    <row r="2507" spans="1:19" ht="14.25" customHeight="1" x14ac:dyDescent="0.2">
      <c r="A2507" s="1" t="s">
        <v>95</v>
      </c>
      <c r="B2507" s="7">
        <v>46103.018009259256</v>
      </c>
      <c r="C2507" s="7">
        <v>46103.040462962963</v>
      </c>
      <c r="D2507" s="8">
        <v>46103</v>
      </c>
      <c r="E2507" s="9">
        <v>4.0462962962919846E-2</v>
      </c>
      <c r="F2507" s="10" t="s">
        <v>2796</v>
      </c>
      <c r="G2507" s="10" t="s">
        <v>21</v>
      </c>
      <c r="H2507" s="10" t="s">
        <v>110</v>
      </c>
      <c r="I2507" s="10" t="s">
        <v>23</v>
      </c>
      <c r="J2507" s="11">
        <v>0.83</v>
      </c>
      <c r="K2507" s="12"/>
      <c r="L2507" s="12"/>
      <c r="M2507" s="12"/>
      <c r="N2507" s="12"/>
      <c r="O2507" s="12"/>
      <c r="P2507" s="12"/>
      <c r="Q2507" s="12"/>
      <c r="R2507" s="12"/>
      <c r="S2507" s="12"/>
    </row>
    <row r="2508" spans="1:19" ht="14.25" customHeight="1" x14ac:dyDescent="0.2">
      <c r="A2508" s="1" t="s">
        <v>95</v>
      </c>
      <c r="B2508" s="7">
        <v>46103.018009259256</v>
      </c>
      <c r="C2508" s="7">
        <v>46103.041018518517</v>
      </c>
      <c r="D2508" s="8">
        <v>46103</v>
      </c>
      <c r="E2508" s="9">
        <v>4.1018518517375924E-2</v>
      </c>
      <c r="F2508" s="10" t="s">
        <v>2797</v>
      </c>
      <c r="G2508" s="10" t="s">
        <v>21</v>
      </c>
      <c r="H2508" s="10" t="s">
        <v>52</v>
      </c>
      <c r="I2508" s="10" t="s">
        <v>23</v>
      </c>
      <c r="J2508" s="11">
        <v>0.98</v>
      </c>
      <c r="K2508" s="12"/>
      <c r="L2508" s="12"/>
      <c r="M2508" s="12"/>
      <c r="N2508" s="12"/>
      <c r="O2508" s="12"/>
      <c r="P2508" s="12"/>
      <c r="Q2508" s="12"/>
      <c r="R2508" s="12"/>
      <c r="S2508" s="12"/>
    </row>
    <row r="2509" spans="1:19" ht="14.25" customHeight="1" x14ac:dyDescent="0.2">
      <c r="A2509" s="1" t="s">
        <v>19</v>
      </c>
      <c r="B2509" s="7">
        <v>46103.029305555552</v>
      </c>
      <c r="C2509" s="7">
        <v>46103.041655092595</v>
      </c>
      <c r="D2509" s="8">
        <v>46103</v>
      </c>
      <c r="E2509" s="9">
        <v>4.1655092594737653E-2</v>
      </c>
      <c r="F2509" s="10" t="s">
        <v>2798</v>
      </c>
      <c r="G2509" s="10" t="s">
        <v>21</v>
      </c>
      <c r="H2509" s="10" t="s">
        <v>41</v>
      </c>
      <c r="I2509" s="10" t="s">
        <v>23</v>
      </c>
      <c r="J2509" s="11">
        <v>1.77</v>
      </c>
      <c r="K2509" s="12"/>
      <c r="L2509" s="12"/>
      <c r="M2509" s="12"/>
      <c r="N2509" s="12"/>
      <c r="O2509" s="12"/>
      <c r="P2509" s="12"/>
      <c r="Q2509" s="12"/>
      <c r="R2509" s="12"/>
      <c r="S2509" s="12"/>
    </row>
    <row r="2510" spans="1:19" ht="14.25" customHeight="1" x14ac:dyDescent="0.2">
      <c r="A2510" s="1" t="s">
        <v>95</v>
      </c>
      <c r="B2510" s="7">
        <v>46103.022418981483</v>
      </c>
      <c r="C2510" s="7">
        <v>46103.043124999997</v>
      </c>
      <c r="D2510" s="8">
        <v>46103</v>
      </c>
      <c r="E2510" s="9">
        <v>4.312499999650754E-2</v>
      </c>
      <c r="F2510" s="10" t="s">
        <v>2799</v>
      </c>
      <c r="G2510" s="10" t="s">
        <v>21</v>
      </c>
      <c r="H2510" s="10" t="s">
        <v>530</v>
      </c>
      <c r="I2510" s="10" t="s">
        <v>23</v>
      </c>
      <c r="J2510" s="11">
        <v>1.25</v>
      </c>
      <c r="K2510" s="12"/>
      <c r="L2510" s="12">
        <f>SUM(J2510:J2518)</f>
        <v>11.059999999999999</v>
      </c>
      <c r="M2510" s="13">
        <f>L2510*65</f>
        <v>718.89999999999986</v>
      </c>
      <c r="N2510" s="14">
        <f>MAX(500,M2510)</f>
        <v>718.89999999999986</v>
      </c>
      <c r="O2510" s="12"/>
      <c r="P2510" s="12"/>
      <c r="Q2510" s="12"/>
      <c r="R2510" s="12"/>
      <c r="S2510" s="12"/>
    </row>
    <row r="2511" spans="1:19" ht="14.25" customHeight="1" x14ac:dyDescent="0.2">
      <c r="A2511" s="1" t="s">
        <v>42</v>
      </c>
      <c r="B2511" s="7">
        <v>46103.021527777775</v>
      </c>
      <c r="C2511" s="7">
        <v>46103.043842592589</v>
      </c>
      <c r="D2511" s="8">
        <v>46103</v>
      </c>
      <c r="E2511" s="9">
        <v>4.3842592589498963E-2</v>
      </c>
      <c r="F2511" s="10" t="s">
        <v>2800</v>
      </c>
      <c r="G2511" s="10" t="s">
        <v>26</v>
      </c>
      <c r="H2511" s="10" t="s">
        <v>125</v>
      </c>
      <c r="I2511" s="10" t="s">
        <v>23</v>
      </c>
      <c r="J2511" s="11">
        <v>0.63</v>
      </c>
      <c r="K2511" s="12"/>
      <c r="L2511" s="12"/>
      <c r="M2511" s="12"/>
      <c r="N2511" s="12"/>
      <c r="O2511" s="12"/>
      <c r="P2511" s="12"/>
      <c r="Q2511" s="12"/>
      <c r="R2511" s="12"/>
      <c r="S2511" s="12"/>
    </row>
    <row r="2512" spans="1:19" ht="14.25" customHeight="1" x14ac:dyDescent="0.2">
      <c r="A2512" s="1" t="s">
        <v>95</v>
      </c>
      <c r="B2512" s="7">
        <v>46103.012245370373</v>
      </c>
      <c r="C2512" s="7">
        <v>46103.047858796293</v>
      </c>
      <c r="D2512" s="8">
        <v>46103</v>
      </c>
      <c r="E2512" s="9">
        <v>4.7858796293439809E-2</v>
      </c>
      <c r="F2512" s="10" t="s">
        <v>2801</v>
      </c>
      <c r="G2512" s="10" t="s">
        <v>21</v>
      </c>
      <c r="H2512" s="10" t="s">
        <v>1382</v>
      </c>
      <c r="I2512" s="10" t="s">
        <v>23</v>
      </c>
      <c r="J2512" s="11">
        <v>1.77</v>
      </c>
      <c r="K2512" s="12"/>
      <c r="L2512" s="12"/>
      <c r="M2512" s="12"/>
      <c r="N2512" s="12"/>
      <c r="O2512" s="12"/>
      <c r="P2512" s="12"/>
      <c r="Q2512" s="12"/>
      <c r="R2512" s="12"/>
      <c r="S2512" s="12"/>
    </row>
    <row r="2513" spans="1:19" ht="14.25" customHeight="1" x14ac:dyDescent="0.2">
      <c r="A2513" s="1" t="s">
        <v>28</v>
      </c>
      <c r="B2513" s="7">
        <v>46103.03802083333</v>
      </c>
      <c r="C2513" s="7">
        <v>46103.048333333332</v>
      </c>
      <c r="D2513" s="8">
        <v>46103</v>
      </c>
      <c r="E2513" s="9">
        <v>4.8333333332266193E-2</v>
      </c>
      <c r="F2513" s="10" t="s">
        <v>2802</v>
      </c>
      <c r="G2513" s="10" t="s">
        <v>21</v>
      </c>
      <c r="H2513" s="10" t="s">
        <v>22</v>
      </c>
      <c r="I2513" s="10" t="s">
        <v>23</v>
      </c>
      <c r="J2513" s="11">
        <v>0.83</v>
      </c>
      <c r="K2513" s="12"/>
      <c r="L2513" s="12"/>
      <c r="M2513" s="12"/>
      <c r="N2513" s="12"/>
      <c r="O2513" s="12"/>
      <c r="P2513" s="12"/>
      <c r="Q2513" s="12"/>
      <c r="R2513" s="12"/>
      <c r="S2513" s="12"/>
    </row>
    <row r="2514" spans="1:19" ht="14.25" customHeight="1" x14ac:dyDescent="0.2">
      <c r="A2514" s="1" t="s">
        <v>28</v>
      </c>
      <c r="B2514" s="7">
        <v>46103.030162037037</v>
      </c>
      <c r="C2514" s="7">
        <v>46103.048842592594</v>
      </c>
      <c r="D2514" s="8">
        <v>46103</v>
      </c>
      <c r="E2514" s="9">
        <v>4.8842592594155576E-2</v>
      </c>
      <c r="F2514" s="10" t="s">
        <v>2803</v>
      </c>
      <c r="G2514" s="10" t="s">
        <v>21</v>
      </c>
      <c r="H2514" s="10" t="s">
        <v>101</v>
      </c>
      <c r="I2514" s="10" t="s">
        <v>23</v>
      </c>
      <c r="J2514" s="11">
        <v>1.7</v>
      </c>
      <c r="K2514" s="12"/>
      <c r="L2514" s="12"/>
      <c r="M2514" s="12"/>
      <c r="N2514" s="12"/>
      <c r="O2514" s="12"/>
      <c r="P2514" s="12"/>
      <c r="Q2514" s="12"/>
      <c r="R2514" s="12"/>
      <c r="S2514" s="12"/>
    </row>
    <row r="2515" spans="1:19" ht="14.25" customHeight="1" x14ac:dyDescent="0.2">
      <c r="A2515" s="1" t="s">
        <v>95</v>
      </c>
      <c r="B2515" s="7">
        <v>46103.038726851853</v>
      </c>
      <c r="C2515" s="7">
        <v>46103.049444444441</v>
      </c>
      <c r="D2515" s="8">
        <v>46103</v>
      </c>
      <c r="E2515" s="9">
        <v>4.9444444441178348E-2</v>
      </c>
      <c r="F2515" s="10" t="s">
        <v>2804</v>
      </c>
      <c r="G2515" s="10" t="s">
        <v>21</v>
      </c>
      <c r="H2515" s="10" t="s">
        <v>97</v>
      </c>
      <c r="I2515" s="10" t="s">
        <v>23</v>
      </c>
      <c r="J2515" s="11">
        <v>1.77</v>
      </c>
      <c r="K2515" s="12"/>
      <c r="L2515" s="12"/>
      <c r="M2515" s="12"/>
      <c r="N2515" s="12"/>
      <c r="O2515" s="12"/>
      <c r="P2515" s="12"/>
      <c r="Q2515" s="12"/>
      <c r="R2515" s="12"/>
      <c r="S2515" s="12"/>
    </row>
    <row r="2516" spans="1:19" ht="14.25" customHeight="1" x14ac:dyDescent="0.2">
      <c r="A2516" s="1" t="s">
        <v>95</v>
      </c>
      <c r="B2516" s="7">
        <v>46103.018020833333</v>
      </c>
      <c r="C2516" s="7">
        <v>46103.056250000001</v>
      </c>
      <c r="D2516" s="8">
        <v>46103</v>
      </c>
      <c r="E2516" s="9">
        <v>5.6250000001455192E-2</v>
      </c>
      <c r="F2516" s="10" t="s">
        <v>2805</v>
      </c>
      <c r="G2516" s="10" t="s">
        <v>26</v>
      </c>
      <c r="H2516" s="10" t="s">
        <v>128</v>
      </c>
      <c r="I2516" s="10" t="s">
        <v>23</v>
      </c>
      <c r="J2516" s="11">
        <v>0.97</v>
      </c>
      <c r="K2516" s="12"/>
      <c r="L2516" s="12"/>
      <c r="M2516" s="12"/>
      <c r="N2516" s="12"/>
      <c r="O2516" s="12"/>
      <c r="P2516" s="12"/>
      <c r="Q2516" s="12"/>
      <c r="R2516" s="12"/>
      <c r="S2516" s="12"/>
    </row>
    <row r="2517" spans="1:19" ht="14.25" customHeight="1" x14ac:dyDescent="0.2">
      <c r="A2517" s="1" t="s">
        <v>95</v>
      </c>
      <c r="B2517" s="7">
        <v>46103.046712962961</v>
      </c>
      <c r="C2517" s="7">
        <v>46103.06391203704</v>
      </c>
      <c r="D2517" s="8">
        <v>46103</v>
      </c>
      <c r="E2517" s="9">
        <v>6.3912037039699499E-2</v>
      </c>
      <c r="F2517" s="10" t="s">
        <v>2806</v>
      </c>
      <c r="G2517" s="10" t="s">
        <v>21</v>
      </c>
      <c r="H2517" s="10" t="s">
        <v>108</v>
      </c>
      <c r="I2517" s="10" t="s">
        <v>23</v>
      </c>
      <c r="J2517" s="11">
        <v>1.7</v>
      </c>
      <c r="K2517" s="12"/>
      <c r="L2517" s="12"/>
      <c r="M2517" s="12"/>
      <c r="N2517" s="12"/>
      <c r="O2517" s="12"/>
      <c r="P2517" s="12"/>
      <c r="Q2517" s="12"/>
      <c r="R2517" s="12"/>
      <c r="S2517" s="12"/>
    </row>
    <row r="2518" spans="1:19" ht="14.25" customHeight="1" x14ac:dyDescent="0.2">
      <c r="A2518" s="1" t="s">
        <v>33</v>
      </c>
      <c r="B2518" s="7">
        <v>46103.033356481479</v>
      </c>
      <c r="C2518" s="7">
        <v>46103.079965277779</v>
      </c>
      <c r="D2518" s="8">
        <v>46103</v>
      </c>
      <c r="E2518" s="9">
        <v>7.996527777868323E-2</v>
      </c>
      <c r="F2518" s="10" t="s">
        <v>2807</v>
      </c>
      <c r="G2518" s="10" t="s">
        <v>26</v>
      </c>
      <c r="H2518" s="10" t="s">
        <v>1347</v>
      </c>
      <c r="I2518" s="10" t="s">
        <v>23</v>
      </c>
      <c r="J2518" s="11">
        <v>0.44</v>
      </c>
      <c r="K2518" s="12"/>
      <c r="L2518" s="12"/>
      <c r="M2518" s="12"/>
      <c r="N2518" s="12"/>
      <c r="O2518" s="12"/>
      <c r="P2518" s="12"/>
      <c r="Q2518" s="12"/>
      <c r="R2518" s="12"/>
      <c r="S2518" s="12"/>
    </row>
    <row r="2519" spans="1:19" ht="14.25" customHeight="1" x14ac:dyDescent="0.2">
      <c r="A2519" s="1" t="s">
        <v>95</v>
      </c>
      <c r="B2519" s="7">
        <v>46103.07435185185</v>
      </c>
      <c r="C2519" s="7">
        <v>46103.08697916667</v>
      </c>
      <c r="D2519" s="8">
        <v>46103</v>
      </c>
      <c r="E2519" s="9">
        <v>8.6979166670062114E-2</v>
      </c>
      <c r="F2519" s="10" t="s">
        <v>2808</v>
      </c>
      <c r="G2519" s="10" t="s">
        <v>21</v>
      </c>
      <c r="H2519" s="10" t="s">
        <v>52</v>
      </c>
      <c r="I2519" s="10" t="s">
        <v>23</v>
      </c>
      <c r="J2519" s="11">
        <v>0.98</v>
      </c>
      <c r="K2519" s="12"/>
      <c r="L2519" s="12">
        <f>SUM(J2519:J2531)</f>
        <v>13.5</v>
      </c>
      <c r="M2519" s="13">
        <f>L2519*65</f>
        <v>877.5</v>
      </c>
      <c r="N2519" s="14">
        <f>MAX(500,M2519)</f>
        <v>877.5</v>
      </c>
      <c r="O2519" s="12"/>
      <c r="P2519" s="12"/>
      <c r="Q2519" s="12"/>
      <c r="R2519" s="12"/>
      <c r="S2519" s="12"/>
    </row>
    <row r="2520" spans="1:19" ht="14.25" customHeight="1" x14ac:dyDescent="0.2">
      <c r="A2520" s="1" t="s">
        <v>95</v>
      </c>
      <c r="B2520" s="7">
        <v>46103.07435185185</v>
      </c>
      <c r="C2520" s="7">
        <v>46103.094143518516</v>
      </c>
      <c r="D2520" s="8">
        <v>46103</v>
      </c>
      <c r="E2520" s="9">
        <v>9.4143518515920732E-2</v>
      </c>
      <c r="F2520" s="10" t="s">
        <v>2809</v>
      </c>
      <c r="G2520" s="10" t="s">
        <v>21</v>
      </c>
      <c r="H2520" s="10" t="s">
        <v>110</v>
      </c>
      <c r="I2520" s="10" t="s">
        <v>23</v>
      </c>
      <c r="J2520" s="11">
        <v>0.83</v>
      </c>
      <c r="K2520" s="12"/>
      <c r="L2520" s="12"/>
      <c r="M2520" s="12"/>
      <c r="N2520" s="12"/>
      <c r="O2520" s="12"/>
      <c r="P2520" s="12"/>
      <c r="Q2520" s="12"/>
      <c r="R2520" s="12"/>
      <c r="S2520" s="12"/>
    </row>
    <row r="2521" spans="1:19" ht="14.25" customHeight="1" x14ac:dyDescent="0.2">
      <c r="A2521" s="1" t="s">
        <v>24</v>
      </c>
      <c r="B2521" s="7">
        <v>46103.076805555553</v>
      </c>
      <c r="C2521" s="7">
        <v>46103.094768518517</v>
      </c>
      <c r="D2521" s="8">
        <v>46103</v>
      </c>
      <c r="E2521" s="9">
        <v>9.4768518516502809E-2</v>
      </c>
      <c r="F2521" s="10" t="s">
        <v>2810</v>
      </c>
      <c r="G2521" s="10" t="s">
        <v>21</v>
      </c>
      <c r="H2521" s="10" t="s">
        <v>460</v>
      </c>
      <c r="I2521" s="10" t="s">
        <v>23</v>
      </c>
      <c r="J2521" s="11">
        <v>1.1299999999999999</v>
      </c>
      <c r="K2521" s="12"/>
      <c r="L2521" s="12"/>
      <c r="M2521" s="12"/>
      <c r="N2521" s="12"/>
      <c r="O2521" s="12"/>
      <c r="P2521" s="12"/>
      <c r="Q2521" s="12"/>
      <c r="R2521" s="12"/>
      <c r="S2521" s="12"/>
    </row>
    <row r="2522" spans="1:19" ht="14.25" customHeight="1" x14ac:dyDescent="0.2">
      <c r="A2522" s="1" t="s">
        <v>24</v>
      </c>
      <c r="B2522" s="7">
        <v>46103.086527777778</v>
      </c>
      <c r="C2522" s="7">
        <v>46103.099907407406</v>
      </c>
      <c r="D2522" s="8">
        <v>46103</v>
      </c>
      <c r="E2522" s="9">
        <v>9.9907407406135462E-2</v>
      </c>
      <c r="F2522" s="10" t="s">
        <v>2811</v>
      </c>
      <c r="G2522" s="10" t="s">
        <v>21</v>
      </c>
      <c r="H2522" s="10" t="s">
        <v>41</v>
      </c>
      <c r="I2522" s="10" t="s">
        <v>23</v>
      </c>
      <c r="J2522" s="11">
        <v>1.77</v>
      </c>
      <c r="K2522" s="12"/>
      <c r="L2522" s="12"/>
      <c r="M2522" s="12"/>
      <c r="N2522" s="12"/>
      <c r="O2522" s="12"/>
      <c r="P2522" s="12"/>
      <c r="Q2522" s="12"/>
      <c r="R2522" s="12"/>
      <c r="S2522" s="12"/>
    </row>
    <row r="2523" spans="1:19" ht="14.25" customHeight="1" x14ac:dyDescent="0.2">
      <c r="A2523" s="1" t="s">
        <v>19</v>
      </c>
      <c r="B2523" s="7">
        <v>46103.081307870372</v>
      </c>
      <c r="C2523" s="7">
        <v>46103.103807870371</v>
      </c>
      <c r="D2523" s="8">
        <v>46103</v>
      </c>
      <c r="E2523" s="9">
        <v>0.10380787037138361</v>
      </c>
      <c r="F2523" s="10" t="s">
        <v>2812</v>
      </c>
      <c r="G2523" s="10" t="s">
        <v>26</v>
      </c>
      <c r="H2523" s="10" t="s">
        <v>251</v>
      </c>
      <c r="I2523" s="10" t="s">
        <v>23</v>
      </c>
      <c r="J2523" s="11">
        <v>0.62</v>
      </c>
      <c r="K2523" s="12"/>
      <c r="L2523" s="12"/>
      <c r="M2523" s="12"/>
      <c r="N2523" s="12"/>
      <c r="O2523" s="12"/>
      <c r="P2523" s="12"/>
      <c r="Q2523" s="12"/>
      <c r="R2523" s="12"/>
      <c r="S2523" s="12"/>
    </row>
    <row r="2524" spans="1:19" ht="14.25" customHeight="1" x14ac:dyDescent="0.2">
      <c r="A2524" s="1" t="s">
        <v>24</v>
      </c>
      <c r="B2524" s="7">
        <v>46103.095370370371</v>
      </c>
      <c r="C2524" s="7">
        <v>46103.112986111111</v>
      </c>
      <c r="D2524" s="8">
        <v>46103</v>
      </c>
      <c r="E2524" s="9">
        <v>0.11298611111124046</v>
      </c>
      <c r="F2524" s="10" t="s">
        <v>2813</v>
      </c>
      <c r="G2524" s="10" t="s">
        <v>21</v>
      </c>
      <c r="H2524" s="10" t="s">
        <v>22</v>
      </c>
      <c r="I2524" s="10" t="s">
        <v>23</v>
      </c>
      <c r="J2524" s="11">
        <v>0.83</v>
      </c>
      <c r="K2524" s="12"/>
      <c r="L2524" s="12"/>
      <c r="M2524" s="12"/>
      <c r="N2524" s="12"/>
      <c r="O2524" s="12"/>
      <c r="P2524" s="12"/>
      <c r="Q2524" s="12"/>
      <c r="R2524" s="12"/>
      <c r="S2524" s="12"/>
    </row>
    <row r="2525" spans="1:19" ht="14.25" customHeight="1" x14ac:dyDescent="0.2">
      <c r="A2525" s="1" t="s">
        <v>95</v>
      </c>
      <c r="B2525" s="7">
        <v>46103.09516203704</v>
      </c>
      <c r="C2525" s="7">
        <v>46103.121724537035</v>
      </c>
      <c r="D2525" s="8">
        <v>46103</v>
      </c>
      <c r="E2525" s="9">
        <v>0.12172453703533392</v>
      </c>
      <c r="F2525" s="10" t="s">
        <v>2814</v>
      </c>
      <c r="G2525" s="10" t="s">
        <v>21</v>
      </c>
      <c r="H2525" s="10" t="s">
        <v>110</v>
      </c>
      <c r="I2525" s="10" t="s">
        <v>23</v>
      </c>
      <c r="J2525" s="11">
        <v>0.83</v>
      </c>
      <c r="K2525" s="12"/>
      <c r="L2525" s="12"/>
      <c r="M2525" s="12"/>
      <c r="N2525" s="12"/>
      <c r="O2525" s="12"/>
      <c r="P2525" s="12"/>
      <c r="Q2525" s="12"/>
      <c r="R2525" s="12"/>
      <c r="S2525" s="12"/>
    </row>
    <row r="2526" spans="1:19" ht="14.25" customHeight="1" x14ac:dyDescent="0.2">
      <c r="A2526" s="1" t="s">
        <v>95</v>
      </c>
      <c r="B2526" s="7">
        <v>46103.09516203704</v>
      </c>
      <c r="C2526" s="7">
        <v>46103.121898148151</v>
      </c>
      <c r="D2526" s="8">
        <v>46103</v>
      </c>
      <c r="E2526" s="9">
        <v>0.12189814815064892</v>
      </c>
      <c r="F2526" s="10" t="s">
        <v>2815</v>
      </c>
      <c r="G2526" s="10" t="s">
        <v>21</v>
      </c>
      <c r="H2526" s="10" t="s">
        <v>52</v>
      </c>
      <c r="I2526" s="10" t="s">
        <v>23</v>
      </c>
      <c r="J2526" s="11">
        <v>0.98</v>
      </c>
      <c r="K2526" s="12"/>
      <c r="L2526" s="12"/>
      <c r="M2526" s="12"/>
      <c r="N2526" s="12"/>
      <c r="O2526" s="12"/>
      <c r="P2526" s="12"/>
      <c r="Q2526" s="12"/>
      <c r="R2526" s="12"/>
      <c r="S2526" s="12"/>
    </row>
    <row r="2527" spans="1:19" ht="14.25" customHeight="1" x14ac:dyDescent="0.2">
      <c r="A2527" s="1" t="s">
        <v>95</v>
      </c>
      <c r="B2527" s="7">
        <v>46103.098020833335</v>
      </c>
      <c r="C2527" s="7">
        <v>46103.122534722221</v>
      </c>
      <c r="D2527" s="8">
        <v>46103</v>
      </c>
      <c r="E2527" s="9">
        <v>0.12253472222073469</v>
      </c>
      <c r="F2527" s="10" t="s">
        <v>2816</v>
      </c>
      <c r="G2527" s="10" t="s">
        <v>21</v>
      </c>
      <c r="H2527" s="10" t="s">
        <v>108</v>
      </c>
      <c r="I2527" s="10" t="s">
        <v>23</v>
      </c>
      <c r="J2527" s="11">
        <v>1.7</v>
      </c>
      <c r="K2527" s="12"/>
      <c r="L2527" s="12"/>
      <c r="M2527" s="12"/>
      <c r="N2527" s="12"/>
      <c r="O2527" s="12"/>
      <c r="P2527" s="12"/>
      <c r="Q2527" s="12"/>
      <c r="R2527" s="12"/>
      <c r="S2527" s="12"/>
    </row>
    <row r="2528" spans="1:19" ht="14.25" customHeight="1" x14ac:dyDescent="0.2">
      <c r="A2528" s="1" t="s">
        <v>95</v>
      </c>
      <c r="B2528" s="7">
        <v>46103.098020833335</v>
      </c>
      <c r="C2528" s="7">
        <v>46103.122916666667</v>
      </c>
      <c r="D2528" s="8">
        <v>46103</v>
      </c>
      <c r="E2528" s="9">
        <v>0.12291666666715173</v>
      </c>
      <c r="F2528" s="10" t="s">
        <v>2817</v>
      </c>
      <c r="G2528" s="10" t="s">
        <v>21</v>
      </c>
      <c r="H2528" s="10" t="s">
        <v>71</v>
      </c>
      <c r="I2528" s="10" t="s">
        <v>23</v>
      </c>
      <c r="J2528" s="11">
        <v>1.05</v>
      </c>
      <c r="K2528" s="12"/>
      <c r="L2528" s="12"/>
      <c r="M2528" s="12"/>
      <c r="N2528" s="12"/>
      <c r="O2528" s="12"/>
      <c r="P2528" s="12"/>
      <c r="Q2528" s="12"/>
      <c r="R2528" s="12"/>
      <c r="S2528" s="12"/>
    </row>
    <row r="2529" spans="1:19" ht="14.25" customHeight="1" x14ac:dyDescent="0.2">
      <c r="A2529" s="1" t="s">
        <v>24</v>
      </c>
      <c r="B2529" s="7">
        <v>46103.108240740738</v>
      </c>
      <c r="C2529" s="7">
        <v>46103.123472222222</v>
      </c>
      <c r="D2529" s="8">
        <v>46103</v>
      </c>
      <c r="E2529" s="9">
        <v>0.12347222222160781</v>
      </c>
      <c r="F2529" s="10" t="s">
        <v>2818</v>
      </c>
      <c r="G2529" s="10" t="s">
        <v>21</v>
      </c>
      <c r="H2529" s="10" t="s">
        <v>41</v>
      </c>
      <c r="I2529" s="10" t="s">
        <v>23</v>
      </c>
      <c r="J2529" s="11">
        <v>1.77</v>
      </c>
      <c r="K2529" s="12"/>
      <c r="L2529" s="12"/>
      <c r="M2529" s="12"/>
      <c r="N2529" s="12"/>
      <c r="O2529" s="12"/>
      <c r="P2529" s="12"/>
      <c r="Q2529" s="12"/>
      <c r="R2529" s="12"/>
      <c r="S2529" s="12"/>
    </row>
    <row r="2530" spans="1:19" ht="14.25" customHeight="1" x14ac:dyDescent="0.2">
      <c r="A2530" s="1" t="s">
        <v>24</v>
      </c>
      <c r="B2530" s="7">
        <v>46103.116157407407</v>
      </c>
      <c r="C2530" s="7">
        <v>46103.123622685183</v>
      </c>
      <c r="D2530" s="8">
        <v>46103</v>
      </c>
      <c r="E2530" s="9">
        <v>0.1236226851833635</v>
      </c>
      <c r="F2530" s="10" t="s">
        <v>2819</v>
      </c>
      <c r="G2530" s="10" t="s">
        <v>21</v>
      </c>
      <c r="H2530" s="10" t="s">
        <v>22</v>
      </c>
      <c r="I2530" s="10" t="s">
        <v>23</v>
      </c>
      <c r="J2530" s="11">
        <v>0.83</v>
      </c>
      <c r="K2530" s="12"/>
      <c r="L2530" s="12"/>
      <c r="M2530" s="12"/>
      <c r="N2530" s="12"/>
      <c r="O2530" s="12"/>
      <c r="P2530" s="12"/>
      <c r="Q2530" s="12"/>
      <c r="R2530" s="12"/>
      <c r="S2530" s="12"/>
    </row>
    <row r="2531" spans="1:19" ht="14.25" customHeight="1" x14ac:dyDescent="0.2">
      <c r="A2531" s="1" t="s">
        <v>95</v>
      </c>
      <c r="B2531" s="7">
        <v>46103.087291666663</v>
      </c>
      <c r="C2531" s="7">
        <v>46103.123993055553</v>
      </c>
      <c r="D2531" s="8">
        <v>46103</v>
      </c>
      <c r="E2531" s="9">
        <v>0.12399305555300089</v>
      </c>
      <c r="F2531" s="10" t="s">
        <v>2820</v>
      </c>
      <c r="G2531" s="10" t="s">
        <v>44</v>
      </c>
      <c r="H2531" s="10" t="s">
        <v>45</v>
      </c>
      <c r="I2531" s="10" t="s">
        <v>23</v>
      </c>
      <c r="J2531" s="11">
        <v>0.18</v>
      </c>
      <c r="K2531" s="12"/>
      <c r="L2531" s="12"/>
      <c r="M2531" s="12"/>
      <c r="N2531" s="12"/>
      <c r="O2531" s="12"/>
      <c r="P2531" s="12"/>
      <c r="Q2531" s="12"/>
      <c r="R2531" s="12"/>
      <c r="S2531" s="12"/>
    </row>
    <row r="2532" spans="1:19" ht="14.25" customHeight="1" x14ac:dyDescent="0.2">
      <c r="A2532" s="1" t="s">
        <v>19</v>
      </c>
      <c r="B2532" s="7">
        <v>46103.114398148151</v>
      </c>
      <c r="C2532" s="7">
        <v>46103.134548611109</v>
      </c>
      <c r="D2532" s="8">
        <v>46103</v>
      </c>
      <c r="E2532" s="9">
        <v>0.13454861110949423</v>
      </c>
      <c r="F2532" s="10" t="s">
        <v>2821</v>
      </c>
      <c r="G2532" s="10" t="s">
        <v>21</v>
      </c>
      <c r="H2532" s="10" t="s">
        <v>41</v>
      </c>
      <c r="I2532" s="10" t="s">
        <v>23</v>
      </c>
      <c r="J2532" s="11">
        <v>1.77</v>
      </c>
      <c r="K2532" s="12">
        <f>SUM(J2532:J2565)</f>
        <v>34.11999999999999</v>
      </c>
      <c r="L2532" s="12">
        <f>SUM(J2532:J2542)</f>
        <v>14.559999999999999</v>
      </c>
      <c r="M2532" s="13">
        <f>L2532*65</f>
        <v>946.39999999999986</v>
      </c>
      <c r="N2532" s="14">
        <f>MAX(500,M2532)</f>
        <v>946.39999999999986</v>
      </c>
      <c r="O2532" s="12"/>
      <c r="P2532" s="12"/>
      <c r="Q2532" s="12"/>
      <c r="R2532" s="12"/>
      <c r="S2532" s="12"/>
    </row>
    <row r="2533" spans="1:19" ht="14.25" customHeight="1" x14ac:dyDescent="0.2">
      <c r="A2533" s="1" t="s">
        <v>19</v>
      </c>
      <c r="B2533" s="7">
        <v>46103.124664351853</v>
      </c>
      <c r="C2533" s="7">
        <v>46103.135358796295</v>
      </c>
      <c r="D2533" s="8">
        <v>46103</v>
      </c>
      <c r="E2533" s="9">
        <v>0.135358796294895</v>
      </c>
      <c r="F2533" s="10" t="s">
        <v>2822</v>
      </c>
      <c r="G2533" s="10" t="s">
        <v>21</v>
      </c>
      <c r="H2533" s="10" t="s">
        <v>467</v>
      </c>
      <c r="I2533" s="10" t="s">
        <v>23</v>
      </c>
      <c r="J2533" s="11">
        <v>2.75</v>
      </c>
      <c r="K2533" s="12"/>
      <c r="L2533" s="12"/>
      <c r="M2533" s="12"/>
      <c r="N2533" s="12"/>
      <c r="O2533" s="12"/>
      <c r="P2533" s="12"/>
      <c r="Q2533" s="12"/>
      <c r="R2533" s="12"/>
      <c r="S2533" s="12"/>
    </row>
    <row r="2534" spans="1:19" ht="14.25" customHeight="1" x14ac:dyDescent="0.2">
      <c r="A2534" s="1" t="s">
        <v>42</v>
      </c>
      <c r="B2534" s="7">
        <v>46103.075439814813</v>
      </c>
      <c r="C2534" s="7">
        <v>46103.135659722226</v>
      </c>
      <c r="D2534" s="8">
        <v>46103</v>
      </c>
      <c r="E2534" s="9">
        <v>0.13565972222568234</v>
      </c>
      <c r="F2534" s="10" t="s">
        <v>2823</v>
      </c>
      <c r="G2534" s="10" t="s">
        <v>26</v>
      </c>
      <c r="H2534" s="10" t="s">
        <v>76</v>
      </c>
      <c r="I2534" s="10" t="s">
        <v>23</v>
      </c>
      <c r="J2534" s="11">
        <v>0.75</v>
      </c>
      <c r="K2534" s="12"/>
      <c r="L2534" s="12"/>
      <c r="M2534" s="12"/>
      <c r="N2534" s="12"/>
      <c r="O2534" s="12"/>
      <c r="P2534" s="12"/>
      <c r="Q2534" s="12"/>
      <c r="R2534" s="12"/>
      <c r="S2534" s="12"/>
    </row>
    <row r="2535" spans="1:19" ht="14.25" customHeight="1" x14ac:dyDescent="0.2">
      <c r="A2535" s="1" t="s">
        <v>95</v>
      </c>
      <c r="B2535" s="7">
        <v>46103.05945601852</v>
      </c>
      <c r="C2535" s="7">
        <v>46103.143738425926</v>
      </c>
      <c r="D2535" s="8">
        <v>46103</v>
      </c>
      <c r="E2535" s="9">
        <v>0.14373842592613073</v>
      </c>
      <c r="F2535" s="10" t="s">
        <v>2824</v>
      </c>
      <c r="G2535" s="10" t="s">
        <v>21</v>
      </c>
      <c r="H2535" s="10" t="s">
        <v>1382</v>
      </c>
      <c r="I2535" s="10" t="s">
        <v>23</v>
      </c>
      <c r="J2535" s="11">
        <v>1.77</v>
      </c>
      <c r="K2535" s="12"/>
      <c r="L2535" s="12"/>
      <c r="M2535" s="12"/>
      <c r="N2535" s="12"/>
      <c r="O2535" s="12"/>
      <c r="P2535" s="12"/>
      <c r="Q2535" s="12"/>
      <c r="R2535" s="12"/>
      <c r="S2535" s="12"/>
    </row>
    <row r="2536" spans="1:19" ht="14.25" customHeight="1" x14ac:dyDescent="0.2">
      <c r="A2536" s="1" t="s">
        <v>42</v>
      </c>
      <c r="B2536" s="7">
        <v>46103.09070601852</v>
      </c>
      <c r="C2536" s="7">
        <v>46103.146701388891</v>
      </c>
      <c r="D2536" s="8">
        <v>46103</v>
      </c>
      <c r="E2536" s="9">
        <v>0.14670138889050577</v>
      </c>
      <c r="F2536" s="10" t="s">
        <v>2825</v>
      </c>
      <c r="G2536" s="10" t="s">
        <v>26</v>
      </c>
      <c r="H2536" s="10" t="s">
        <v>157</v>
      </c>
      <c r="I2536" s="10" t="s">
        <v>23</v>
      </c>
      <c r="J2536" s="11">
        <v>0.73</v>
      </c>
      <c r="K2536" s="12"/>
      <c r="L2536" s="12"/>
      <c r="M2536" s="12"/>
      <c r="N2536" s="12"/>
      <c r="O2536" s="12"/>
      <c r="P2536" s="12"/>
      <c r="Q2536" s="12"/>
      <c r="R2536" s="12"/>
      <c r="S2536" s="12"/>
    </row>
    <row r="2537" spans="1:19" ht="14.25" customHeight="1" x14ac:dyDescent="0.2">
      <c r="A2537" s="1" t="s">
        <v>57</v>
      </c>
      <c r="B2537" s="7">
        <v>46103.136990740742</v>
      </c>
      <c r="C2537" s="7">
        <v>46103.146874999999</v>
      </c>
      <c r="D2537" s="8">
        <v>46103</v>
      </c>
      <c r="E2537" s="9">
        <v>0.14687499999854481</v>
      </c>
      <c r="F2537" s="10" t="s">
        <v>2826</v>
      </c>
      <c r="G2537" s="10" t="s">
        <v>21</v>
      </c>
      <c r="H2537" s="10" t="s">
        <v>59</v>
      </c>
      <c r="I2537" s="10" t="s">
        <v>23</v>
      </c>
      <c r="J2537" s="11">
        <v>0.83</v>
      </c>
      <c r="K2537" s="12"/>
      <c r="L2537" s="12"/>
      <c r="M2537" s="12"/>
      <c r="N2537" s="12"/>
      <c r="O2537" s="12"/>
      <c r="P2537" s="12"/>
      <c r="Q2537" s="12"/>
      <c r="R2537" s="12"/>
      <c r="S2537" s="12"/>
    </row>
    <row r="2538" spans="1:19" ht="14.25" customHeight="1" x14ac:dyDescent="0.2">
      <c r="A2538" s="1" t="s">
        <v>95</v>
      </c>
      <c r="B2538" s="7">
        <v>46103.137025462966</v>
      </c>
      <c r="C2538" s="7">
        <v>46103.149270833332</v>
      </c>
      <c r="D2538" s="8">
        <v>46103</v>
      </c>
      <c r="E2538" s="9">
        <v>0.14927083333168412</v>
      </c>
      <c r="F2538" s="10" t="s">
        <v>2827</v>
      </c>
      <c r="G2538" s="10" t="s">
        <v>21</v>
      </c>
      <c r="H2538" s="10" t="s">
        <v>108</v>
      </c>
      <c r="I2538" s="10" t="s">
        <v>23</v>
      </c>
      <c r="J2538" s="11">
        <v>1.7</v>
      </c>
      <c r="K2538" s="12"/>
      <c r="L2538" s="12"/>
      <c r="M2538" s="12"/>
      <c r="N2538" s="12"/>
      <c r="O2538" s="12"/>
      <c r="P2538" s="12"/>
      <c r="Q2538" s="12"/>
      <c r="R2538" s="12"/>
      <c r="S2538" s="12"/>
    </row>
    <row r="2539" spans="1:19" ht="14.25" customHeight="1" x14ac:dyDescent="0.2">
      <c r="A2539" s="1" t="s">
        <v>95</v>
      </c>
      <c r="B2539" s="7">
        <v>46103.124351851853</v>
      </c>
      <c r="C2539" s="7">
        <v>46103.157361111109</v>
      </c>
      <c r="D2539" s="8">
        <v>46103</v>
      </c>
      <c r="E2539" s="9">
        <v>0.15736111110891216</v>
      </c>
      <c r="F2539" s="10" t="s">
        <v>2828</v>
      </c>
      <c r="G2539" s="10" t="s">
        <v>21</v>
      </c>
      <c r="H2539" s="10" t="s">
        <v>110</v>
      </c>
      <c r="I2539" s="10" t="s">
        <v>23</v>
      </c>
      <c r="J2539" s="11">
        <v>0.83</v>
      </c>
      <c r="K2539" s="12"/>
      <c r="L2539" s="12"/>
      <c r="M2539" s="12"/>
      <c r="N2539" s="12"/>
      <c r="O2539" s="12"/>
      <c r="P2539" s="12"/>
      <c r="Q2539" s="12"/>
      <c r="R2539" s="12"/>
      <c r="S2539" s="12"/>
    </row>
    <row r="2540" spans="1:19" ht="14.25" customHeight="1" x14ac:dyDescent="0.2">
      <c r="A2540" s="1" t="s">
        <v>95</v>
      </c>
      <c r="B2540" s="7">
        <v>46103.153564814813</v>
      </c>
      <c r="C2540" s="7">
        <v>46103.163252314815</v>
      </c>
      <c r="D2540" s="8">
        <v>46103</v>
      </c>
      <c r="E2540" s="9">
        <v>0.16325231481459923</v>
      </c>
      <c r="F2540" s="10" t="s">
        <v>2829</v>
      </c>
      <c r="G2540" s="10" t="s">
        <v>21</v>
      </c>
      <c r="H2540" s="10" t="s">
        <v>110</v>
      </c>
      <c r="I2540" s="10" t="s">
        <v>23</v>
      </c>
      <c r="J2540" s="11">
        <v>0.83</v>
      </c>
      <c r="K2540" s="12"/>
      <c r="L2540" s="12"/>
      <c r="M2540" s="12"/>
      <c r="N2540" s="12"/>
      <c r="O2540" s="12"/>
      <c r="P2540" s="12"/>
      <c r="Q2540" s="12"/>
      <c r="R2540" s="12"/>
      <c r="S2540" s="12"/>
    </row>
    <row r="2541" spans="1:19" ht="14.25" customHeight="1" x14ac:dyDescent="0.2">
      <c r="A2541" s="1" t="s">
        <v>95</v>
      </c>
      <c r="B2541" s="7">
        <v>46103.147094907406</v>
      </c>
      <c r="C2541" s="7">
        <v>46103.163807870369</v>
      </c>
      <c r="D2541" s="8">
        <v>46103</v>
      </c>
      <c r="E2541" s="9">
        <v>0.16380787036905531</v>
      </c>
      <c r="F2541" s="10" t="s">
        <v>2830</v>
      </c>
      <c r="G2541" s="10" t="s">
        <v>21</v>
      </c>
      <c r="H2541" s="10" t="s">
        <v>110</v>
      </c>
      <c r="I2541" s="10" t="s">
        <v>23</v>
      </c>
      <c r="J2541" s="11">
        <v>0.83</v>
      </c>
      <c r="K2541" s="12"/>
      <c r="L2541" s="12"/>
      <c r="M2541" s="12"/>
      <c r="N2541" s="12"/>
      <c r="O2541" s="12"/>
      <c r="P2541" s="12"/>
      <c r="Q2541" s="12"/>
      <c r="R2541" s="12"/>
      <c r="S2541" s="12"/>
    </row>
    <row r="2542" spans="1:19" ht="14.25" customHeight="1" x14ac:dyDescent="0.2">
      <c r="A2542" s="1" t="s">
        <v>57</v>
      </c>
      <c r="B2542" s="7">
        <v>46103.150300925925</v>
      </c>
      <c r="C2542" s="7">
        <v>46103.165150462963</v>
      </c>
      <c r="D2542" s="8">
        <v>46103</v>
      </c>
      <c r="E2542" s="9">
        <v>0.16515046296262881</v>
      </c>
      <c r="F2542" s="10" t="s">
        <v>2831</v>
      </c>
      <c r="G2542" s="10" t="s">
        <v>21</v>
      </c>
      <c r="H2542" s="10" t="s">
        <v>712</v>
      </c>
      <c r="I2542" s="10" t="s">
        <v>23</v>
      </c>
      <c r="J2542" s="11">
        <v>1.77</v>
      </c>
      <c r="K2542" s="12"/>
      <c r="L2542" s="12"/>
      <c r="M2542" s="12"/>
      <c r="N2542" s="12"/>
      <c r="O2542" s="12"/>
      <c r="P2542" s="12"/>
      <c r="Q2542" s="12"/>
      <c r="R2542" s="12"/>
      <c r="S2542" s="12"/>
    </row>
    <row r="2543" spans="1:19" ht="14.25" customHeight="1" x14ac:dyDescent="0.2">
      <c r="A2543" s="1" t="s">
        <v>33</v>
      </c>
      <c r="B2543" s="7">
        <v>46103.15997685185</v>
      </c>
      <c r="C2543" s="7">
        <v>46103.171018518522</v>
      </c>
      <c r="D2543" s="8">
        <v>46103</v>
      </c>
      <c r="E2543" s="9">
        <v>0.17101851852203254</v>
      </c>
      <c r="F2543" s="10" t="s">
        <v>2832</v>
      </c>
      <c r="G2543" s="10" t="s">
        <v>21</v>
      </c>
      <c r="H2543" s="10" t="s">
        <v>41</v>
      </c>
      <c r="I2543" s="10" t="s">
        <v>23</v>
      </c>
      <c r="J2543" s="11">
        <v>1.77</v>
      </c>
      <c r="K2543" s="12"/>
      <c r="L2543" s="12">
        <f>SUM(J2543:J2553)</f>
        <v>9.39</v>
      </c>
      <c r="M2543" s="13">
        <f>L2543*65</f>
        <v>610.35</v>
      </c>
      <c r="N2543" s="14">
        <f>MAX(500,M2543)</f>
        <v>610.35</v>
      </c>
      <c r="O2543" s="12"/>
      <c r="P2543" s="12"/>
      <c r="Q2543" s="12"/>
      <c r="R2543" s="12"/>
      <c r="S2543" s="12"/>
    </row>
    <row r="2544" spans="1:19" ht="14.25" customHeight="1" x14ac:dyDescent="0.2">
      <c r="A2544" s="1" t="s">
        <v>42</v>
      </c>
      <c r="B2544" s="7">
        <v>46103.132199074076</v>
      </c>
      <c r="C2544" s="7">
        <v>46103.182141203702</v>
      </c>
      <c r="D2544" s="8">
        <v>46103</v>
      </c>
      <c r="E2544" s="9">
        <v>0.18214120370248565</v>
      </c>
      <c r="F2544" s="10" t="s">
        <v>2833</v>
      </c>
      <c r="G2544" s="10" t="s">
        <v>26</v>
      </c>
      <c r="H2544" s="10" t="s">
        <v>78</v>
      </c>
      <c r="I2544" s="10" t="s">
        <v>23</v>
      </c>
      <c r="J2544" s="11">
        <v>0.56999999999999995</v>
      </c>
      <c r="K2544" s="12"/>
      <c r="L2544" s="12"/>
      <c r="M2544" s="12"/>
      <c r="N2544" s="12"/>
      <c r="O2544" s="12"/>
      <c r="P2544" s="12"/>
      <c r="Q2544" s="12"/>
      <c r="R2544" s="12"/>
      <c r="S2544" s="12"/>
    </row>
    <row r="2545" spans="1:19" ht="14.25" customHeight="1" x14ac:dyDescent="0.2">
      <c r="A2545" s="1" t="s">
        <v>24</v>
      </c>
      <c r="B2545" s="7">
        <v>46103.158518518518</v>
      </c>
      <c r="C2545" s="7">
        <v>46103.182569444441</v>
      </c>
      <c r="D2545" s="8">
        <v>46103</v>
      </c>
      <c r="E2545" s="9">
        <v>0.18256944444146939</v>
      </c>
      <c r="F2545" s="10" t="s">
        <v>2834</v>
      </c>
      <c r="G2545" s="10" t="s">
        <v>21</v>
      </c>
      <c r="H2545" s="10" t="s">
        <v>22</v>
      </c>
      <c r="I2545" s="10" t="s">
        <v>23</v>
      </c>
      <c r="J2545" s="11">
        <v>0.83</v>
      </c>
      <c r="K2545" s="12"/>
      <c r="L2545" s="12"/>
      <c r="M2545" s="12"/>
      <c r="N2545" s="12"/>
      <c r="O2545" s="12"/>
      <c r="P2545" s="12"/>
      <c r="Q2545" s="12"/>
      <c r="R2545" s="12"/>
      <c r="S2545" s="12"/>
    </row>
    <row r="2546" spans="1:19" ht="14.25" customHeight="1" x14ac:dyDescent="0.2">
      <c r="A2546" s="1" t="s">
        <v>24</v>
      </c>
      <c r="B2546" s="7">
        <v>46103.158518518518</v>
      </c>
      <c r="C2546" s="7">
        <v>46103.182858796295</v>
      </c>
      <c r="D2546" s="8">
        <v>46103</v>
      </c>
      <c r="E2546" s="9">
        <v>0.18285879629547708</v>
      </c>
      <c r="F2546" s="10" t="s">
        <v>2835</v>
      </c>
      <c r="G2546" s="10" t="s">
        <v>21</v>
      </c>
      <c r="H2546" s="10" t="s">
        <v>142</v>
      </c>
      <c r="I2546" s="10" t="s">
        <v>23</v>
      </c>
      <c r="J2546" s="11">
        <v>0.83</v>
      </c>
      <c r="K2546" s="12"/>
      <c r="L2546" s="12"/>
      <c r="M2546" s="12"/>
      <c r="N2546" s="12"/>
      <c r="O2546" s="12"/>
      <c r="P2546" s="12"/>
      <c r="Q2546" s="12"/>
      <c r="R2546" s="12"/>
      <c r="S2546" s="12"/>
    </row>
    <row r="2547" spans="1:19" ht="14.25" customHeight="1" x14ac:dyDescent="0.2">
      <c r="A2547" s="1" t="s">
        <v>33</v>
      </c>
      <c r="B2547" s="7">
        <v>46103.168923611112</v>
      </c>
      <c r="C2547" s="7">
        <v>46103.183252314811</v>
      </c>
      <c r="D2547" s="8">
        <v>46103</v>
      </c>
      <c r="E2547" s="9">
        <v>0.18325231481139781</v>
      </c>
      <c r="F2547" s="10" t="s">
        <v>2836</v>
      </c>
      <c r="G2547" s="10" t="s">
        <v>26</v>
      </c>
      <c r="H2547" s="10" t="s">
        <v>251</v>
      </c>
      <c r="I2547" s="10" t="s">
        <v>23</v>
      </c>
      <c r="J2547" s="11">
        <v>0.62</v>
      </c>
      <c r="K2547" s="12"/>
      <c r="L2547" s="12"/>
      <c r="M2547" s="12"/>
      <c r="N2547" s="12"/>
      <c r="O2547" s="12"/>
      <c r="P2547" s="12"/>
      <c r="Q2547" s="12"/>
      <c r="R2547" s="12"/>
      <c r="S2547" s="12"/>
    </row>
    <row r="2548" spans="1:19" ht="14.25" customHeight="1" x14ac:dyDescent="0.2">
      <c r="A2548" s="1" t="s">
        <v>28</v>
      </c>
      <c r="B2548" s="7">
        <v>46103.097361111111</v>
      </c>
      <c r="C2548" s="7">
        <v>46103.183622685188</v>
      </c>
      <c r="D2548" s="8">
        <v>46103</v>
      </c>
      <c r="E2548" s="9">
        <v>0.18362268518831115</v>
      </c>
      <c r="F2548" s="10" t="s">
        <v>2837</v>
      </c>
      <c r="G2548" s="10" t="s">
        <v>26</v>
      </c>
      <c r="H2548" s="10" t="s">
        <v>1019</v>
      </c>
      <c r="I2548" s="10" t="s">
        <v>23</v>
      </c>
      <c r="J2548" s="11">
        <v>0.67</v>
      </c>
      <c r="K2548" s="12"/>
      <c r="L2548" s="12"/>
      <c r="M2548" s="12"/>
      <c r="N2548" s="12"/>
      <c r="O2548" s="12"/>
      <c r="P2548" s="12"/>
      <c r="Q2548" s="12"/>
      <c r="R2548" s="12"/>
      <c r="S2548" s="12"/>
    </row>
    <row r="2549" spans="1:19" ht="14.25" customHeight="1" x14ac:dyDescent="0.2">
      <c r="A2549" s="1" t="s">
        <v>42</v>
      </c>
      <c r="B2549" s="7">
        <v>46103.141909722224</v>
      </c>
      <c r="C2549" s="7">
        <v>46103.184270833335</v>
      </c>
      <c r="D2549" s="8">
        <v>46103</v>
      </c>
      <c r="E2549" s="9">
        <v>0.18427083333517658</v>
      </c>
      <c r="F2549" s="10" t="s">
        <v>2838</v>
      </c>
      <c r="G2549" s="10" t="s">
        <v>26</v>
      </c>
      <c r="H2549" s="10" t="s">
        <v>125</v>
      </c>
      <c r="I2549" s="10" t="s">
        <v>23</v>
      </c>
      <c r="J2549" s="11">
        <v>0.63</v>
      </c>
      <c r="K2549" s="12"/>
      <c r="L2549" s="12"/>
      <c r="M2549" s="12"/>
      <c r="N2549" s="12"/>
      <c r="O2549" s="12"/>
      <c r="P2549" s="12"/>
      <c r="Q2549" s="12"/>
      <c r="R2549" s="12"/>
      <c r="S2549" s="12"/>
    </row>
    <row r="2550" spans="1:19" ht="14.25" customHeight="1" x14ac:dyDescent="0.2">
      <c r="A2550" s="1" t="s">
        <v>19</v>
      </c>
      <c r="B2550" s="7">
        <v>46103.179930555554</v>
      </c>
      <c r="C2550" s="7">
        <v>46103.195069444446</v>
      </c>
      <c r="D2550" s="8">
        <v>46103</v>
      </c>
      <c r="E2550" s="9">
        <v>0.19506944444583496</v>
      </c>
      <c r="F2550" s="10" t="s">
        <v>2839</v>
      </c>
      <c r="G2550" s="10" t="s">
        <v>21</v>
      </c>
      <c r="H2550" s="10" t="s">
        <v>598</v>
      </c>
      <c r="I2550" s="10" t="s">
        <v>23</v>
      </c>
      <c r="J2550" s="11">
        <v>0.98</v>
      </c>
      <c r="K2550" s="12"/>
      <c r="L2550" s="12"/>
      <c r="M2550" s="12"/>
      <c r="N2550" s="12"/>
      <c r="O2550" s="12"/>
      <c r="P2550" s="12"/>
      <c r="Q2550" s="12"/>
      <c r="R2550" s="12"/>
      <c r="S2550" s="12"/>
    </row>
    <row r="2551" spans="1:19" ht="14.25" customHeight="1" x14ac:dyDescent="0.2">
      <c r="A2551" s="1" t="s">
        <v>33</v>
      </c>
      <c r="B2551" s="7">
        <v>46103.187743055554</v>
      </c>
      <c r="C2551" s="7">
        <v>46103.1953125</v>
      </c>
      <c r="D2551" s="8">
        <v>46103</v>
      </c>
      <c r="E2551" s="9">
        <v>0.1953125</v>
      </c>
      <c r="F2551" s="10" t="s">
        <v>2840</v>
      </c>
      <c r="G2551" s="10" t="s">
        <v>26</v>
      </c>
      <c r="H2551" s="10" t="s">
        <v>37</v>
      </c>
      <c r="I2551" s="10" t="s">
        <v>23</v>
      </c>
      <c r="J2551" s="11">
        <v>0.88</v>
      </c>
      <c r="K2551" s="12"/>
      <c r="L2551" s="12"/>
      <c r="M2551" s="12"/>
      <c r="N2551" s="12"/>
      <c r="O2551" s="12"/>
      <c r="P2551" s="12"/>
      <c r="Q2551" s="12"/>
      <c r="R2551" s="12"/>
      <c r="S2551" s="12"/>
    </row>
    <row r="2552" spans="1:19" ht="14.25" customHeight="1" x14ac:dyDescent="0.2">
      <c r="A2552" s="1" t="s">
        <v>42</v>
      </c>
      <c r="B2552" s="7">
        <v>46103.175902777781</v>
      </c>
      <c r="C2552" s="7">
        <v>46103.195902777778</v>
      </c>
      <c r="D2552" s="8">
        <v>46103</v>
      </c>
      <c r="E2552" s="9">
        <v>0.19590277777751908</v>
      </c>
      <c r="F2552" s="10" t="s">
        <v>2841</v>
      </c>
      <c r="G2552" s="10" t="s">
        <v>26</v>
      </c>
      <c r="H2552" s="10" t="s">
        <v>125</v>
      </c>
      <c r="I2552" s="10" t="s">
        <v>23</v>
      </c>
      <c r="J2552" s="11">
        <v>0.63</v>
      </c>
      <c r="K2552" s="12"/>
      <c r="L2552" s="12"/>
      <c r="M2552" s="12"/>
      <c r="N2552" s="12"/>
      <c r="O2552" s="12"/>
      <c r="P2552" s="12"/>
      <c r="Q2552" s="12"/>
      <c r="R2552" s="12"/>
      <c r="S2552" s="12"/>
    </row>
    <row r="2553" spans="1:19" ht="14.25" customHeight="1" x14ac:dyDescent="0.2">
      <c r="A2553" s="1" t="s">
        <v>19</v>
      </c>
      <c r="B2553" s="7">
        <v>46103.179942129631</v>
      </c>
      <c r="C2553" s="7">
        <v>46103.196111111109</v>
      </c>
      <c r="D2553" s="8">
        <v>46103</v>
      </c>
      <c r="E2553" s="9">
        <v>0.19611111110862112</v>
      </c>
      <c r="F2553" s="10" t="s">
        <v>2842</v>
      </c>
      <c r="G2553" s="10" t="s">
        <v>21</v>
      </c>
      <c r="H2553" s="10" t="s">
        <v>216</v>
      </c>
      <c r="I2553" s="10" t="s">
        <v>23</v>
      </c>
      <c r="J2553" s="11">
        <v>0.98</v>
      </c>
      <c r="K2553" s="12"/>
      <c r="L2553" s="12"/>
      <c r="M2553" s="12"/>
      <c r="N2553" s="12"/>
      <c r="O2553" s="12"/>
      <c r="P2553" s="12"/>
      <c r="Q2553" s="12"/>
      <c r="R2553" s="12"/>
      <c r="S2553" s="12"/>
    </row>
    <row r="2554" spans="1:19" ht="14.25" customHeight="1" x14ac:dyDescent="0.2">
      <c r="A2554" s="1" t="s">
        <v>95</v>
      </c>
      <c r="B2554" s="7">
        <v>46103.191087962965</v>
      </c>
      <c r="C2554" s="7">
        <v>46103.212152777778</v>
      </c>
      <c r="D2554" s="8">
        <v>46103</v>
      </c>
      <c r="E2554" s="9">
        <v>0.21215277777810115</v>
      </c>
      <c r="F2554" s="10" t="s">
        <v>2843</v>
      </c>
      <c r="G2554" s="10" t="s">
        <v>21</v>
      </c>
      <c r="H2554" s="10" t="s">
        <v>110</v>
      </c>
      <c r="I2554" s="10" t="s">
        <v>23</v>
      </c>
      <c r="J2554" s="11">
        <v>0.83</v>
      </c>
      <c r="K2554" s="12"/>
      <c r="L2554" s="12">
        <f>SUM(J2554:J2565)</f>
        <v>10.17</v>
      </c>
      <c r="M2554" s="13">
        <f>L2554*65</f>
        <v>661.05</v>
      </c>
      <c r="N2554" s="14">
        <f>MAX(500,M2554)</f>
        <v>661.05</v>
      </c>
      <c r="O2554" s="12"/>
      <c r="P2554" s="12"/>
      <c r="Q2554" s="12"/>
      <c r="R2554" s="12"/>
      <c r="S2554" s="12"/>
    </row>
    <row r="2555" spans="1:19" ht="14.25" customHeight="1" x14ac:dyDescent="0.2">
      <c r="A2555" s="1" t="s">
        <v>95</v>
      </c>
      <c r="B2555" s="7">
        <v>46103.198055555556</v>
      </c>
      <c r="C2555" s="7">
        <v>46103.212384259263</v>
      </c>
      <c r="D2555" s="8">
        <v>46103</v>
      </c>
      <c r="E2555" s="9">
        <v>0.2123842592627625</v>
      </c>
      <c r="F2555" s="10" t="s">
        <v>2844</v>
      </c>
      <c r="G2555" s="10" t="s">
        <v>21</v>
      </c>
      <c r="H2555" s="10" t="s">
        <v>52</v>
      </c>
      <c r="I2555" s="10" t="s">
        <v>23</v>
      </c>
      <c r="J2555" s="11">
        <v>0.98</v>
      </c>
      <c r="K2555" s="12"/>
      <c r="L2555" s="12"/>
      <c r="M2555" s="12"/>
      <c r="N2555" s="12"/>
      <c r="O2555" s="12"/>
      <c r="P2555" s="12"/>
      <c r="Q2555" s="12"/>
      <c r="R2555" s="12"/>
      <c r="S2555" s="12"/>
    </row>
    <row r="2556" spans="1:19" ht="14.25" customHeight="1" x14ac:dyDescent="0.2">
      <c r="A2556" s="1" t="s">
        <v>95</v>
      </c>
      <c r="B2556" s="7">
        <v>46103.204363425924</v>
      </c>
      <c r="C2556" s="7">
        <v>46103.212905092594</v>
      </c>
      <c r="D2556" s="8">
        <v>46103</v>
      </c>
      <c r="E2556" s="9">
        <v>0.21290509259415558</v>
      </c>
      <c r="F2556" s="10" t="s">
        <v>2845</v>
      </c>
      <c r="G2556" s="10" t="s">
        <v>21</v>
      </c>
      <c r="H2556" s="10" t="s">
        <v>97</v>
      </c>
      <c r="I2556" s="10" t="s">
        <v>23</v>
      </c>
      <c r="J2556" s="11">
        <v>1.77</v>
      </c>
      <c r="K2556" s="12"/>
      <c r="L2556" s="12"/>
      <c r="M2556" s="12"/>
      <c r="N2556" s="12"/>
      <c r="O2556" s="12"/>
      <c r="P2556" s="12"/>
      <c r="Q2556" s="12"/>
      <c r="R2556" s="12"/>
      <c r="S2556" s="12"/>
    </row>
    <row r="2557" spans="1:19" ht="14.25" customHeight="1" x14ac:dyDescent="0.2">
      <c r="A2557" s="1" t="s">
        <v>57</v>
      </c>
      <c r="B2557" s="7">
        <v>46103.199872685182</v>
      </c>
      <c r="C2557" s="7">
        <v>46103.219421296293</v>
      </c>
      <c r="D2557" s="8">
        <v>46103</v>
      </c>
      <c r="E2557" s="9">
        <v>0.21942129629314877</v>
      </c>
      <c r="F2557" s="10" t="s">
        <v>2846</v>
      </c>
      <c r="G2557" s="10" t="s">
        <v>21</v>
      </c>
      <c r="H2557" s="10" t="s">
        <v>710</v>
      </c>
      <c r="I2557" s="10" t="s">
        <v>23</v>
      </c>
      <c r="J2557" s="11">
        <v>0.98</v>
      </c>
      <c r="K2557" s="12"/>
      <c r="L2557" s="12"/>
      <c r="M2557" s="12"/>
      <c r="N2557" s="12"/>
      <c r="O2557" s="12"/>
      <c r="P2557" s="12"/>
      <c r="Q2557" s="12"/>
      <c r="R2557" s="12"/>
      <c r="S2557" s="12"/>
    </row>
    <row r="2558" spans="1:19" ht="14.25" customHeight="1" x14ac:dyDescent="0.2">
      <c r="A2558" s="1" t="s">
        <v>57</v>
      </c>
      <c r="B2558" s="7">
        <v>46103.208171296297</v>
      </c>
      <c r="C2558" s="7">
        <v>46103.219560185185</v>
      </c>
      <c r="D2558" s="8">
        <v>46103</v>
      </c>
      <c r="E2558" s="9">
        <v>0.21956018518540077</v>
      </c>
      <c r="F2558" s="10" t="s">
        <v>2847</v>
      </c>
      <c r="G2558" s="10" t="s">
        <v>21</v>
      </c>
      <c r="H2558" s="10" t="s">
        <v>59</v>
      </c>
      <c r="I2558" s="10" t="s">
        <v>23</v>
      </c>
      <c r="J2558" s="11">
        <v>0.83</v>
      </c>
      <c r="K2558" s="12"/>
      <c r="L2558" s="12"/>
      <c r="M2558" s="12"/>
      <c r="N2558" s="12"/>
      <c r="O2558" s="12"/>
      <c r="P2558" s="12"/>
      <c r="Q2558" s="12"/>
      <c r="R2558" s="12"/>
      <c r="S2558" s="12"/>
    </row>
    <row r="2559" spans="1:19" ht="14.25" customHeight="1" x14ac:dyDescent="0.2">
      <c r="A2559" s="1" t="s">
        <v>57</v>
      </c>
      <c r="B2559" s="7">
        <v>46103.210104166668</v>
      </c>
      <c r="C2559" s="7">
        <v>46103.219756944447</v>
      </c>
      <c r="D2559" s="8">
        <v>46103</v>
      </c>
      <c r="E2559" s="9">
        <v>0.21975694444699911</v>
      </c>
      <c r="F2559" s="10" t="s">
        <v>2848</v>
      </c>
      <c r="G2559" s="10" t="s">
        <v>21</v>
      </c>
      <c r="H2559" s="10" t="s">
        <v>710</v>
      </c>
      <c r="I2559" s="10" t="s">
        <v>23</v>
      </c>
      <c r="J2559" s="11">
        <v>0.98</v>
      </c>
      <c r="K2559" s="12"/>
      <c r="L2559" s="12"/>
      <c r="M2559" s="12"/>
      <c r="N2559" s="12"/>
      <c r="O2559" s="12"/>
      <c r="P2559" s="12"/>
      <c r="Q2559" s="12"/>
      <c r="R2559" s="12"/>
      <c r="S2559" s="12"/>
    </row>
    <row r="2560" spans="1:19" ht="14.25" customHeight="1" x14ac:dyDescent="0.2">
      <c r="A2560" s="1" t="s">
        <v>42</v>
      </c>
      <c r="B2560" s="7">
        <v>46103.208923611113</v>
      </c>
      <c r="C2560" s="7">
        <v>46103.239328703705</v>
      </c>
      <c r="D2560" s="8">
        <v>46103</v>
      </c>
      <c r="E2560" s="9">
        <v>0.23932870370481396</v>
      </c>
      <c r="F2560" s="10" t="s">
        <v>2849</v>
      </c>
      <c r="G2560" s="10" t="s">
        <v>44</v>
      </c>
      <c r="H2560" s="10" t="s">
        <v>50</v>
      </c>
      <c r="I2560" s="10" t="s">
        <v>23</v>
      </c>
      <c r="J2560" s="11">
        <v>0.18</v>
      </c>
      <c r="K2560" s="12"/>
      <c r="L2560" s="12"/>
      <c r="M2560" s="12"/>
      <c r="N2560" s="12"/>
      <c r="O2560" s="12"/>
      <c r="P2560" s="12"/>
      <c r="Q2560" s="12"/>
      <c r="R2560" s="12"/>
      <c r="S2560" s="12"/>
    </row>
    <row r="2561" spans="1:19" ht="14.25" customHeight="1" x14ac:dyDescent="0.2">
      <c r="A2561" s="1" t="s">
        <v>42</v>
      </c>
      <c r="B2561" s="7">
        <v>46103.219606481478</v>
      </c>
      <c r="C2561" s="7">
        <v>46103.240069444444</v>
      </c>
      <c r="D2561" s="8">
        <v>46103</v>
      </c>
      <c r="E2561" s="9">
        <v>0.24006944444408873</v>
      </c>
      <c r="F2561" s="10" t="s">
        <v>2850</v>
      </c>
      <c r="G2561" s="10" t="s">
        <v>44</v>
      </c>
      <c r="H2561" s="10" t="s">
        <v>140</v>
      </c>
      <c r="I2561" s="10" t="s">
        <v>23</v>
      </c>
      <c r="J2561" s="11">
        <v>0.18</v>
      </c>
      <c r="K2561" s="12"/>
      <c r="L2561" s="12"/>
      <c r="M2561" s="12"/>
      <c r="N2561" s="12"/>
      <c r="O2561" s="12"/>
      <c r="P2561" s="12"/>
      <c r="Q2561" s="12"/>
      <c r="R2561" s="12"/>
      <c r="S2561" s="12"/>
    </row>
    <row r="2562" spans="1:19" ht="14.25" customHeight="1" x14ac:dyDescent="0.2">
      <c r="A2562" s="1" t="s">
        <v>42</v>
      </c>
      <c r="B2562" s="7">
        <v>46103.213263888887</v>
      </c>
      <c r="C2562" s="7">
        <v>46103.240648148145</v>
      </c>
      <c r="D2562" s="8">
        <v>46103</v>
      </c>
      <c r="E2562" s="9">
        <v>0.24064814814482816</v>
      </c>
      <c r="F2562" s="10" t="s">
        <v>2851</v>
      </c>
      <c r="G2562" s="10" t="s">
        <v>44</v>
      </c>
      <c r="H2562" s="10" t="s">
        <v>497</v>
      </c>
      <c r="I2562" s="10" t="s">
        <v>23</v>
      </c>
      <c r="J2562" s="11">
        <v>0.18</v>
      </c>
      <c r="K2562" s="12"/>
      <c r="L2562" s="12"/>
      <c r="M2562" s="12"/>
      <c r="N2562" s="12"/>
      <c r="O2562" s="12"/>
      <c r="P2562" s="12"/>
      <c r="Q2562" s="12"/>
      <c r="R2562" s="12"/>
      <c r="S2562" s="12"/>
    </row>
    <row r="2563" spans="1:19" ht="14.25" customHeight="1" x14ac:dyDescent="0.2">
      <c r="A2563" s="1" t="s">
        <v>42</v>
      </c>
      <c r="B2563" s="7">
        <v>46103.216886574075</v>
      </c>
      <c r="C2563" s="7">
        <v>46103.241331018522</v>
      </c>
      <c r="D2563" s="8">
        <v>46103</v>
      </c>
      <c r="E2563" s="9">
        <v>0.24133101852203254</v>
      </c>
      <c r="F2563" s="10" t="s">
        <v>2852</v>
      </c>
      <c r="G2563" s="10" t="s">
        <v>44</v>
      </c>
      <c r="H2563" s="10" t="s">
        <v>50</v>
      </c>
      <c r="I2563" s="10" t="s">
        <v>23</v>
      </c>
      <c r="J2563" s="11">
        <v>0.18</v>
      </c>
      <c r="K2563" s="12"/>
      <c r="L2563" s="12"/>
      <c r="M2563" s="12"/>
      <c r="N2563" s="12"/>
      <c r="O2563" s="12"/>
      <c r="P2563" s="12"/>
      <c r="Q2563" s="12"/>
      <c r="R2563" s="12"/>
      <c r="S2563" s="12"/>
    </row>
    <row r="2564" spans="1:19" ht="14.25" customHeight="1" x14ac:dyDescent="0.2">
      <c r="A2564" s="1" t="s">
        <v>42</v>
      </c>
      <c r="B2564" s="7">
        <v>46103.203912037039</v>
      </c>
      <c r="C2564" s="7">
        <v>46103.241863425923</v>
      </c>
      <c r="D2564" s="8">
        <v>46103</v>
      </c>
      <c r="E2564" s="9">
        <v>0.24186342592292931</v>
      </c>
      <c r="F2564" s="10" t="s">
        <v>2853</v>
      </c>
      <c r="G2564" s="10" t="s">
        <v>44</v>
      </c>
      <c r="H2564" s="10" t="s">
        <v>497</v>
      </c>
      <c r="I2564" s="10" t="s">
        <v>23</v>
      </c>
      <c r="J2564" s="11">
        <v>0.18</v>
      </c>
      <c r="K2564" s="12"/>
      <c r="L2564" s="12"/>
      <c r="M2564" s="12"/>
      <c r="N2564" s="12"/>
      <c r="O2564" s="12"/>
      <c r="P2564" s="12"/>
      <c r="Q2564" s="12"/>
      <c r="R2564" s="12"/>
      <c r="S2564" s="12"/>
    </row>
    <row r="2565" spans="1:19" ht="14.25" customHeight="1" x14ac:dyDescent="0.2">
      <c r="A2565" s="1" t="s">
        <v>19</v>
      </c>
      <c r="B2565" s="7">
        <v>46103.238969907405</v>
      </c>
      <c r="C2565" s="7">
        <v>46103.251030092593</v>
      </c>
      <c r="D2565" s="8">
        <v>46103</v>
      </c>
      <c r="E2565" s="9">
        <v>0.25103009259328246</v>
      </c>
      <c r="F2565" s="10" t="s">
        <v>2854</v>
      </c>
      <c r="G2565" s="10" t="s">
        <v>21</v>
      </c>
      <c r="H2565" s="10" t="s">
        <v>409</v>
      </c>
      <c r="I2565" s="10" t="s">
        <v>23</v>
      </c>
      <c r="J2565" s="11">
        <v>2.9</v>
      </c>
      <c r="K2565" s="12"/>
      <c r="L2565" s="12"/>
      <c r="M2565" s="12"/>
      <c r="N2565" s="12"/>
      <c r="O2565" s="12"/>
      <c r="P2565" s="12"/>
      <c r="Q2565" s="12"/>
      <c r="R2565" s="12"/>
      <c r="S2565" s="12"/>
    </row>
    <row r="2566" spans="1:19" ht="14.25" customHeight="1" x14ac:dyDescent="0.2">
      <c r="A2566" s="1" t="s">
        <v>24</v>
      </c>
      <c r="B2566" s="7">
        <v>46103.862280092595</v>
      </c>
      <c r="C2566" s="7">
        <v>46103.878171296295</v>
      </c>
      <c r="D2566" s="8">
        <v>46103</v>
      </c>
      <c r="E2566" s="9">
        <v>0.87817129629547708</v>
      </c>
      <c r="F2566" s="10" t="s">
        <v>2855</v>
      </c>
      <c r="G2566" s="10" t="s">
        <v>21</v>
      </c>
      <c r="H2566" s="10" t="s">
        <v>52</v>
      </c>
      <c r="I2566" s="10" t="s">
        <v>23</v>
      </c>
      <c r="J2566" s="11">
        <v>0.98</v>
      </c>
      <c r="K2566" s="12">
        <f>SUM(J2566:J2567,J2569:J2573,J2577,J2579,J2581,J2582,J2584,J2585,J2586,J2587,J2591,J2593,J2594,J2598,J2601,J2602,J2604,J2608,J2609,J2610,J2611,J2612,J2614:J2632,J2633:J2651,J2652:J2671)</f>
        <v>102.31000000000004</v>
      </c>
      <c r="L2566" s="12">
        <f>SUM(J2566:J2589)</f>
        <v>19.900000000000002</v>
      </c>
      <c r="M2566" s="13">
        <f>L2566*65</f>
        <v>1293.5000000000002</v>
      </c>
      <c r="N2566" s="14">
        <f>MAX(500,M2566)</f>
        <v>1293.5000000000002</v>
      </c>
      <c r="O2566" s="12"/>
      <c r="P2566" s="12"/>
      <c r="Q2566" s="12"/>
      <c r="R2566" s="12"/>
      <c r="S2566" s="12"/>
    </row>
    <row r="2567" spans="1:19" ht="14.25" customHeight="1" x14ac:dyDescent="0.2">
      <c r="A2567" s="1" t="s">
        <v>24</v>
      </c>
      <c r="B2567" s="7">
        <v>46103.862280092595</v>
      </c>
      <c r="C2567" s="7">
        <v>46103.878564814811</v>
      </c>
      <c r="D2567" s="8">
        <v>46103</v>
      </c>
      <c r="E2567" s="9">
        <v>0.87856481481139781</v>
      </c>
      <c r="F2567" s="10" t="s">
        <v>2856</v>
      </c>
      <c r="G2567" s="10" t="s">
        <v>21</v>
      </c>
      <c r="H2567" s="10" t="s">
        <v>216</v>
      </c>
      <c r="I2567" s="10" t="s">
        <v>23</v>
      </c>
      <c r="J2567" s="11">
        <v>0.98</v>
      </c>
      <c r="K2567" s="12"/>
      <c r="L2567" s="12"/>
      <c r="M2567" s="12"/>
      <c r="N2567" s="12"/>
      <c r="O2567" s="12"/>
      <c r="P2567" s="12"/>
      <c r="Q2567" s="12"/>
      <c r="R2567" s="12"/>
      <c r="S2567" s="12"/>
    </row>
    <row r="2568" spans="1:19" ht="14.25" customHeight="1" x14ac:dyDescent="0.2">
      <c r="A2568" s="22" t="s">
        <v>24</v>
      </c>
      <c r="B2568" s="23">
        <v>46103.857673611114</v>
      </c>
      <c r="C2568" s="23">
        <v>46103.880937499998</v>
      </c>
      <c r="D2568" s="24">
        <v>46103</v>
      </c>
      <c r="E2568" s="25">
        <v>0.88093749999825377</v>
      </c>
      <c r="F2568" s="22" t="s">
        <v>2857</v>
      </c>
      <c r="G2568" s="22" t="s">
        <v>21</v>
      </c>
      <c r="H2568" s="22" t="s">
        <v>39</v>
      </c>
      <c r="I2568" s="22" t="s">
        <v>583</v>
      </c>
      <c r="J2568" s="26">
        <v>1.77</v>
      </c>
      <c r="K2568" s="26"/>
      <c r="L2568" s="26"/>
      <c r="M2568" s="26"/>
      <c r="N2568" s="26"/>
      <c r="O2568" s="26"/>
      <c r="P2568" s="26"/>
      <c r="Q2568" s="26"/>
      <c r="R2568" s="26"/>
      <c r="S2568" s="26"/>
    </row>
    <row r="2569" spans="1:19" ht="14.25" customHeight="1" x14ac:dyDescent="0.2">
      <c r="A2569" s="1" t="s">
        <v>24</v>
      </c>
      <c r="B2569" s="7">
        <v>46103.862280092595</v>
      </c>
      <c r="C2569" s="7">
        <v>46103.881747685184</v>
      </c>
      <c r="D2569" s="8">
        <v>46103</v>
      </c>
      <c r="E2569" s="9">
        <v>0.88174768518365454</v>
      </c>
      <c r="F2569" s="10" t="s">
        <v>2858</v>
      </c>
      <c r="G2569" s="10" t="s">
        <v>21</v>
      </c>
      <c r="H2569" s="10" t="s">
        <v>598</v>
      </c>
      <c r="I2569" s="10" t="s">
        <v>23</v>
      </c>
      <c r="J2569" s="11">
        <v>0.98</v>
      </c>
      <c r="K2569" s="12"/>
      <c r="L2569" s="12"/>
      <c r="M2569" s="12"/>
      <c r="N2569" s="12"/>
      <c r="O2569" s="12"/>
      <c r="P2569" s="12"/>
      <c r="Q2569" s="12"/>
      <c r="R2569" s="12"/>
      <c r="S2569" s="12"/>
    </row>
    <row r="2570" spans="1:19" ht="14.25" customHeight="1" x14ac:dyDescent="0.2">
      <c r="A2570" s="1" t="s">
        <v>28</v>
      </c>
      <c r="B2570" s="7">
        <v>46103.866481481484</v>
      </c>
      <c r="C2570" s="7">
        <v>46103.882094907407</v>
      </c>
      <c r="D2570" s="8">
        <v>46103</v>
      </c>
      <c r="E2570" s="9">
        <v>0.88209490740700858</v>
      </c>
      <c r="F2570" s="10" t="s">
        <v>2859</v>
      </c>
      <c r="G2570" s="10" t="s">
        <v>21</v>
      </c>
      <c r="H2570" s="10" t="s">
        <v>41</v>
      </c>
      <c r="I2570" s="10" t="s">
        <v>23</v>
      </c>
      <c r="J2570" s="11">
        <v>1.77</v>
      </c>
      <c r="K2570" s="12"/>
      <c r="L2570" s="12"/>
      <c r="M2570" s="12"/>
      <c r="N2570" s="12"/>
      <c r="O2570" s="12"/>
      <c r="P2570" s="12"/>
      <c r="Q2570" s="12"/>
      <c r="R2570" s="12"/>
      <c r="S2570" s="12"/>
    </row>
    <row r="2571" spans="1:19" ht="14.25" customHeight="1" x14ac:dyDescent="0.2">
      <c r="A2571" s="1" t="s">
        <v>28</v>
      </c>
      <c r="B2571" s="7">
        <v>46103.86891203704</v>
      </c>
      <c r="C2571" s="7">
        <v>46103.882754629631</v>
      </c>
      <c r="D2571" s="8">
        <v>46103</v>
      </c>
      <c r="E2571" s="9">
        <v>0.88275462963065365</v>
      </c>
      <c r="F2571" s="10" t="s">
        <v>2860</v>
      </c>
      <c r="G2571" s="10" t="s">
        <v>26</v>
      </c>
      <c r="H2571" s="10" t="s">
        <v>128</v>
      </c>
      <c r="I2571" s="10" t="s">
        <v>23</v>
      </c>
      <c r="J2571" s="11">
        <v>0.97</v>
      </c>
      <c r="K2571" s="12"/>
      <c r="L2571" s="12"/>
      <c r="M2571" s="12"/>
      <c r="N2571" s="12"/>
      <c r="O2571" s="12"/>
      <c r="P2571" s="12"/>
      <c r="Q2571" s="12"/>
      <c r="R2571" s="12"/>
      <c r="S2571" s="12"/>
    </row>
    <row r="2572" spans="1:19" ht="14.25" customHeight="1" x14ac:dyDescent="0.2">
      <c r="A2572" s="1" t="s">
        <v>42</v>
      </c>
      <c r="B2572" s="7">
        <v>46103.847129629627</v>
      </c>
      <c r="C2572" s="7">
        <v>46103.883460648147</v>
      </c>
      <c r="D2572" s="8">
        <v>46103</v>
      </c>
      <c r="E2572" s="9">
        <v>0.88346064814686542</v>
      </c>
      <c r="F2572" s="10" t="s">
        <v>2861</v>
      </c>
      <c r="G2572" s="10" t="s">
        <v>26</v>
      </c>
      <c r="H2572" s="10" t="s">
        <v>172</v>
      </c>
      <c r="I2572" s="10" t="s">
        <v>23</v>
      </c>
      <c r="J2572" s="11">
        <v>0.67</v>
      </c>
      <c r="K2572" s="12"/>
      <c r="L2572" s="12"/>
      <c r="M2572" s="12"/>
      <c r="N2572" s="12"/>
      <c r="O2572" s="12"/>
      <c r="P2572" s="12"/>
      <c r="Q2572" s="12"/>
      <c r="R2572" s="12"/>
      <c r="S2572" s="12"/>
    </row>
    <row r="2573" spans="1:19" ht="14.25" customHeight="1" x14ac:dyDescent="0.2">
      <c r="A2573" s="1" t="s">
        <v>42</v>
      </c>
      <c r="B2573" s="7">
        <v>46103.866689814815</v>
      </c>
      <c r="C2573" s="7">
        <v>46103.884050925924</v>
      </c>
      <c r="D2573" s="8">
        <v>46103</v>
      </c>
      <c r="E2573" s="9">
        <v>0.8840509259243845</v>
      </c>
      <c r="F2573" s="10" t="s">
        <v>2862</v>
      </c>
      <c r="G2573" s="10" t="s">
        <v>44</v>
      </c>
      <c r="H2573" s="10" t="s">
        <v>140</v>
      </c>
      <c r="I2573" s="10" t="s">
        <v>23</v>
      </c>
      <c r="J2573" s="11">
        <v>0.18</v>
      </c>
      <c r="K2573" s="12"/>
      <c r="L2573" s="12"/>
      <c r="M2573" s="12"/>
      <c r="N2573" s="12"/>
      <c r="O2573" s="12"/>
      <c r="P2573" s="12"/>
      <c r="Q2573" s="12"/>
      <c r="R2573" s="12"/>
      <c r="S2573" s="12"/>
    </row>
    <row r="2574" spans="1:19" ht="14.25" customHeight="1" x14ac:dyDescent="0.2">
      <c r="A2574" s="22" t="s">
        <v>24</v>
      </c>
      <c r="B2574" s="23">
        <v>46103.869513888887</v>
      </c>
      <c r="C2574" s="23">
        <v>46103.884166666663</v>
      </c>
      <c r="D2574" s="24">
        <v>46103</v>
      </c>
      <c r="E2574" s="25">
        <v>0.88416666666307719</v>
      </c>
      <c r="F2574" s="22" t="s">
        <v>2863</v>
      </c>
      <c r="G2574" s="22" t="s">
        <v>44</v>
      </c>
      <c r="H2574" s="22" t="s">
        <v>185</v>
      </c>
      <c r="I2574" s="22" t="s">
        <v>583</v>
      </c>
      <c r="J2574" s="26">
        <v>0.18</v>
      </c>
      <c r="K2574" s="26"/>
      <c r="L2574" s="26"/>
      <c r="M2574" s="26"/>
      <c r="N2574" s="26"/>
      <c r="O2574" s="26"/>
      <c r="P2574" s="26"/>
      <c r="Q2574" s="26"/>
      <c r="R2574" s="26"/>
      <c r="S2574" s="26"/>
    </row>
    <row r="2575" spans="1:19" ht="14.25" customHeight="1" x14ac:dyDescent="0.2">
      <c r="A2575" s="22" t="s">
        <v>57</v>
      </c>
      <c r="B2575" s="23">
        <v>46103.876307870371</v>
      </c>
      <c r="C2575" s="23">
        <v>46103.885925925926</v>
      </c>
      <c r="D2575" s="24">
        <v>46103</v>
      </c>
      <c r="E2575" s="25">
        <v>0.88592592592613073</v>
      </c>
      <c r="F2575" s="22" t="s">
        <v>2864</v>
      </c>
      <c r="G2575" s="22" t="s">
        <v>44</v>
      </c>
      <c r="H2575" s="22" t="s">
        <v>606</v>
      </c>
      <c r="I2575" s="22" t="s">
        <v>583</v>
      </c>
      <c r="J2575" s="26">
        <v>0.18</v>
      </c>
      <c r="K2575" s="26"/>
      <c r="L2575" s="26"/>
      <c r="M2575" s="26"/>
      <c r="N2575" s="26"/>
      <c r="O2575" s="26"/>
      <c r="P2575" s="26"/>
      <c r="Q2575" s="26"/>
      <c r="R2575" s="26"/>
      <c r="S2575" s="26"/>
    </row>
    <row r="2576" spans="1:19" ht="14.25" customHeight="1" x14ac:dyDescent="0.2">
      <c r="A2576" s="22" t="s">
        <v>24</v>
      </c>
      <c r="B2576" s="23">
        <v>46103.871377314812</v>
      </c>
      <c r="C2576" s="23">
        <v>46103.887199074074</v>
      </c>
      <c r="D2576" s="24">
        <v>46103</v>
      </c>
      <c r="E2576" s="25">
        <v>0.88719907407357823</v>
      </c>
      <c r="F2576" s="22" t="s">
        <v>2865</v>
      </c>
      <c r="G2576" s="22" t="s">
        <v>44</v>
      </c>
      <c r="H2576" s="22" t="s">
        <v>185</v>
      </c>
      <c r="I2576" s="22" t="s">
        <v>583</v>
      </c>
      <c r="J2576" s="26">
        <v>0.18</v>
      </c>
      <c r="K2576" s="26"/>
      <c r="L2576" s="26"/>
      <c r="M2576" s="26"/>
      <c r="N2576" s="26"/>
      <c r="O2576" s="26"/>
      <c r="P2576" s="26"/>
      <c r="Q2576" s="26"/>
      <c r="R2576" s="26"/>
      <c r="S2576" s="26"/>
    </row>
    <row r="2577" spans="1:19" ht="14.25" customHeight="1" x14ac:dyDescent="0.2">
      <c r="A2577" s="1" t="s">
        <v>28</v>
      </c>
      <c r="B2577" s="7">
        <v>46103.87358796296</v>
      </c>
      <c r="C2577" s="7">
        <v>46103.889791666668</v>
      </c>
      <c r="D2577" s="8">
        <v>46103</v>
      </c>
      <c r="E2577" s="9">
        <v>0.88979166666831588</v>
      </c>
      <c r="F2577" s="10" t="s">
        <v>2866</v>
      </c>
      <c r="G2577" s="10" t="s">
        <v>21</v>
      </c>
      <c r="H2577" s="10" t="s">
        <v>22</v>
      </c>
      <c r="I2577" s="10" t="s">
        <v>23</v>
      </c>
      <c r="J2577" s="11">
        <v>0.83</v>
      </c>
      <c r="K2577" s="12"/>
      <c r="L2577" s="12"/>
      <c r="M2577" s="12"/>
      <c r="N2577" s="12"/>
      <c r="O2577" s="12"/>
      <c r="P2577" s="12"/>
      <c r="Q2577" s="12"/>
      <c r="R2577" s="12"/>
      <c r="S2577" s="12"/>
    </row>
    <row r="2578" spans="1:19" ht="14.25" customHeight="1" x14ac:dyDescent="0.2">
      <c r="A2578" s="22" t="s">
        <v>24</v>
      </c>
      <c r="B2578" s="23">
        <v>46103.866539351853</v>
      </c>
      <c r="C2578" s="23">
        <v>46103.889918981484</v>
      </c>
      <c r="D2578" s="24">
        <v>46103</v>
      </c>
      <c r="E2578" s="25">
        <v>0.88991898148378823</v>
      </c>
      <c r="F2578" s="22" t="s">
        <v>2867</v>
      </c>
      <c r="G2578" s="22" t="s">
        <v>44</v>
      </c>
      <c r="H2578" s="22" t="s">
        <v>48</v>
      </c>
      <c r="I2578" s="22" t="s">
        <v>583</v>
      </c>
      <c r="J2578" s="26">
        <v>0.21</v>
      </c>
      <c r="K2578" s="26"/>
      <c r="L2578" s="26"/>
      <c r="M2578" s="26"/>
      <c r="N2578" s="26"/>
      <c r="O2578" s="26"/>
      <c r="P2578" s="26"/>
      <c r="Q2578" s="26"/>
      <c r="R2578" s="26"/>
      <c r="S2578" s="26"/>
    </row>
    <row r="2579" spans="1:19" ht="14.25" customHeight="1" x14ac:dyDescent="0.2">
      <c r="A2579" s="1" t="s">
        <v>46</v>
      </c>
      <c r="B2579" s="7">
        <v>46103.874282407407</v>
      </c>
      <c r="C2579" s="7">
        <v>46103.890648148146</v>
      </c>
      <c r="D2579" s="8">
        <v>46103</v>
      </c>
      <c r="E2579" s="9">
        <v>0.89064814814628335</v>
      </c>
      <c r="F2579" s="10" t="s">
        <v>2868</v>
      </c>
      <c r="G2579" s="10" t="s">
        <v>21</v>
      </c>
      <c r="H2579" s="10" t="s">
        <v>101</v>
      </c>
      <c r="I2579" s="10" t="s">
        <v>23</v>
      </c>
      <c r="J2579" s="11">
        <v>1.7</v>
      </c>
      <c r="K2579" s="12"/>
      <c r="L2579" s="12"/>
      <c r="M2579" s="12"/>
      <c r="N2579" s="12"/>
      <c r="O2579" s="12"/>
      <c r="P2579" s="12"/>
      <c r="Q2579" s="12"/>
      <c r="R2579" s="12"/>
      <c r="S2579" s="12"/>
    </row>
    <row r="2580" spans="1:19" ht="14.25" customHeight="1" x14ac:dyDescent="0.2">
      <c r="A2580" s="22" t="s">
        <v>24</v>
      </c>
      <c r="B2580" s="23">
        <v>46103.865300925929</v>
      </c>
      <c r="C2580" s="23">
        <v>46103.890775462962</v>
      </c>
      <c r="D2580" s="24">
        <v>46103</v>
      </c>
      <c r="E2580" s="25">
        <v>0.89077546296175569</v>
      </c>
      <c r="F2580" s="22" t="s">
        <v>2869</v>
      </c>
      <c r="G2580" s="22" t="s">
        <v>44</v>
      </c>
      <c r="H2580" s="22" t="s">
        <v>185</v>
      </c>
      <c r="I2580" s="22" t="s">
        <v>583</v>
      </c>
      <c r="J2580" s="26">
        <v>0.18</v>
      </c>
      <c r="K2580" s="26"/>
      <c r="L2580" s="26"/>
      <c r="M2580" s="26"/>
      <c r="N2580" s="26"/>
      <c r="O2580" s="26"/>
      <c r="P2580" s="26"/>
      <c r="Q2580" s="26"/>
      <c r="R2580" s="26"/>
      <c r="S2580" s="26"/>
    </row>
    <row r="2581" spans="1:19" ht="14.25" customHeight="1" x14ac:dyDescent="0.2">
      <c r="A2581" s="1" t="s">
        <v>24</v>
      </c>
      <c r="B2581" s="7">
        <v>46103.868831018517</v>
      </c>
      <c r="C2581" s="7">
        <v>46103.899548611109</v>
      </c>
      <c r="D2581" s="8">
        <v>46103</v>
      </c>
      <c r="E2581" s="9">
        <v>0.89954861110891216</v>
      </c>
      <c r="F2581" s="10" t="s">
        <v>2870</v>
      </c>
      <c r="G2581" s="10" t="s">
        <v>26</v>
      </c>
      <c r="H2581" s="10" t="s">
        <v>1260</v>
      </c>
      <c r="I2581" s="10" t="s">
        <v>23</v>
      </c>
      <c r="J2581" s="11">
        <v>0.57999999999999996</v>
      </c>
      <c r="K2581" s="12"/>
      <c r="L2581" s="12"/>
      <c r="M2581" s="12"/>
      <c r="N2581" s="12"/>
      <c r="O2581" s="12"/>
      <c r="P2581" s="12"/>
      <c r="Q2581" s="12"/>
      <c r="R2581" s="12"/>
      <c r="S2581" s="12"/>
    </row>
    <row r="2582" spans="1:19" ht="14.25" customHeight="1" x14ac:dyDescent="0.2">
      <c r="A2582" s="1" t="s">
        <v>24</v>
      </c>
      <c r="B2582" s="7">
        <v>46103.875081018516</v>
      </c>
      <c r="C2582" s="7">
        <v>46103.900312500002</v>
      </c>
      <c r="D2582" s="8">
        <v>46103</v>
      </c>
      <c r="E2582" s="9">
        <v>0.90031250000174623</v>
      </c>
      <c r="F2582" s="10" t="s">
        <v>2871</v>
      </c>
      <c r="G2582" s="10" t="s">
        <v>26</v>
      </c>
      <c r="H2582" s="10" t="s">
        <v>92</v>
      </c>
      <c r="I2582" s="10" t="s">
        <v>23</v>
      </c>
      <c r="J2582" s="11">
        <v>0.63</v>
      </c>
      <c r="K2582" s="12"/>
      <c r="L2582" s="12"/>
      <c r="M2582" s="12"/>
      <c r="N2582" s="12"/>
      <c r="O2582" s="12"/>
      <c r="P2582" s="12"/>
      <c r="Q2582" s="12"/>
      <c r="R2582" s="12"/>
      <c r="S2582" s="12"/>
    </row>
    <row r="2583" spans="1:19" ht="14.25" customHeight="1" x14ac:dyDescent="0.2">
      <c r="A2583" s="22" t="s">
        <v>57</v>
      </c>
      <c r="B2583" s="23">
        <v>46103.886099537034</v>
      </c>
      <c r="C2583" s="23">
        <v>46103.900393518517</v>
      </c>
      <c r="D2583" s="24">
        <v>46103</v>
      </c>
      <c r="E2583" s="25">
        <v>0.90039351851737592</v>
      </c>
      <c r="F2583" s="22" t="s">
        <v>2872</v>
      </c>
      <c r="G2583" s="22" t="s">
        <v>21</v>
      </c>
      <c r="H2583" s="22" t="s">
        <v>712</v>
      </c>
      <c r="I2583" s="22" t="s">
        <v>583</v>
      </c>
      <c r="J2583" s="26">
        <v>1.77</v>
      </c>
      <c r="K2583" s="26"/>
      <c r="L2583" s="26"/>
      <c r="M2583" s="26"/>
      <c r="N2583" s="26"/>
      <c r="O2583" s="26"/>
      <c r="P2583" s="26"/>
      <c r="Q2583" s="26"/>
      <c r="R2583" s="26"/>
      <c r="S2583" s="26"/>
    </row>
    <row r="2584" spans="1:19" ht="14.25" customHeight="1" x14ac:dyDescent="0.2">
      <c r="A2584" s="1" t="s">
        <v>28</v>
      </c>
      <c r="B2584" s="7">
        <v>46103.880023148151</v>
      </c>
      <c r="C2584" s="7">
        <v>46103.900787037041</v>
      </c>
      <c r="D2584" s="8">
        <v>46103</v>
      </c>
      <c r="E2584" s="9">
        <v>0.90078703704057261</v>
      </c>
      <c r="F2584" s="10" t="s">
        <v>2873</v>
      </c>
      <c r="G2584" s="10" t="s">
        <v>26</v>
      </c>
      <c r="H2584" s="10" t="s">
        <v>56</v>
      </c>
      <c r="I2584" s="10" t="s">
        <v>23</v>
      </c>
      <c r="J2584" s="11">
        <v>0.73</v>
      </c>
      <c r="K2584" s="12"/>
      <c r="L2584" s="12"/>
      <c r="M2584" s="12"/>
      <c r="N2584" s="12"/>
      <c r="O2584" s="12"/>
      <c r="P2584" s="12"/>
      <c r="Q2584" s="12"/>
      <c r="R2584" s="12"/>
      <c r="S2584" s="12"/>
    </row>
    <row r="2585" spans="1:19" ht="14.25" customHeight="1" x14ac:dyDescent="0.2">
      <c r="A2585" s="1" t="s">
        <v>24</v>
      </c>
      <c r="B2585" s="7">
        <v>46103.885821759257</v>
      </c>
      <c r="C2585" s="7">
        <v>46103.903113425928</v>
      </c>
      <c r="D2585" s="8">
        <v>46103</v>
      </c>
      <c r="E2585" s="9">
        <v>0.90311342592758592</v>
      </c>
      <c r="F2585" s="10" t="s">
        <v>2874</v>
      </c>
      <c r="G2585" s="10" t="s">
        <v>21</v>
      </c>
      <c r="H2585" s="10" t="s">
        <v>22</v>
      </c>
      <c r="I2585" s="10" t="s">
        <v>23</v>
      </c>
      <c r="J2585" s="11">
        <v>0.83</v>
      </c>
      <c r="K2585" s="12"/>
      <c r="L2585" s="12"/>
      <c r="M2585" s="12"/>
      <c r="N2585" s="12"/>
      <c r="O2585" s="12"/>
      <c r="P2585" s="12"/>
      <c r="Q2585" s="12"/>
      <c r="R2585" s="12"/>
      <c r="S2585" s="12"/>
    </row>
    <row r="2586" spans="1:19" ht="14.25" customHeight="1" x14ac:dyDescent="0.2">
      <c r="A2586" s="1" t="s">
        <v>24</v>
      </c>
      <c r="B2586" s="7">
        <v>46103.885821759257</v>
      </c>
      <c r="C2586" s="7">
        <v>46103.903310185182</v>
      </c>
      <c r="D2586" s="8">
        <v>46103</v>
      </c>
      <c r="E2586" s="9">
        <v>0.90331018518190831</v>
      </c>
      <c r="F2586" s="10" t="s">
        <v>2875</v>
      </c>
      <c r="G2586" s="10" t="s">
        <v>21</v>
      </c>
      <c r="H2586" s="10" t="s">
        <v>52</v>
      </c>
      <c r="I2586" s="10" t="s">
        <v>23</v>
      </c>
      <c r="J2586" s="11">
        <v>0.98</v>
      </c>
      <c r="K2586" s="12"/>
      <c r="L2586" s="12"/>
      <c r="M2586" s="12"/>
      <c r="N2586" s="12"/>
      <c r="O2586" s="12"/>
      <c r="P2586" s="12"/>
      <c r="Q2586" s="12"/>
      <c r="R2586" s="12"/>
      <c r="S2586" s="12"/>
    </row>
    <row r="2587" spans="1:19" ht="14.25" customHeight="1" x14ac:dyDescent="0.2">
      <c r="A2587" s="1" t="s">
        <v>28</v>
      </c>
      <c r="B2587" s="7">
        <v>46103.892638888887</v>
      </c>
      <c r="C2587" s="7">
        <v>46103.903807870367</v>
      </c>
      <c r="D2587" s="8">
        <v>46103</v>
      </c>
      <c r="E2587" s="9">
        <v>0.90380787036701804</v>
      </c>
      <c r="F2587" s="10" t="s">
        <v>2876</v>
      </c>
      <c r="G2587" s="10" t="s">
        <v>26</v>
      </c>
      <c r="H2587" s="10" t="s">
        <v>1019</v>
      </c>
      <c r="I2587" s="10" t="s">
        <v>23</v>
      </c>
      <c r="J2587" s="11">
        <v>0.67</v>
      </c>
      <c r="K2587" s="12"/>
      <c r="L2587" s="12"/>
      <c r="M2587" s="12"/>
      <c r="N2587" s="12"/>
      <c r="O2587" s="12"/>
      <c r="P2587" s="12"/>
      <c r="Q2587" s="12"/>
      <c r="R2587" s="12"/>
      <c r="S2587" s="12"/>
    </row>
    <row r="2588" spans="1:19" ht="14.25" customHeight="1" x14ac:dyDescent="0.2">
      <c r="A2588" s="22" t="s">
        <v>24</v>
      </c>
      <c r="B2588" s="23">
        <v>46103.873530092591</v>
      </c>
      <c r="C2588" s="23">
        <v>46103.912766203706</v>
      </c>
      <c r="D2588" s="24">
        <v>46103</v>
      </c>
      <c r="E2588" s="25">
        <v>0.91276620370626915</v>
      </c>
      <c r="F2588" s="22" t="s">
        <v>2877</v>
      </c>
      <c r="G2588" s="22" t="s">
        <v>21</v>
      </c>
      <c r="H2588" s="22" t="s">
        <v>41</v>
      </c>
      <c r="I2588" s="22" t="s">
        <v>583</v>
      </c>
      <c r="J2588" s="26">
        <v>1.77</v>
      </c>
      <c r="K2588" s="26"/>
      <c r="L2588" s="26"/>
      <c r="M2588" s="26"/>
      <c r="N2588" s="26"/>
      <c r="O2588" s="26"/>
      <c r="P2588" s="26"/>
      <c r="Q2588" s="26"/>
      <c r="R2588" s="26"/>
      <c r="S2588" s="26"/>
    </row>
    <row r="2589" spans="1:19" ht="14.25" customHeight="1" x14ac:dyDescent="0.2">
      <c r="A2589" s="22" t="s">
        <v>33</v>
      </c>
      <c r="B2589" s="23">
        <v>46103.886562500003</v>
      </c>
      <c r="C2589" s="23">
        <v>46103.915011574078</v>
      </c>
      <c r="D2589" s="24">
        <v>46103</v>
      </c>
      <c r="E2589" s="25">
        <v>0.91501157407765277</v>
      </c>
      <c r="F2589" s="22" t="s">
        <v>2878</v>
      </c>
      <c r="G2589" s="22" t="s">
        <v>44</v>
      </c>
      <c r="H2589" s="22" t="s">
        <v>185</v>
      </c>
      <c r="I2589" s="22" t="s">
        <v>583</v>
      </c>
      <c r="J2589" s="26">
        <v>0.18</v>
      </c>
      <c r="K2589" s="26"/>
      <c r="L2589" s="26"/>
      <c r="M2589" s="26"/>
      <c r="N2589" s="26"/>
      <c r="O2589" s="26"/>
      <c r="P2589" s="26"/>
      <c r="Q2589" s="26"/>
      <c r="R2589" s="26"/>
      <c r="S2589" s="26"/>
    </row>
    <row r="2590" spans="1:19" ht="14.25" customHeight="1" x14ac:dyDescent="0.2">
      <c r="A2590" s="22" t="s">
        <v>33</v>
      </c>
      <c r="B2590" s="23">
        <v>46103.827743055554</v>
      </c>
      <c r="C2590" s="23">
        <v>46103.916898148149</v>
      </c>
      <c r="D2590" s="24">
        <v>46103</v>
      </c>
      <c r="E2590" s="25">
        <v>0.91689814814890269</v>
      </c>
      <c r="F2590" s="22" t="s">
        <v>2879</v>
      </c>
      <c r="G2590" s="22" t="s">
        <v>44</v>
      </c>
      <c r="H2590" s="22" t="s">
        <v>185</v>
      </c>
      <c r="I2590" s="22" t="s">
        <v>583</v>
      </c>
      <c r="J2590" s="26">
        <v>0.18</v>
      </c>
      <c r="K2590" s="26"/>
      <c r="L2590" s="26">
        <f>SUM(J2590:J2607)</f>
        <v>13.039999999999997</v>
      </c>
      <c r="M2590" s="13">
        <f>L2590*65</f>
        <v>847.5999999999998</v>
      </c>
      <c r="N2590" s="14">
        <f>MAX(500,M2590)</f>
        <v>847.5999999999998</v>
      </c>
      <c r="O2590" s="26"/>
      <c r="P2590" s="26"/>
      <c r="Q2590" s="26"/>
      <c r="R2590" s="26"/>
      <c r="S2590" s="26"/>
    </row>
    <row r="2591" spans="1:19" ht="14.25" customHeight="1" x14ac:dyDescent="0.2">
      <c r="A2591" s="1" t="s">
        <v>33</v>
      </c>
      <c r="B2591" s="7">
        <v>46103.908831018518</v>
      </c>
      <c r="C2591" s="7">
        <v>46103.917569444442</v>
      </c>
      <c r="D2591" s="8">
        <v>46103</v>
      </c>
      <c r="E2591" s="9">
        <v>0.91756944444205146</v>
      </c>
      <c r="F2591" s="10" t="s">
        <v>2880</v>
      </c>
      <c r="G2591" s="10" t="s">
        <v>44</v>
      </c>
      <c r="H2591" s="10" t="s">
        <v>185</v>
      </c>
      <c r="I2591" s="10" t="s">
        <v>23</v>
      </c>
      <c r="J2591" s="11">
        <v>0.18</v>
      </c>
      <c r="K2591" s="12"/>
      <c r="L2591" s="12"/>
      <c r="M2591" s="12"/>
      <c r="N2591" s="12"/>
      <c r="O2591" s="12"/>
      <c r="P2591" s="12"/>
      <c r="Q2591" s="12"/>
      <c r="R2591" s="12"/>
      <c r="S2591" s="12"/>
    </row>
    <row r="2592" spans="1:19" ht="14.25" customHeight="1" x14ac:dyDescent="0.2">
      <c r="A2592" s="22" t="s">
        <v>33</v>
      </c>
      <c r="B2592" s="23">
        <v>46103.793738425928</v>
      </c>
      <c r="C2592" s="23">
        <v>46103.918449074074</v>
      </c>
      <c r="D2592" s="24">
        <v>46103</v>
      </c>
      <c r="E2592" s="25">
        <v>0.91844907407357823</v>
      </c>
      <c r="F2592" s="22" t="s">
        <v>2881</v>
      </c>
      <c r="G2592" s="22" t="s">
        <v>44</v>
      </c>
      <c r="H2592" s="22" t="s">
        <v>185</v>
      </c>
      <c r="I2592" s="22" t="s">
        <v>583</v>
      </c>
      <c r="J2592" s="26">
        <v>0.18</v>
      </c>
      <c r="K2592" s="26"/>
      <c r="L2592" s="26"/>
      <c r="M2592" s="26"/>
      <c r="N2592" s="26"/>
      <c r="O2592" s="26"/>
      <c r="P2592" s="26"/>
      <c r="Q2592" s="26"/>
      <c r="R2592" s="26"/>
      <c r="S2592" s="26"/>
    </row>
    <row r="2593" spans="1:19" ht="14.25" customHeight="1" x14ac:dyDescent="0.2">
      <c r="A2593" s="1" t="s">
        <v>33</v>
      </c>
      <c r="B2593" s="7">
        <v>46103.907916666663</v>
      </c>
      <c r="C2593" s="7">
        <v>46103.920127314814</v>
      </c>
      <c r="D2593" s="8">
        <v>46103</v>
      </c>
      <c r="E2593" s="9">
        <v>0.92012731481372612</v>
      </c>
      <c r="F2593" s="10" t="s">
        <v>2882</v>
      </c>
      <c r="G2593" s="10" t="s">
        <v>21</v>
      </c>
      <c r="H2593" s="10" t="s">
        <v>41</v>
      </c>
      <c r="I2593" s="10" t="s">
        <v>23</v>
      </c>
      <c r="J2593" s="11">
        <v>1.77</v>
      </c>
      <c r="K2593" s="12"/>
      <c r="L2593" s="12"/>
      <c r="M2593" s="12"/>
      <c r="N2593" s="12"/>
      <c r="O2593" s="12"/>
      <c r="P2593" s="12"/>
      <c r="Q2593" s="12"/>
      <c r="R2593" s="12"/>
      <c r="S2593" s="12"/>
    </row>
    <row r="2594" spans="1:19" ht="14.25" customHeight="1" x14ac:dyDescent="0.2">
      <c r="A2594" s="1" t="s">
        <v>28</v>
      </c>
      <c r="B2594" s="7">
        <v>46103.905347222222</v>
      </c>
      <c r="C2594" s="7">
        <v>46103.920532407406</v>
      </c>
      <c r="D2594" s="8">
        <v>46103</v>
      </c>
      <c r="E2594" s="9">
        <v>0.9205324074064265</v>
      </c>
      <c r="F2594" s="10" t="s">
        <v>2883</v>
      </c>
      <c r="G2594" s="10" t="s">
        <v>21</v>
      </c>
      <c r="H2594" s="10" t="s">
        <v>41</v>
      </c>
      <c r="I2594" s="10" t="s">
        <v>23</v>
      </c>
      <c r="J2594" s="11">
        <v>1.77</v>
      </c>
      <c r="K2594" s="12"/>
      <c r="L2594" s="12"/>
      <c r="M2594" s="12"/>
      <c r="N2594" s="12"/>
      <c r="O2594" s="12"/>
      <c r="P2594" s="12"/>
      <c r="Q2594" s="12"/>
      <c r="R2594" s="12"/>
      <c r="S2594" s="12"/>
    </row>
    <row r="2595" spans="1:19" ht="14.25" customHeight="1" x14ac:dyDescent="0.2">
      <c r="A2595" s="22" t="s">
        <v>33</v>
      </c>
      <c r="B2595" s="23">
        <v>46103.820891203701</v>
      </c>
      <c r="C2595" s="23">
        <v>46103.920555555553</v>
      </c>
      <c r="D2595" s="24">
        <v>46103</v>
      </c>
      <c r="E2595" s="25">
        <v>0.92055555555270985</v>
      </c>
      <c r="F2595" s="22" t="s">
        <v>2884</v>
      </c>
      <c r="G2595" s="22" t="s">
        <v>44</v>
      </c>
      <c r="H2595" s="22" t="s">
        <v>185</v>
      </c>
      <c r="I2595" s="22" t="s">
        <v>583</v>
      </c>
      <c r="J2595" s="26">
        <v>0.18</v>
      </c>
      <c r="K2595" s="26"/>
      <c r="L2595" s="26"/>
      <c r="M2595" s="26"/>
      <c r="N2595" s="26"/>
      <c r="O2595" s="26"/>
      <c r="P2595" s="26"/>
      <c r="Q2595" s="26"/>
      <c r="R2595" s="26"/>
      <c r="S2595" s="26"/>
    </row>
    <row r="2596" spans="1:19" ht="14.25" customHeight="1" x14ac:dyDescent="0.2">
      <c r="A2596" s="22" t="s">
        <v>33</v>
      </c>
      <c r="B2596" s="23">
        <v>46103.833356481482</v>
      </c>
      <c r="C2596" s="23">
        <v>46103.922546296293</v>
      </c>
      <c r="D2596" s="24">
        <v>46103</v>
      </c>
      <c r="E2596" s="25">
        <v>0.92254629629314877</v>
      </c>
      <c r="F2596" s="22" t="s">
        <v>2885</v>
      </c>
      <c r="G2596" s="22" t="s">
        <v>44</v>
      </c>
      <c r="H2596" s="22" t="s">
        <v>185</v>
      </c>
      <c r="I2596" s="22" t="s">
        <v>583</v>
      </c>
      <c r="J2596" s="26">
        <v>0.18</v>
      </c>
      <c r="K2596" s="26"/>
      <c r="L2596" s="26"/>
      <c r="M2596" s="26"/>
      <c r="N2596" s="26"/>
      <c r="O2596" s="26"/>
      <c r="P2596" s="26"/>
      <c r="Q2596" s="26"/>
      <c r="R2596" s="26"/>
      <c r="S2596" s="26"/>
    </row>
    <row r="2597" spans="1:19" ht="14.25" customHeight="1" x14ac:dyDescent="0.2">
      <c r="A2597" s="22" t="s">
        <v>33</v>
      </c>
      <c r="B2597" s="23">
        <v>46103.878113425926</v>
      </c>
      <c r="C2597" s="23">
        <v>46103.923773148148</v>
      </c>
      <c r="D2597" s="24">
        <v>46103</v>
      </c>
      <c r="E2597" s="25">
        <v>0.92377314814802958</v>
      </c>
      <c r="F2597" s="22" t="s">
        <v>2886</v>
      </c>
      <c r="G2597" s="22" t="s">
        <v>44</v>
      </c>
      <c r="H2597" s="22" t="s">
        <v>185</v>
      </c>
      <c r="I2597" s="22" t="s">
        <v>583</v>
      </c>
      <c r="J2597" s="26">
        <v>0.18</v>
      </c>
      <c r="K2597" s="26"/>
      <c r="L2597" s="26"/>
      <c r="M2597" s="26"/>
      <c r="N2597" s="26"/>
      <c r="O2597" s="26"/>
      <c r="P2597" s="26"/>
      <c r="Q2597" s="26"/>
      <c r="R2597" s="26"/>
      <c r="S2597" s="26"/>
    </row>
    <row r="2598" spans="1:19" ht="14.25" customHeight="1" x14ac:dyDescent="0.2">
      <c r="A2598" s="1" t="s">
        <v>24</v>
      </c>
      <c r="B2598" s="7">
        <v>46103.902465277781</v>
      </c>
      <c r="C2598" s="7">
        <v>46103.928402777776</v>
      </c>
      <c r="D2598" s="8">
        <v>46103</v>
      </c>
      <c r="E2598" s="9">
        <v>0.92840277777577285</v>
      </c>
      <c r="F2598" s="10" t="s">
        <v>2887</v>
      </c>
      <c r="G2598" s="10" t="s">
        <v>26</v>
      </c>
      <c r="H2598" s="10" t="s">
        <v>56</v>
      </c>
      <c r="I2598" s="10" t="s">
        <v>23</v>
      </c>
      <c r="J2598" s="11">
        <v>0.73</v>
      </c>
      <c r="K2598" s="12"/>
      <c r="L2598" s="12"/>
      <c r="M2598" s="12"/>
      <c r="N2598" s="12"/>
      <c r="O2598" s="12"/>
      <c r="P2598" s="12"/>
      <c r="Q2598" s="12"/>
      <c r="R2598" s="12"/>
      <c r="S2598" s="12"/>
    </row>
    <row r="2599" spans="1:19" ht="14.25" customHeight="1" x14ac:dyDescent="0.2">
      <c r="A2599" s="22" t="s">
        <v>57</v>
      </c>
      <c r="B2599" s="23">
        <v>46103.911203703705</v>
      </c>
      <c r="C2599" s="23">
        <v>46103.93167824074</v>
      </c>
      <c r="D2599" s="24">
        <v>46103</v>
      </c>
      <c r="E2599" s="25">
        <v>0.93167824074043892</v>
      </c>
      <c r="F2599" s="22" t="s">
        <v>2888</v>
      </c>
      <c r="G2599" s="22" t="s">
        <v>21</v>
      </c>
      <c r="H2599" s="22" t="s">
        <v>712</v>
      </c>
      <c r="I2599" s="22" t="s">
        <v>583</v>
      </c>
      <c r="J2599" s="26">
        <v>1.77</v>
      </c>
      <c r="K2599" s="26"/>
      <c r="L2599" s="26"/>
      <c r="M2599" s="26"/>
      <c r="N2599" s="26"/>
      <c r="O2599" s="26"/>
      <c r="P2599" s="26"/>
      <c r="Q2599" s="26"/>
      <c r="R2599" s="26"/>
      <c r="S2599" s="26"/>
    </row>
    <row r="2600" spans="1:19" ht="14.25" customHeight="1" x14ac:dyDescent="0.2">
      <c r="A2600" s="22" t="s">
        <v>24</v>
      </c>
      <c r="B2600" s="23">
        <v>46103.914756944447</v>
      </c>
      <c r="C2600" s="23">
        <v>46103.933935185189</v>
      </c>
      <c r="D2600" s="24">
        <v>46103</v>
      </c>
      <c r="E2600" s="25">
        <v>0.93393518518860219</v>
      </c>
      <c r="F2600" s="22" t="s">
        <v>2889</v>
      </c>
      <c r="G2600" s="22" t="s">
        <v>44</v>
      </c>
      <c r="H2600" s="22" t="s">
        <v>185</v>
      </c>
      <c r="I2600" s="22" t="s">
        <v>583</v>
      </c>
      <c r="J2600" s="26">
        <v>0.18</v>
      </c>
      <c r="K2600" s="26"/>
      <c r="L2600" s="26"/>
      <c r="M2600" s="26"/>
      <c r="N2600" s="26"/>
      <c r="O2600" s="26"/>
      <c r="P2600" s="26"/>
      <c r="Q2600" s="26"/>
      <c r="R2600" s="26"/>
      <c r="S2600" s="26"/>
    </row>
    <row r="2601" spans="1:19" ht="14.25" customHeight="1" x14ac:dyDescent="0.2">
      <c r="A2601" s="1" t="s">
        <v>28</v>
      </c>
      <c r="B2601" s="7">
        <v>46103.928981481484</v>
      </c>
      <c r="C2601" s="7">
        <v>46103.940717592595</v>
      </c>
      <c r="D2601" s="8">
        <v>46103</v>
      </c>
      <c r="E2601" s="9">
        <v>0.94071759259531973</v>
      </c>
      <c r="F2601" s="10" t="s">
        <v>2890</v>
      </c>
      <c r="G2601" s="10" t="s">
        <v>21</v>
      </c>
      <c r="H2601" s="10" t="s">
        <v>22</v>
      </c>
      <c r="I2601" s="10" t="s">
        <v>23</v>
      </c>
      <c r="J2601" s="11">
        <v>0.83</v>
      </c>
      <c r="K2601" s="12"/>
      <c r="L2601" s="12"/>
      <c r="M2601" s="12"/>
      <c r="N2601" s="12"/>
      <c r="O2601" s="12"/>
      <c r="P2601" s="12"/>
      <c r="Q2601" s="12"/>
      <c r="R2601" s="12"/>
      <c r="S2601" s="12"/>
    </row>
    <row r="2602" spans="1:19" ht="14.25" customHeight="1" x14ac:dyDescent="0.2">
      <c r="A2602" s="1" t="s">
        <v>24</v>
      </c>
      <c r="B2602" s="7">
        <v>46103.896956018521</v>
      </c>
      <c r="C2602" s="7">
        <v>46103.943460648145</v>
      </c>
      <c r="D2602" s="8">
        <v>46103</v>
      </c>
      <c r="E2602" s="9">
        <v>0.94346064814453712</v>
      </c>
      <c r="F2602" s="10" t="s">
        <v>2891</v>
      </c>
      <c r="G2602" s="10" t="s">
        <v>21</v>
      </c>
      <c r="H2602" s="10" t="s">
        <v>22</v>
      </c>
      <c r="I2602" s="10" t="s">
        <v>23</v>
      </c>
      <c r="J2602" s="11">
        <v>0.83</v>
      </c>
      <c r="K2602" s="12"/>
      <c r="L2602" s="12"/>
      <c r="M2602" s="12"/>
      <c r="N2602" s="12"/>
      <c r="O2602" s="12"/>
      <c r="P2602" s="12"/>
      <c r="Q2602" s="12"/>
      <c r="R2602" s="12"/>
      <c r="S2602" s="12"/>
    </row>
    <row r="2603" spans="1:19" ht="14.25" customHeight="1" x14ac:dyDescent="0.2">
      <c r="A2603" s="22" t="s">
        <v>28</v>
      </c>
      <c r="B2603" s="23">
        <v>46103.921516203707</v>
      </c>
      <c r="C2603" s="23">
        <v>46103.943541666667</v>
      </c>
      <c r="D2603" s="24">
        <v>46103</v>
      </c>
      <c r="E2603" s="25">
        <v>0.94354166666744277</v>
      </c>
      <c r="F2603" s="22" t="s">
        <v>2892</v>
      </c>
      <c r="G2603" s="22" t="s">
        <v>21</v>
      </c>
      <c r="H2603" s="22" t="s">
        <v>41</v>
      </c>
      <c r="I2603" s="22" t="s">
        <v>583</v>
      </c>
      <c r="J2603" s="26">
        <v>1.77</v>
      </c>
      <c r="K2603" s="26"/>
      <c r="L2603" s="26"/>
      <c r="M2603" s="26"/>
      <c r="N2603" s="26"/>
      <c r="O2603" s="26"/>
      <c r="P2603" s="26"/>
      <c r="Q2603" s="26"/>
      <c r="R2603" s="26"/>
      <c r="S2603" s="26"/>
    </row>
    <row r="2604" spans="1:19" ht="14.25" customHeight="1" x14ac:dyDescent="0.2">
      <c r="A2604" s="1" t="s">
        <v>148</v>
      </c>
      <c r="B2604" s="7">
        <v>46103.907361111109</v>
      </c>
      <c r="C2604" s="7">
        <v>46103.943912037037</v>
      </c>
      <c r="D2604" s="8">
        <v>46103</v>
      </c>
      <c r="E2604" s="9">
        <v>0.94391203703708015</v>
      </c>
      <c r="F2604" s="10" t="s">
        <v>2893</v>
      </c>
      <c r="G2604" s="10" t="s">
        <v>21</v>
      </c>
      <c r="H2604" s="10" t="s">
        <v>150</v>
      </c>
      <c r="I2604" s="10" t="s">
        <v>23</v>
      </c>
      <c r="J2604" s="11">
        <v>1.77</v>
      </c>
      <c r="K2604" s="12"/>
      <c r="L2604" s="12"/>
      <c r="M2604" s="12"/>
      <c r="N2604" s="12"/>
      <c r="O2604" s="12"/>
      <c r="P2604" s="12"/>
      <c r="Q2604" s="12"/>
      <c r="R2604" s="12"/>
      <c r="S2604" s="12"/>
    </row>
    <row r="2605" spans="1:19" ht="14.25" customHeight="1" x14ac:dyDescent="0.2">
      <c r="A2605" s="22" t="s">
        <v>28</v>
      </c>
      <c r="B2605" s="23">
        <v>46103.900104166663</v>
      </c>
      <c r="C2605" s="23">
        <v>46103.9455787037</v>
      </c>
      <c r="D2605" s="24">
        <v>46103</v>
      </c>
      <c r="E2605" s="25">
        <v>0.94557870370044839</v>
      </c>
      <c r="F2605" s="22" t="s">
        <v>2894</v>
      </c>
      <c r="G2605" s="22" t="s">
        <v>44</v>
      </c>
      <c r="H2605" s="22" t="s">
        <v>185</v>
      </c>
      <c r="I2605" s="22" t="s">
        <v>583</v>
      </c>
      <c r="J2605" s="26">
        <v>0.18</v>
      </c>
      <c r="K2605" s="26"/>
      <c r="L2605" s="26"/>
      <c r="M2605" s="26"/>
      <c r="N2605" s="26"/>
      <c r="O2605" s="26"/>
      <c r="P2605" s="26"/>
      <c r="Q2605" s="26"/>
      <c r="R2605" s="26"/>
      <c r="S2605" s="26"/>
    </row>
    <row r="2606" spans="1:19" ht="14.25" customHeight="1" x14ac:dyDescent="0.2">
      <c r="A2606" s="22" t="s">
        <v>19</v>
      </c>
      <c r="B2606" s="23">
        <v>46103.889224537037</v>
      </c>
      <c r="C2606" s="23">
        <v>46103.947581018518</v>
      </c>
      <c r="D2606" s="24">
        <v>46103</v>
      </c>
      <c r="E2606" s="25">
        <v>0.94758101851766696</v>
      </c>
      <c r="F2606" s="22" t="s">
        <v>2895</v>
      </c>
      <c r="G2606" s="22" t="s">
        <v>44</v>
      </c>
      <c r="H2606" s="22" t="s">
        <v>185</v>
      </c>
      <c r="I2606" s="22" t="s">
        <v>583</v>
      </c>
      <c r="J2606" s="26">
        <v>0.18</v>
      </c>
      <c r="K2606" s="26"/>
      <c r="L2606" s="26"/>
      <c r="M2606" s="26"/>
      <c r="N2606" s="26"/>
      <c r="O2606" s="26"/>
      <c r="P2606" s="26"/>
      <c r="Q2606" s="26"/>
      <c r="R2606" s="26"/>
      <c r="S2606" s="26"/>
    </row>
    <row r="2607" spans="1:19" ht="14.25" customHeight="1" x14ac:dyDescent="0.2">
      <c r="A2607" s="22" t="s">
        <v>33</v>
      </c>
      <c r="B2607" s="23">
        <v>46103.905277777776</v>
      </c>
      <c r="C2607" s="23">
        <v>46103.949525462966</v>
      </c>
      <c r="D2607" s="24">
        <v>46103</v>
      </c>
      <c r="E2607" s="25">
        <v>0.94952546296553919</v>
      </c>
      <c r="F2607" s="22" t="s">
        <v>2896</v>
      </c>
      <c r="G2607" s="22" t="s">
        <v>44</v>
      </c>
      <c r="H2607" s="22" t="s">
        <v>185</v>
      </c>
      <c r="I2607" s="22" t="s">
        <v>583</v>
      </c>
      <c r="J2607" s="26">
        <v>0.18</v>
      </c>
      <c r="K2607" s="26"/>
      <c r="L2607" s="26"/>
      <c r="M2607" s="26"/>
      <c r="N2607" s="26"/>
      <c r="O2607" s="26"/>
      <c r="P2607" s="26"/>
      <c r="Q2607" s="26"/>
      <c r="R2607" s="26"/>
      <c r="S2607" s="26"/>
    </row>
    <row r="2608" spans="1:19" ht="14.25" customHeight="1" x14ac:dyDescent="0.2">
      <c r="A2608" s="1" t="s">
        <v>33</v>
      </c>
      <c r="B2608" s="7">
        <v>46103.940104166664</v>
      </c>
      <c r="C2608" s="7">
        <v>46103.95884259259</v>
      </c>
      <c r="D2608" s="8">
        <v>46103</v>
      </c>
      <c r="E2608" s="9">
        <v>0.95884259259037208</v>
      </c>
      <c r="F2608" s="10" t="s">
        <v>2897</v>
      </c>
      <c r="G2608" s="10" t="s">
        <v>44</v>
      </c>
      <c r="H2608" s="10" t="s">
        <v>185</v>
      </c>
      <c r="I2608" s="10" t="s">
        <v>23</v>
      </c>
      <c r="J2608" s="11">
        <v>0.18</v>
      </c>
      <c r="K2608" s="12"/>
      <c r="L2608" s="12">
        <f>SUM(J2608:J2628)</f>
        <v>27.639999999999997</v>
      </c>
      <c r="M2608" s="13">
        <f>L2608*65</f>
        <v>1796.6</v>
      </c>
      <c r="N2608" s="14">
        <f>MAX(500,M2608)</f>
        <v>1796.6</v>
      </c>
      <c r="O2608" s="12"/>
      <c r="P2608" s="12"/>
      <c r="Q2608" s="12"/>
      <c r="R2608" s="12"/>
      <c r="S2608" s="12"/>
    </row>
    <row r="2609" spans="1:19" ht="14.25" customHeight="1" x14ac:dyDescent="0.2">
      <c r="A2609" s="1" t="s">
        <v>24</v>
      </c>
      <c r="B2609" s="7">
        <v>46103.944097222222</v>
      </c>
      <c r="C2609" s="7">
        <v>46103.959351851852</v>
      </c>
      <c r="D2609" s="8">
        <v>46103</v>
      </c>
      <c r="E2609" s="9">
        <v>0.95935185185226146</v>
      </c>
      <c r="F2609" s="10" t="s">
        <v>2898</v>
      </c>
      <c r="G2609" s="10" t="s">
        <v>21</v>
      </c>
      <c r="H2609" s="10" t="s">
        <v>101</v>
      </c>
      <c r="I2609" s="10" t="s">
        <v>23</v>
      </c>
      <c r="J2609" s="11">
        <v>1.7</v>
      </c>
      <c r="K2609" s="12"/>
      <c r="L2609" s="12"/>
      <c r="M2609" s="12"/>
      <c r="N2609" s="12"/>
      <c r="O2609" s="12"/>
      <c r="P2609" s="12"/>
      <c r="Q2609" s="12"/>
      <c r="R2609" s="12"/>
      <c r="S2609" s="12"/>
    </row>
    <row r="2610" spans="1:19" ht="14.25" customHeight="1" x14ac:dyDescent="0.2">
      <c r="A2610" s="1" t="s">
        <v>33</v>
      </c>
      <c r="B2610" s="7">
        <v>46103.949733796297</v>
      </c>
      <c r="C2610" s="7">
        <v>46103.959791666668</v>
      </c>
      <c r="D2610" s="8">
        <v>46103</v>
      </c>
      <c r="E2610" s="9">
        <v>0.95979166666802485</v>
      </c>
      <c r="F2610" s="10" t="s">
        <v>2899</v>
      </c>
      <c r="G2610" s="10" t="s">
        <v>21</v>
      </c>
      <c r="H2610" s="10" t="s">
        <v>41</v>
      </c>
      <c r="I2610" s="10" t="s">
        <v>23</v>
      </c>
      <c r="J2610" s="11">
        <v>1.77</v>
      </c>
      <c r="K2610" s="12"/>
      <c r="L2610" s="12"/>
      <c r="M2610" s="12"/>
      <c r="N2610" s="12"/>
      <c r="O2610" s="12"/>
      <c r="P2610" s="12"/>
      <c r="Q2610" s="12"/>
      <c r="R2610" s="12"/>
      <c r="S2610" s="12"/>
    </row>
    <row r="2611" spans="1:19" ht="14.25" customHeight="1" x14ac:dyDescent="0.2">
      <c r="A2611" s="1" t="s">
        <v>24</v>
      </c>
      <c r="B2611" s="7">
        <v>46103.94085648148</v>
      </c>
      <c r="C2611" s="7">
        <v>46103.960555555554</v>
      </c>
      <c r="D2611" s="8">
        <v>46103</v>
      </c>
      <c r="E2611" s="9">
        <v>0.96055555555358296</v>
      </c>
      <c r="F2611" s="10" t="s">
        <v>2900</v>
      </c>
      <c r="G2611" s="10" t="s">
        <v>26</v>
      </c>
      <c r="H2611" s="10" t="s">
        <v>205</v>
      </c>
      <c r="I2611" s="10" t="s">
        <v>23</v>
      </c>
      <c r="J2611" s="11">
        <v>0.57999999999999996</v>
      </c>
      <c r="K2611" s="12"/>
      <c r="L2611" s="12"/>
      <c r="M2611" s="12"/>
      <c r="N2611" s="12"/>
      <c r="O2611" s="12"/>
      <c r="P2611" s="12"/>
      <c r="Q2611" s="12"/>
      <c r="R2611" s="12"/>
      <c r="S2611" s="12"/>
    </row>
    <row r="2612" spans="1:19" ht="14.25" customHeight="1" x14ac:dyDescent="0.2">
      <c r="A2612" s="1" t="s">
        <v>42</v>
      </c>
      <c r="B2612" s="7">
        <v>46103.938472222224</v>
      </c>
      <c r="C2612" s="7">
        <v>46103.965983796297</v>
      </c>
      <c r="D2612" s="8">
        <v>46103</v>
      </c>
      <c r="E2612" s="9">
        <v>0.96598379629722331</v>
      </c>
      <c r="F2612" s="10" t="s">
        <v>2901</v>
      </c>
      <c r="G2612" s="10" t="s">
        <v>26</v>
      </c>
      <c r="H2612" s="10" t="s">
        <v>76</v>
      </c>
      <c r="I2612" s="10" t="s">
        <v>23</v>
      </c>
      <c r="J2612" s="11">
        <v>0.75</v>
      </c>
      <c r="K2612" s="12"/>
      <c r="L2612" s="12"/>
      <c r="M2612" s="12"/>
      <c r="N2612" s="12"/>
      <c r="O2612" s="12"/>
      <c r="P2612" s="12"/>
      <c r="Q2612" s="12"/>
      <c r="R2612" s="12"/>
      <c r="S2612" s="12"/>
    </row>
    <row r="2613" spans="1:19" ht="14.25" customHeight="1" x14ac:dyDescent="0.2">
      <c r="A2613" s="22" t="s">
        <v>46</v>
      </c>
      <c r="B2613" s="23">
        <v>46103.935115740744</v>
      </c>
      <c r="C2613" s="23">
        <v>46103.966273148151</v>
      </c>
      <c r="D2613" s="24">
        <v>46103</v>
      </c>
      <c r="E2613" s="25">
        <v>0.966273148151231</v>
      </c>
      <c r="F2613" s="22" t="s">
        <v>2902</v>
      </c>
      <c r="G2613" s="22" t="s">
        <v>21</v>
      </c>
      <c r="H2613" s="22" t="s">
        <v>101</v>
      </c>
      <c r="I2613" s="22" t="s">
        <v>583</v>
      </c>
      <c r="J2613" s="26">
        <v>1.7</v>
      </c>
      <c r="K2613" s="26"/>
      <c r="L2613" s="26"/>
      <c r="M2613" s="26"/>
      <c r="N2613" s="26"/>
      <c r="O2613" s="26"/>
      <c r="P2613" s="26"/>
      <c r="Q2613" s="26"/>
      <c r="R2613" s="26"/>
      <c r="S2613" s="26"/>
    </row>
    <row r="2614" spans="1:19" ht="14.25" customHeight="1" x14ac:dyDescent="0.2">
      <c r="A2614" s="1" t="s">
        <v>63</v>
      </c>
      <c r="B2614" s="7">
        <v>46103.953842592593</v>
      </c>
      <c r="C2614" s="7">
        <v>46103.966446759259</v>
      </c>
      <c r="D2614" s="8">
        <v>46103</v>
      </c>
      <c r="E2614" s="9">
        <v>0.96644675925927004</v>
      </c>
      <c r="F2614" s="10" t="s">
        <v>2903</v>
      </c>
      <c r="G2614" s="10" t="s">
        <v>21</v>
      </c>
      <c r="H2614" s="10" t="s">
        <v>110</v>
      </c>
      <c r="I2614" s="10" t="s">
        <v>23</v>
      </c>
      <c r="J2614" s="11">
        <v>0.83</v>
      </c>
      <c r="K2614" s="12"/>
      <c r="L2614" s="12"/>
      <c r="M2614" s="12"/>
      <c r="N2614" s="12"/>
      <c r="O2614" s="12"/>
      <c r="P2614" s="12"/>
      <c r="Q2614" s="12"/>
      <c r="R2614" s="12"/>
      <c r="S2614" s="12"/>
    </row>
    <row r="2615" spans="1:19" ht="14.25" customHeight="1" x14ac:dyDescent="0.2">
      <c r="A2615" s="1" t="s">
        <v>19</v>
      </c>
      <c r="B2615" s="7">
        <v>46103.949293981481</v>
      </c>
      <c r="C2615" s="7">
        <v>46103.970902777779</v>
      </c>
      <c r="D2615" s="8">
        <v>46103</v>
      </c>
      <c r="E2615" s="9">
        <v>0.97090277777897427</v>
      </c>
      <c r="F2615" s="10" t="s">
        <v>2904</v>
      </c>
      <c r="G2615" s="10" t="s">
        <v>21</v>
      </c>
      <c r="H2615" s="10" t="s">
        <v>409</v>
      </c>
      <c r="I2615" s="10" t="s">
        <v>23</v>
      </c>
      <c r="J2615" s="11">
        <v>2.9</v>
      </c>
      <c r="K2615" s="12"/>
      <c r="L2615" s="12"/>
      <c r="M2615" s="12"/>
      <c r="N2615" s="12"/>
      <c r="O2615" s="12"/>
      <c r="P2615" s="12"/>
      <c r="Q2615" s="12"/>
      <c r="R2615" s="12"/>
      <c r="S2615" s="12"/>
    </row>
    <row r="2616" spans="1:19" ht="14.25" customHeight="1" x14ac:dyDescent="0.2">
      <c r="A2616" s="1" t="s">
        <v>19</v>
      </c>
      <c r="B2616" s="7">
        <v>46103.93273148148</v>
      </c>
      <c r="C2616" s="7">
        <v>46103.972245370373</v>
      </c>
      <c r="D2616" s="8">
        <v>46103</v>
      </c>
      <c r="E2616" s="9">
        <v>0.97224537037254777</v>
      </c>
      <c r="F2616" s="10" t="s">
        <v>2905</v>
      </c>
      <c r="G2616" s="10" t="s">
        <v>21</v>
      </c>
      <c r="H2616" s="10" t="s">
        <v>523</v>
      </c>
      <c r="I2616" s="10" t="s">
        <v>23</v>
      </c>
      <c r="J2616" s="11">
        <v>1.96</v>
      </c>
      <c r="K2616" s="12"/>
      <c r="L2616" s="12"/>
      <c r="M2616" s="12"/>
      <c r="N2616" s="12"/>
      <c r="O2616" s="12"/>
      <c r="P2616" s="12"/>
      <c r="Q2616" s="12"/>
      <c r="R2616" s="12"/>
      <c r="S2616" s="12"/>
    </row>
    <row r="2617" spans="1:19" ht="14.25" customHeight="1" x14ac:dyDescent="0.2">
      <c r="A2617" s="1" t="s">
        <v>24</v>
      </c>
      <c r="B2617" s="7">
        <v>46103.958240740743</v>
      </c>
      <c r="C2617" s="7">
        <v>46103.972893518519</v>
      </c>
      <c r="D2617" s="8">
        <v>46103</v>
      </c>
      <c r="E2617" s="9">
        <v>0.97289351851941319</v>
      </c>
      <c r="F2617" s="10" t="s">
        <v>2906</v>
      </c>
      <c r="G2617" s="10" t="s">
        <v>21</v>
      </c>
      <c r="H2617" s="10" t="s">
        <v>41</v>
      </c>
      <c r="I2617" s="10" t="s">
        <v>23</v>
      </c>
      <c r="J2617" s="11">
        <v>1.77</v>
      </c>
      <c r="K2617" s="12"/>
      <c r="L2617" s="12"/>
      <c r="M2617" s="12"/>
      <c r="N2617" s="12"/>
      <c r="O2617" s="12"/>
      <c r="P2617" s="12"/>
      <c r="Q2617" s="12"/>
      <c r="R2617" s="12"/>
      <c r="S2617" s="12"/>
    </row>
    <row r="2618" spans="1:19" ht="14.25" customHeight="1" x14ac:dyDescent="0.2">
      <c r="A2618" s="1" t="s">
        <v>42</v>
      </c>
      <c r="B2618" s="7">
        <v>46103.960243055553</v>
      </c>
      <c r="C2618" s="7">
        <v>46103.973275462966</v>
      </c>
      <c r="D2618" s="8">
        <v>46103</v>
      </c>
      <c r="E2618" s="9">
        <v>0.97327546296583023</v>
      </c>
      <c r="F2618" s="10" t="s">
        <v>2907</v>
      </c>
      <c r="G2618" s="10" t="s">
        <v>44</v>
      </c>
      <c r="H2618" s="10" t="s">
        <v>140</v>
      </c>
      <c r="I2618" s="10" t="s">
        <v>23</v>
      </c>
      <c r="J2618" s="11">
        <v>0.18</v>
      </c>
      <c r="K2618" s="12"/>
      <c r="L2618" s="12"/>
      <c r="M2618" s="12"/>
      <c r="N2618" s="12"/>
      <c r="O2618" s="12"/>
      <c r="P2618" s="12"/>
      <c r="Q2618" s="12"/>
      <c r="R2618" s="12"/>
      <c r="S2618" s="12"/>
    </row>
    <row r="2619" spans="1:19" ht="14.25" customHeight="1" x14ac:dyDescent="0.2">
      <c r="A2619" s="1" t="s">
        <v>95</v>
      </c>
      <c r="B2619" s="7">
        <v>46103.954236111109</v>
      </c>
      <c r="C2619" s="7">
        <v>46103.981192129628</v>
      </c>
      <c r="D2619" s="8">
        <v>46103</v>
      </c>
      <c r="E2619" s="9">
        <v>0.98119212962774327</v>
      </c>
      <c r="F2619" s="10" t="s">
        <v>2908</v>
      </c>
      <c r="G2619" s="10" t="s">
        <v>21</v>
      </c>
      <c r="H2619" s="10" t="s">
        <v>97</v>
      </c>
      <c r="I2619" s="10" t="s">
        <v>23</v>
      </c>
      <c r="J2619" s="11">
        <v>1.77</v>
      </c>
      <c r="K2619" s="12"/>
      <c r="L2619" s="12"/>
      <c r="M2619" s="12"/>
      <c r="N2619" s="12"/>
      <c r="O2619" s="12"/>
      <c r="P2619" s="12"/>
      <c r="Q2619" s="12"/>
      <c r="R2619" s="12"/>
      <c r="S2619" s="12"/>
    </row>
    <row r="2620" spans="1:19" ht="14.25" customHeight="1" x14ac:dyDescent="0.2">
      <c r="A2620" s="1" t="s">
        <v>33</v>
      </c>
      <c r="B2620" s="7">
        <v>46103.941504629627</v>
      </c>
      <c r="C2620" s="7">
        <v>46103.982986111114</v>
      </c>
      <c r="D2620" s="8">
        <v>46103</v>
      </c>
      <c r="E2620" s="9">
        <v>0.98298611111385981</v>
      </c>
      <c r="F2620" s="10" t="s">
        <v>2909</v>
      </c>
      <c r="G2620" s="10" t="s">
        <v>180</v>
      </c>
      <c r="H2620" s="10" t="s">
        <v>504</v>
      </c>
      <c r="I2620" s="10" t="s">
        <v>23</v>
      </c>
      <c r="J2620" s="11">
        <v>1.44</v>
      </c>
      <c r="K2620" s="12"/>
      <c r="L2620" s="12"/>
      <c r="M2620" s="12"/>
      <c r="N2620" s="12"/>
      <c r="O2620" s="12"/>
      <c r="P2620" s="12"/>
      <c r="Q2620" s="12"/>
      <c r="R2620" s="12"/>
      <c r="S2620" s="12"/>
    </row>
    <row r="2621" spans="1:19" ht="14.25" customHeight="1" x14ac:dyDescent="0.2">
      <c r="A2621" s="1" t="s">
        <v>24</v>
      </c>
      <c r="B2621" s="7">
        <v>46103.97384259259</v>
      </c>
      <c r="C2621" s="7">
        <v>46103.986342592594</v>
      </c>
      <c r="D2621" s="8">
        <v>46103</v>
      </c>
      <c r="E2621" s="9">
        <v>0.98634259259415558</v>
      </c>
      <c r="F2621" s="10" t="s">
        <v>2910</v>
      </c>
      <c r="G2621" s="10" t="s">
        <v>21</v>
      </c>
      <c r="H2621" s="10" t="s">
        <v>101</v>
      </c>
      <c r="I2621" s="10" t="s">
        <v>23</v>
      </c>
      <c r="J2621" s="11">
        <v>1.7</v>
      </c>
      <c r="K2621" s="12"/>
      <c r="L2621" s="12"/>
      <c r="M2621" s="12"/>
      <c r="N2621" s="12"/>
      <c r="O2621" s="12"/>
      <c r="P2621" s="12"/>
      <c r="Q2621" s="12"/>
      <c r="R2621" s="12"/>
      <c r="S2621" s="12"/>
    </row>
    <row r="2622" spans="1:19" ht="14.25" customHeight="1" x14ac:dyDescent="0.2">
      <c r="A2622" s="1" t="s">
        <v>33</v>
      </c>
      <c r="B2622" s="7">
        <v>46103.969953703701</v>
      </c>
      <c r="C2622" s="7">
        <v>46103.986678240741</v>
      </c>
      <c r="D2622" s="8">
        <v>46103</v>
      </c>
      <c r="E2622" s="9">
        <v>0.98667824074072996</v>
      </c>
      <c r="F2622" s="10" t="s">
        <v>2911</v>
      </c>
      <c r="G2622" s="10" t="s">
        <v>21</v>
      </c>
      <c r="H2622" s="10" t="s">
        <v>101</v>
      </c>
      <c r="I2622" s="10" t="s">
        <v>23</v>
      </c>
      <c r="J2622" s="11">
        <v>1.7</v>
      </c>
      <c r="K2622" s="12"/>
      <c r="L2622" s="12"/>
      <c r="M2622" s="12"/>
      <c r="N2622" s="12"/>
      <c r="O2622" s="12"/>
      <c r="P2622" s="12"/>
      <c r="Q2622" s="12"/>
      <c r="R2622" s="12"/>
      <c r="S2622" s="12"/>
    </row>
    <row r="2623" spans="1:19" ht="14.25" customHeight="1" x14ac:dyDescent="0.2">
      <c r="A2623" s="1" t="s">
        <v>33</v>
      </c>
      <c r="B2623" s="7">
        <v>46103.969953703701</v>
      </c>
      <c r="C2623" s="7">
        <v>46103.987060185187</v>
      </c>
      <c r="D2623" s="8">
        <v>46103</v>
      </c>
      <c r="E2623" s="9">
        <v>0.987060185187147</v>
      </c>
      <c r="F2623" s="10" t="s">
        <v>2912</v>
      </c>
      <c r="G2623" s="10" t="s">
        <v>21</v>
      </c>
      <c r="H2623" s="10" t="s">
        <v>530</v>
      </c>
      <c r="I2623" s="10" t="s">
        <v>23</v>
      </c>
      <c r="J2623" s="11">
        <v>1.25</v>
      </c>
      <c r="K2623" s="12"/>
      <c r="L2623" s="12"/>
      <c r="M2623" s="12"/>
      <c r="N2623" s="12"/>
      <c r="O2623" s="12"/>
      <c r="P2623" s="12"/>
      <c r="Q2623" s="12"/>
      <c r="R2623" s="12"/>
      <c r="S2623" s="12"/>
    </row>
    <row r="2624" spans="1:19" ht="14.25" customHeight="1" x14ac:dyDescent="0.2">
      <c r="A2624" s="1" t="s">
        <v>95</v>
      </c>
      <c r="B2624" s="7">
        <v>46103.983136574076</v>
      </c>
      <c r="C2624" s="7">
        <v>46103.99013888889</v>
      </c>
      <c r="D2624" s="8">
        <v>46103</v>
      </c>
      <c r="E2624" s="9">
        <v>0.99013888889021473</v>
      </c>
      <c r="F2624" s="10" t="s">
        <v>2913</v>
      </c>
      <c r="G2624" s="10" t="s">
        <v>21</v>
      </c>
      <c r="H2624" s="10" t="s">
        <v>110</v>
      </c>
      <c r="I2624" s="10" t="s">
        <v>23</v>
      </c>
      <c r="J2624" s="11">
        <v>0.83</v>
      </c>
      <c r="K2624" s="12"/>
      <c r="L2624" s="12"/>
      <c r="M2624" s="12"/>
      <c r="N2624" s="12"/>
      <c r="O2624" s="12"/>
      <c r="P2624" s="12"/>
      <c r="Q2624" s="12"/>
      <c r="R2624" s="12"/>
      <c r="S2624" s="12"/>
    </row>
    <row r="2625" spans="1:19" ht="14.25" customHeight="1" x14ac:dyDescent="0.2">
      <c r="A2625" s="1" t="s">
        <v>95</v>
      </c>
      <c r="B2625" s="7">
        <v>46103.96775462963</v>
      </c>
      <c r="C2625" s="7">
        <v>46103.990300925929</v>
      </c>
      <c r="D2625" s="8">
        <v>46103</v>
      </c>
      <c r="E2625" s="9">
        <v>0.99030092592875008</v>
      </c>
      <c r="F2625" s="10" t="s">
        <v>2914</v>
      </c>
      <c r="G2625" s="10" t="s">
        <v>21</v>
      </c>
      <c r="H2625" s="10" t="s">
        <v>52</v>
      </c>
      <c r="I2625" s="10" t="s">
        <v>23</v>
      </c>
      <c r="J2625" s="11">
        <v>0.98</v>
      </c>
      <c r="K2625" s="12"/>
      <c r="L2625" s="12"/>
      <c r="M2625" s="12"/>
      <c r="N2625" s="12"/>
      <c r="O2625" s="12"/>
      <c r="P2625" s="12"/>
      <c r="Q2625" s="12"/>
      <c r="R2625" s="12"/>
      <c r="S2625" s="12"/>
    </row>
    <row r="2626" spans="1:19" ht="14.25" customHeight="1" x14ac:dyDescent="0.2">
      <c r="A2626" s="1" t="s">
        <v>95</v>
      </c>
      <c r="B2626" s="7">
        <v>46103.932743055557</v>
      </c>
      <c r="C2626" s="7">
        <v>46103.991157407407</v>
      </c>
      <c r="D2626" s="8">
        <v>46103</v>
      </c>
      <c r="E2626" s="9">
        <v>0.99115740740671754</v>
      </c>
      <c r="F2626" s="10" t="s">
        <v>2915</v>
      </c>
      <c r="G2626" s="10" t="s">
        <v>21</v>
      </c>
      <c r="H2626" s="10" t="s">
        <v>435</v>
      </c>
      <c r="I2626" s="10" t="s">
        <v>23</v>
      </c>
      <c r="J2626" s="11">
        <v>1.1299999999999999</v>
      </c>
      <c r="K2626" s="12"/>
      <c r="L2626" s="12"/>
      <c r="M2626" s="12"/>
      <c r="N2626" s="12"/>
      <c r="O2626" s="12"/>
      <c r="P2626" s="12"/>
      <c r="Q2626" s="12"/>
      <c r="R2626" s="12"/>
      <c r="S2626" s="12"/>
    </row>
    <row r="2627" spans="1:19" ht="14.25" customHeight="1" x14ac:dyDescent="0.2">
      <c r="A2627" s="1" t="s">
        <v>19</v>
      </c>
      <c r="B2627" s="7">
        <v>46103.981886574074</v>
      </c>
      <c r="C2627" s="7">
        <v>46103.99628472222</v>
      </c>
      <c r="D2627" s="8">
        <v>46103</v>
      </c>
      <c r="E2627" s="9">
        <v>0.99628472221957054</v>
      </c>
      <c r="F2627" s="10" t="s">
        <v>2916</v>
      </c>
      <c r="G2627" s="10" t="s">
        <v>21</v>
      </c>
      <c r="H2627" s="10" t="s">
        <v>41</v>
      </c>
      <c r="I2627" s="10" t="s">
        <v>23</v>
      </c>
      <c r="J2627" s="11">
        <v>1.77</v>
      </c>
      <c r="K2627" s="12"/>
      <c r="L2627" s="12"/>
      <c r="M2627" s="12"/>
      <c r="N2627" s="12"/>
      <c r="O2627" s="12"/>
      <c r="P2627" s="12"/>
      <c r="Q2627" s="12"/>
      <c r="R2627" s="12"/>
      <c r="S2627" s="12"/>
    </row>
    <row r="2628" spans="1:19" ht="14.25" customHeight="1" x14ac:dyDescent="0.2">
      <c r="A2628" s="1" t="s">
        <v>42</v>
      </c>
      <c r="B2628" s="7">
        <v>46103.943449074075</v>
      </c>
      <c r="C2628" s="7">
        <v>46103.996851851851</v>
      </c>
      <c r="D2628" s="8">
        <v>46103</v>
      </c>
      <c r="E2628" s="9">
        <v>0.99685185185080627</v>
      </c>
      <c r="F2628" s="10" t="s">
        <v>2917</v>
      </c>
      <c r="G2628" s="10" t="s">
        <v>26</v>
      </c>
      <c r="H2628" s="10" t="s">
        <v>76</v>
      </c>
      <c r="I2628" s="10" t="s">
        <v>23</v>
      </c>
      <c r="J2628" s="11">
        <v>0.75</v>
      </c>
      <c r="K2628" s="12"/>
      <c r="L2628" s="12"/>
      <c r="M2628" s="12"/>
      <c r="N2628" s="12"/>
      <c r="O2628" s="12"/>
      <c r="P2628" s="12"/>
      <c r="Q2628" s="12"/>
      <c r="R2628" s="12"/>
      <c r="S2628" s="12"/>
    </row>
    <row r="2629" spans="1:19" ht="14.25" customHeight="1" x14ac:dyDescent="0.2">
      <c r="A2629" s="1" t="s">
        <v>24</v>
      </c>
      <c r="B2629" s="7">
        <v>46103.987581018519</v>
      </c>
      <c r="C2629" s="7">
        <v>46104.003391203703</v>
      </c>
      <c r="D2629" s="8">
        <v>46104</v>
      </c>
      <c r="E2629" s="9">
        <v>3.3912037033587694E-3</v>
      </c>
      <c r="F2629" s="10" t="s">
        <v>2918</v>
      </c>
      <c r="G2629" s="10" t="s">
        <v>21</v>
      </c>
      <c r="H2629" s="10" t="s">
        <v>71</v>
      </c>
      <c r="I2629" s="10" t="s">
        <v>23</v>
      </c>
      <c r="J2629" s="11">
        <v>1.05</v>
      </c>
      <c r="K2629" s="12"/>
      <c r="L2629" s="12">
        <f>SUM(J2629:J2645)</f>
        <v>24.46</v>
      </c>
      <c r="M2629" s="13">
        <f>L2629*65</f>
        <v>1589.9</v>
      </c>
      <c r="N2629" s="14">
        <f>MAX(500,M2629)</f>
        <v>1589.9</v>
      </c>
      <c r="O2629" s="12"/>
      <c r="P2629" s="12"/>
      <c r="Q2629" s="12"/>
      <c r="R2629" s="12"/>
      <c r="S2629" s="12"/>
    </row>
    <row r="2630" spans="1:19" ht="14.25" customHeight="1" x14ac:dyDescent="0.2">
      <c r="A2630" s="1" t="s">
        <v>24</v>
      </c>
      <c r="B2630" s="7">
        <v>46103.982453703706</v>
      </c>
      <c r="C2630" s="7">
        <v>46104.003819444442</v>
      </c>
      <c r="D2630" s="8">
        <v>46104</v>
      </c>
      <c r="E2630" s="9">
        <v>3.8194444423425011E-3</v>
      </c>
      <c r="F2630" s="10" t="s">
        <v>2919</v>
      </c>
      <c r="G2630" s="10" t="s">
        <v>26</v>
      </c>
      <c r="H2630" s="10" t="s">
        <v>86</v>
      </c>
      <c r="I2630" s="10" t="s">
        <v>23</v>
      </c>
      <c r="J2630" s="11">
        <v>0.88</v>
      </c>
      <c r="K2630" s="12"/>
      <c r="L2630" s="12"/>
      <c r="M2630" s="12"/>
      <c r="N2630" s="12"/>
      <c r="O2630" s="12"/>
      <c r="P2630" s="12"/>
      <c r="Q2630" s="12"/>
      <c r="R2630" s="12"/>
      <c r="S2630" s="12"/>
    </row>
    <row r="2631" spans="1:19" ht="14.25" customHeight="1" x14ac:dyDescent="0.2">
      <c r="A2631" s="1" t="s">
        <v>95</v>
      </c>
      <c r="B2631" s="7">
        <v>46103.967870370368</v>
      </c>
      <c r="C2631" s="7">
        <v>46104.004317129627</v>
      </c>
      <c r="D2631" s="8">
        <v>46104</v>
      </c>
      <c r="E2631" s="9">
        <v>4.3171296274522319E-3</v>
      </c>
      <c r="F2631" s="10" t="s">
        <v>2920</v>
      </c>
      <c r="G2631" s="10" t="s">
        <v>21</v>
      </c>
      <c r="H2631" s="10" t="s">
        <v>216</v>
      </c>
      <c r="I2631" s="10" t="s">
        <v>23</v>
      </c>
      <c r="J2631" s="11">
        <v>0.98</v>
      </c>
      <c r="K2631" s="12"/>
      <c r="L2631" s="12"/>
      <c r="M2631" s="12"/>
      <c r="N2631" s="12"/>
      <c r="O2631" s="12"/>
      <c r="P2631" s="12"/>
      <c r="Q2631" s="12"/>
      <c r="R2631" s="12"/>
      <c r="S2631" s="12"/>
    </row>
    <row r="2632" spans="1:19" ht="14.25" customHeight="1" x14ac:dyDescent="0.2">
      <c r="A2632" s="1" t="s">
        <v>42</v>
      </c>
      <c r="B2632" s="7">
        <v>46103.963252314818</v>
      </c>
      <c r="C2632" s="7">
        <v>46104.016886574071</v>
      </c>
      <c r="D2632" s="8">
        <v>46104</v>
      </c>
      <c r="E2632" s="9">
        <v>1.6886574070667848E-2</v>
      </c>
      <c r="F2632" s="10" t="s">
        <v>2921</v>
      </c>
      <c r="G2632" s="10" t="s">
        <v>26</v>
      </c>
      <c r="H2632" s="10" t="s">
        <v>76</v>
      </c>
      <c r="I2632" s="10" t="s">
        <v>23</v>
      </c>
      <c r="J2632" s="11">
        <v>0.75</v>
      </c>
      <c r="K2632" s="12"/>
      <c r="L2632" s="12"/>
      <c r="M2632" s="12"/>
      <c r="N2632" s="12"/>
      <c r="O2632" s="12"/>
      <c r="P2632" s="12"/>
      <c r="Q2632" s="12"/>
      <c r="R2632" s="12"/>
      <c r="S2632" s="12"/>
    </row>
    <row r="2633" spans="1:19" ht="14.25" customHeight="1" x14ac:dyDescent="0.2">
      <c r="A2633" s="1" t="s">
        <v>24</v>
      </c>
      <c r="B2633" s="7">
        <v>46104.003460648149</v>
      </c>
      <c r="C2633" s="7">
        <v>46104.01834490741</v>
      </c>
      <c r="D2633" s="8">
        <v>46104</v>
      </c>
      <c r="E2633" s="9">
        <v>1.8344907410209998E-2</v>
      </c>
      <c r="F2633" s="10" t="s">
        <v>2922</v>
      </c>
      <c r="G2633" s="10" t="s">
        <v>21</v>
      </c>
      <c r="H2633" s="10" t="s">
        <v>41</v>
      </c>
      <c r="I2633" s="10" t="s">
        <v>23</v>
      </c>
      <c r="J2633" s="11">
        <v>1.77</v>
      </c>
      <c r="K2633" s="12"/>
      <c r="L2633" s="12"/>
      <c r="M2633" s="12"/>
      <c r="N2633" s="12"/>
      <c r="O2633" s="12"/>
      <c r="P2633" s="12"/>
      <c r="Q2633" s="12"/>
      <c r="R2633" s="12"/>
      <c r="S2633" s="12"/>
    </row>
    <row r="2634" spans="1:19" ht="14.25" customHeight="1" x14ac:dyDescent="0.2">
      <c r="A2634" s="1" t="s">
        <v>28</v>
      </c>
      <c r="B2634" s="7">
        <v>46103.996435185189</v>
      </c>
      <c r="C2634" s="7">
        <v>46104.01902777778</v>
      </c>
      <c r="D2634" s="8">
        <v>46104</v>
      </c>
      <c r="E2634" s="9">
        <v>1.9027777780138422E-2</v>
      </c>
      <c r="F2634" s="10" t="s">
        <v>2923</v>
      </c>
      <c r="G2634" s="10" t="s">
        <v>21</v>
      </c>
      <c r="H2634" s="10" t="s">
        <v>467</v>
      </c>
      <c r="I2634" s="10" t="s">
        <v>23</v>
      </c>
      <c r="J2634" s="11">
        <v>2.75</v>
      </c>
      <c r="K2634" s="12"/>
      <c r="L2634" s="12"/>
      <c r="M2634" s="12"/>
      <c r="N2634" s="12"/>
      <c r="O2634" s="12"/>
      <c r="P2634" s="12"/>
      <c r="Q2634" s="12"/>
      <c r="R2634" s="12"/>
      <c r="S2634" s="12"/>
    </row>
    <row r="2635" spans="1:19" ht="14.25" customHeight="1" x14ac:dyDescent="0.2">
      <c r="A2635" s="1" t="s">
        <v>24</v>
      </c>
      <c r="B2635" s="7">
        <v>46103.995578703703</v>
      </c>
      <c r="C2635" s="7">
        <v>46104.02003472222</v>
      </c>
      <c r="D2635" s="8">
        <v>46104</v>
      </c>
      <c r="E2635" s="9">
        <v>2.0034722219861578E-2</v>
      </c>
      <c r="F2635" s="10" t="s">
        <v>2924</v>
      </c>
      <c r="G2635" s="10" t="s">
        <v>21</v>
      </c>
      <c r="H2635" s="10" t="s">
        <v>248</v>
      </c>
      <c r="I2635" s="10" t="s">
        <v>23</v>
      </c>
      <c r="J2635" s="11">
        <v>2.15</v>
      </c>
      <c r="K2635" s="12"/>
      <c r="L2635" s="12"/>
      <c r="M2635" s="12"/>
      <c r="N2635" s="12"/>
      <c r="O2635" s="12"/>
      <c r="P2635" s="12"/>
      <c r="Q2635" s="12"/>
      <c r="R2635" s="12"/>
      <c r="S2635" s="12"/>
    </row>
    <row r="2636" spans="1:19" ht="14.25" customHeight="1" x14ac:dyDescent="0.2">
      <c r="A2636" s="1" t="s">
        <v>19</v>
      </c>
      <c r="B2636" s="7">
        <v>46103.994826388887</v>
      </c>
      <c r="C2636" s="7">
        <v>46104.020995370367</v>
      </c>
      <c r="D2636" s="8">
        <v>46104</v>
      </c>
      <c r="E2636" s="9">
        <v>2.099537036701804E-2</v>
      </c>
      <c r="F2636" s="10" t="s">
        <v>2925</v>
      </c>
      <c r="G2636" s="10" t="s">
        <v>21</v>
      </c>
      <c r="H2636" s="10" t="s">
        <v>399</v>
      </c>
      <c r="I2636" s="10" t="s">
        <v>23</v>
      </c>
      <c r="J2636" s="11">
        <v>3.92</v>
      </c>
      <c r="K2636" s="12"/>
      <c r="L2636" s="12"/>
      <c r="M2636" s="12"/>
      <c r="N2636" s="12"/>
      <c r="O2636" s="12"/>
      <c r="P2636" s="12"/>
      <c r="Q2636" s="12"/>
      <c r="R2636" s="12"/>
      <c r="S2636" s="12"/>
    </row>
    <row r="2637" spans="1:19" ht="14.25" customHeight="1" x14ac:dyDescent="0.2">
      <c r="A2637" s="1" t="s">
        <v>95</v>
      </c>
      <c r="B2637" s="7">
        <v>46104.003101851849</v>
      </c>
      <c r="C2637" s="7">
        <v>46104.024861111109</v>
      </c>
      <c r="D2637" s="8">
        <v>46104</v>
      </c>
      <c r="E2637" s="9">
        <v>2.4861111109203193E-2</v>
      </c>
      <c r="F2637" s="10" t="s">
        <v>2926</v>
      </c>
      <c r="G2637" s="10" t="s">
        <v>21</v>
      </c>
      <c r="H2637" s="10" t="s">
        <v>97</v>
      </c>
      <c r="I2637" s="10" t="s">
        <v>23</v>
      </c>
      <c r="J2637" s="11">
        <v>1.77</v>
      </c>
      <c r="K2637" s="12"/>
      <c r="L2637" s="12"/>
      <c r="M2637" s="12"/>
      <c r="N2637" s="12"/>
      <c r="O2637" s="12"/>
      <c r="P2637" s="12"/>
      <c r="Q2637" s="12"/>
      <c r="R2637" s="12"/>
      <c r="S2637" s="12"/>
    </row>
    <row r="2638" spans="1:19" ht="14.25" customHeight="1" x14ac:dyDescent="0.2">
      <c r="A2638" s="1" t="s">
        <v>95</v>
      </c>
      <c r="B2638" s="7">
        <v>46104.01829861111</v>
      </c>
      <c r="C2638" s="7">
        <v>46104.025243055556</v>
      </c>
      <c r="D2638" s="8">
        <v>46104</v>
      </c>
      <c r="E2638" s="9">
        <v>2.5243055555620231E-2</v>
      </c>
      <c r="F2638" s="10" t="s">
        <v>2927</v>
      </c>
      <c r="G2638" s="10" t="s">
        <v>21</v>
      </c>
      <c r="H2638" s="10" t="s">
        <v>97</v>
      </c>
      <c r="I2638" s="10" t="s">
        <v>23</v>
      </c>
      <c r="J2638" s="11">
        <v>1.77</v>
      </c>
      <c r="K2638" s="12"/>
      <c r="L2638" s="12"/>
      <c r="M2638" s="12"/>
      <c r="N2638" s="12"/>
      <c r="O2638" s="12"/>
      <c r="P2638" s="12"/>
      <c r="Q2638" s="12"/>
      <c r="R2638" s="12"/>
      <c r="S2638" s="12"/>
    </row>
    <row r="2639" spans="1:19" ht="14.25" customHeight="1" x14ac:dyDescent="0.2">
      <c r="A2639" s="1" t="s">
        <v>33</v>
      </c>
      <c r="B2639" s="7">
        <v>46103.993483796294</v>
      </c>
      <c r="C2639" s="7">
        <v>46104.026932870373</v>
      </c>
      <c r="D2639" s="8">
        <v>46104</v>
      </c>
      <c r="E2639" s="9">
        <v>2.6932870372547768E-2</v>
      </c>
      <c r="F2639" s="10" t="s">
        <v>2928</v>
      </c>
      <c r="G2639" s="10" t="s">
        <v>21</v>
      </c>
      <c r="H2639" s="10" t="s">
        <v>2929</v>
      </c>
      <c r="I2639" s="10" t="s">
        <v>23</v>
      </c>
      <c r="J2639" s="11">
        <v>1.76</v>
      </c>
      <c r="K2639" s="12"/>
      <c r="L2639" s="12"/>
      <c r="M2639" s="12"/>
      <c r="N2639" s="12"/>
      <c r="O2639" s="12"/>
      <c r="P2639" s="12"/>
      <c r="Q2639" s="12"/>
      <c r="R2639" s="12"/>
      <c r="S2639" s="12"/>
    </row>
    <row r="2640" spans="1:19" ht="14.25" customHeight="1" x14ac:dyDescent="0.2">
      <c r="A2640" s="1" t="s">
        <v>95</v>
      </c>
      <c r="B2640" s="7">
        <v>46103.998379629629</v>
      </c>
      <c r="C2640" s="7">
        <v>46104.027280092596</v>
      </c>
      <c r="D2640" s="8">
        <v>46104</v>
      </c>
      <c r="E2640" s="9">
        <v>2.7280092595901806E-2</v>
      </c>
      <c r="F2640" s="10" t="s">
        <v>2930</v>
      </c>
      <c r="G2640" s="10" t="s">
        <v>26</v>
      </c>
      <c r="H2640" s="10" t="s">
        <v>1339</v>
      </c>
      <c r="I2640" s="10" t="s">
        <v>23</v>
      </c>
      <c r="J2640" s="11">
        <v>0.57999999999999996</v>
      </c>
      <c r="K2640" s="12"/>
      <c r="L2640" s="12"/>
      <c r="M2640" s="12"/>
      <c r="N2640" s="12"/>
      <c r="O2640" s="12"/>
      <c r="P2640" s="12"/>
      <c r="Q2640" s="12"/>
      <c r="R2640" s="12"/>
      <c r="S2640" s="12"/>
    </row>
    <row r="2641" spans="1:19" ht="14.25" customHeight="1" x14ac:dyDescent="0.2">
      <c r="A2641" s="1" t="s">
        <v>33</v>
      </c>
      <c r="B2641" s="7">
        <v>46103.951967592591</v>
      </c>
      <c r="C2641" s="7">
        <v>46104.027812499997</v>
      </c>
      <c r="D2641" s="8">
        <v>46104</v>
      </c>
      <c r="E2641" s="9">
        <v>2.7812499996798579E-2</v>
      </c>
      <c r="F2641" s="10" t="s">
        <v>2931</v>
      </c>
      <c r="G2641" s="10" t="s">
        <v>26</v>
      </c>
      <c r="H2641" s="10" t="s">
        <v>1019</v>
      </c>
      <c r="I2641" s="10" t="s">
        <v>23</v>
      </c>
      <c r="J2641" s="11">
        <v>0.67</v>
      </c>
      <c r="K2641" s="12"/>
      <c r="L2641" s="12"/>
      <c r="M2641" s="12"/>
      <c r="N2641" s="12"/>
      <c r="O2641" s="12"/>
      <c r="P2641" s="12"/>
      <c r="Q2641" s="12"/>
      <c r="R2641" s="12"/>
      <c r="S2641" s="12"/>
    </row>
    <row r="2642" spans="1:19" ht="14.25" customHeight="1" x14ac:dyDescent="0.2">
      <c r="A2642" s="1" t="s">
        <v>19</v>
      </c>
      <c r="B2642" s="7">
        <v>46104.019293981481</v>
      </c>
      <c r="C2642" s="7">
        <v>46104.02857638889</v>
      </c>
      <c r="D2642" s="8">
        <v>46104</v>
      </c>
      <c r="E2642" s="9">
        <v>2.8576388889632653E-2</v>
      </c>
      <c r="F2642" s="10" t="s">
        <v>2932</v>
      </c>
      <c r="G2642" s="10" t="s">
        <v>21</v>
      </c>
      <c r="H2642" s="10" t="s">
        <v>52</v>
      </c>
      <c r="I2642" s="10" t="s">
        <v>23</v>
      </c>
      <c r="J2642" s="11">
        <v>0.98</v>
      </c>
      <c r="K2642" s="12"/>
      <c r="L2642" s="12"/>
      <c r="M2642" s="12"/>
      <c r="N2642" s="12"/>
      <c r="O2642" s="12"/>
      <c r="P2642" s="12"/>
      <c r="Q2642" s="12"/>
      <c r="R2642" s="12"/>
      <c r="S2642" s="12"/>
    </row>
    <row r="2643" spans="1:19" ht="14.25" customHeight="1" x14ac:dyDescent="0.2">
      <c r="A2643" s="1" t="s">
        <v>42</v>
      </c>
      <c r="B2643" s="7">
        <v>46103.990486111114</v>
      </c>
      <c r="C2643" s="7">
        <v>46104.029629629629</v>
      </c>
      <c r="D2643" s="8">
        <v>46104</v>
      </c>
      <c r="E2643" s="9">
        <v>2.9629629629198462E-2</v>
      </c>
      <c r="F2643" s="10" t="s">
        <v>2933</v>
      </c>
      <c r="G2643" s="10" t="s">
        <v>26</v>
      </c>
      <c r="H2643" s="10" t="s">
        <v>56</v>
      </c>
      <c r="I2643" s="10" t="s">
        <v>23</v>
      </c>
      <c r="J2643" s="11">
        <v>0.73</v>
      </c>
      <c r="K2643" s="12"/>
      <c r="L2643" s="12"/>
      <c r="M2643" s="12"/>
      <c r="N2643" s="12"/>
      <c r="O2643" s="12"/>
      <c r="P2643" s="12"/>
      <c r="Q2643" s="12"/>
      <c r="R2643" s="12"/>
      <c r="S2643" s="12"/>
    </row>
    <row r="2644" spans="1:19" ht="14.25" customHeight="1" x14ac:dyDescent="0.2">
      <c r="A2644" s="1" t="s">
        <v>42</v>
      </c>
      <c r="B2644" s="7">
        <v>46104.013009259259</v>
      </c>
      <c r="C2644" s="7">
        <v>46104.030185185184</v>
      </c>
      <c r="D2644" s="8">
        <v>46104</v>
      </c>
      <c r="E2644" s="9">
        <v>3.0185185183654539E-2</v>
      </c>
      <c r="F2644" s="10" t="s">
        <v>2934</v>
      </c>
      <c r="G2644" s="10" t="s">
        <v>44</v>
      </c>
      <c r="H2644" s="10" t="s">
        <v>140</v>
      </c>
      <c r="I2644" s="10" t="s">
        <v>23</v>
      </c>
      <c r="J2644" s="11">
        <v>0.18</v>
      </c>
      <c r="K2644" s="12"/>
      <c r="L2644" s="12"/>
      <c r="M2644" s="12"/>
      <c r="N2644" s="12"/>
      <c r="O2644" s="12"/>
      <c r="P2644" s="12"/>
      <c r="Q2644" s="12"/>
      <c r="R2644" s="12"/>
      <c r="S2644" s="12"/>
    </row>
    <row r="2645" spans="1:19" ht="14.25" customHeight="1" x14ac:dyDescent="0.2">
      <c r="A2645" s="1" t="s">
        <v>24</v>
      </c>
      <c r="B2645" s="7">
        <v>46104.010775462964</v>
      </c>
      <c r="C2645" s="7">
        <v>46104.040706018517</v>
      </c>
      <c r="D2645" s="8">
        <v>46104</v>
      </c>
      <c r="E2645" s="9">
        <v>4.0706018517084885E-2</v>
      </c>
      <c r="F2645" s="10" t="s">
        <v>2935</v>
      </c>
      <c r="G2645" s="10" t="s">
        <v>21</v>
      </c>
      <c r="H2645" s="10" t="s">
        <v>41</v>
      </c>
      <c r="I2645" s="10" t="s">
        <v>23</v>
      </c>
      <c r="J2645" s="11">
        <v>1.77</v>
      </c>
      <c r="K2645" s="12"/>
      <c r="L2645" s="12"/>
      <c r="M2645" s="12"/>
      <c r="N2645" s="12"/>
      <c r="O2645" s="12"/>
      <c r="P2645" s="12"/>
      <c r="Q2645" s="12"/>
      <c r="R2645" s="12"/>
      <c r="S2645" s="12"/>
    </row>
    <row r="2646" spans="1:19" ht="14.25" customHeight="1" x14ac:dyDescent="0.2">
      <c r="A2646" s="1" t="s">
        <v>33</v>
      </c>
      <c r="B2646" s="7">
        <v>46104.028738425928</v>
      </c>
      <c r="C2646" s="7">
        <v>46104.044166666667</v>
      </c>
      <c r="D2646" s="8">
        <v>46104</v>
      </c>
      <c r="E2646" s="9">
        <v>4.4166666666569654E-2</v>
      </c>
      <c r="F2646" s="10" t="s">
        <v>2936</v>
      </c>
      <c r="G2646" s="10" t="s">
        <v>21</v>
      </c>
      <c r="H2646" s="10" t="s">
        <v>101</v>
      </c>
      <c r="I2646" s="10" t="s">
        <v>23</v>
      </c>
      <c r="J2646" s="11">
        <v>1.7</v>
      </c>
      <c r="K2646" s="12"/>
      <c r="L2646" s="12">
        <f>SUM(J2646:J2659)</f>
        <v>18.97</v>
      </c>
      <c r="M2646" s="13">
        <f>L2646*65</f>
        <v>1233.05</v>
      </c>
      <c r="N2646" s="14">
        <f>MAX(500,M2646)</f>
        <v>1233.05</v>
      </c>
      <c r="O2646" s="12"/>
      <c r="P2646" s="12"/>
      <c r="Q2646" s="12"/>
      <c r="R2646" s="12"/>
      <c r="S2646" s="12"/>
    </row>
    <row r="2647" spans="1:19" ht="14.25" customHeight="1" x14ac:dyDescent="0.2">
      <c r="A2647" s="1" t="s">
        <v>42</v>
      </c>
      <c r="B2647" s="7">
        <v>46104.031030092592</v>
      </c>
      <c r="C2647" s="7">
        <v>46104.044907407406</v>
      </c>
      <c r="D2647" s="8">
        <v>46104</v>
      </c>
      <c r="E2647" s="9">
        <v>4.4907407405844424E-2</v>
      </c>
      <c r="F2647" s="10" t="s">
        <v>2937</v>
      </c>
      <c r="G2647" s="10" t="s">
        <v>21</v>
      </c>
      <c r="H2647" s="10" t="s">
        <v>97</v>
      </c>
      <c r="I2647" s="10" t="s">
        <v>23</v>
      </c>
      <c r="J2647" s="11">
        <v>1.77</v>
      </c>
      <c r="K2647" s="12"/>
      <c r="L2647" s="12"/>
      <c r="M2647" s="12"/>
      <c r="N2647" s="12"/>
      <c r="O2647" s="12"/>
      <c r="P2647" s="12"/>
      <c r="Q2647" s="12"/>
      <c r="R2647" s="12"/>
      <c r="S2647" s="12"/>
    </row>
    <row r="2648" spans="1:19" ht="14.25" customHeight="1" x14ac:dyDescent="0.2">
      <c r="A2648" s="1" t="s">
        <v>24</v>
      </c>
      <c r="B2648" s="7">
        <v>46104.026041666664</v>
      </c>
      <c r="C2648" s="7">
        <v>46104.045416666668</v>
      </c>
      <c r="D2648" s="8">
        <v>46104</v>
      </c>
      <c r="E2648" s="9">
        <v>4.5416666667733807E-2</v>
      </c>
      <c r="F2648" s="10" t="s">
        <v>2938</v>
      </c>
      <c r="G2648" s="10" t="s">
        <v>21</v>
      </c>
      <c r="H2648" s="10" t="s">
        <v>39</v>
      </c>
      <c r="I2648" s="10" t="s">
        <v>23</v>
      </c>
      <c r="J2648" s="11">
        <v>1.77</v>
      </c>
      <c r="K2648" s="12"/>
      <c r="L2648" s="12"/>
      <c r="M2648" s="12"/>
      <c r="N2648" s="12"/>
      <c r="O2648" s="12"/>
      <c r="P2648" s="12"/>
      <c r="Q2648" s="12"/>
      <c r="R2648" s="12"/>
      <c r="S2648" s="12"/>
    </row>
    <row r="2649" spans="1:19" ht="14.25" customHeight="1" x14ac:dyDescent="0.2">
      <c r="A2649" s="1" t="s">
        <v>19</v>
      </c>
      <c r="B2649" s="7">
        <v>46104.03701388889</v>
      </c>
      <c r="C2649" s="7">
        <v>46104.048020833332</v>
      </c>
      <c r="D2649" s="8">
        <v>46104</v>
      </c>
      <c r="E2649" s="9">
        <v>4.8020833331975155E-2</v>
      </c>
      <c r="F2649" s="10" t="s">
        <v>2939</v>
      </c>
      <c r="G2649" s="10" t="s">
        <v>21</v>
      </c>
      <c r="H2649" s="10" t="s">
        <v>52</v>
      </c>
      <c r="I2649" s="10" t="s">
        <v>23</v>
      </c>
      <c r="J2649" s="11">
        <v>0.98</v>
      </c>
      <c r="K2649" s="12"/>
      <c r="L2649" s="12"/>
      <c r="M2649" s="12"/>
      <c r="N2649" s="12"/>
      <c r="O2649" s="12"/>
      <c r="P2649" s="12"/>
      <c r="Q2649" s="12"/>
      <c r="R2649" s="12"/>
      <c r="S2649" s="12"/>
    </row>
    <row r="2650" spans="1:19" ht="14.25" customHeight="1" x14ac:dyDescent="0.2">
      <c r="A2650" s="1" t="s">
        <v>19</v>
      </c>
      <c r="B2650" s="7">
        <v>46104.009247685186</v>
      </c>
      <c r="C2650" s="7">
        <v>46104.04891203704</v>
      </c>
      <c r="D2650" s="8">
        <v>46104</v>
      </c>
      <c r="E2650" s="9">
        <v>4.8912037040281575E-2</v>
      </c>
      <c r="F2650" s="10" t="s">
        <v>2940</v>
      </c>
      <c r="G2650" s="10" t="s">
        <v>21</v>
      </c>
      <c r="H2650" s="10" t="s">
        <v>39</v>
      </c>
      <c r="I2650" s="10" t="s">
        <v>23</v>
      </c>
      <c r="J2650" s="11">
        <v>1.77</v>
      </c>
      <c r="K2650" s="12"/>
      <c r="L2650" s="12"/>
      <c r="M2650" s="12"/>
      <c r="N2650" s="12"/>
      <c r="O2650" s="12"/>
      <c r="P2650" s="12"/>
      <c r="Q2650" s="12"/>
      <c r="R2650" s="12"/>
      <c r="S2650" s="12"/>
    </row>
    <row r="2651" spans="1:19" ht="14.25" customHeight="1" x14ac:dyDescent="0.2">
      <c r="A2651" s="1" t="s">
        <v>95</v>
      </c>
      <c r="B2651" s="7">
        <v>46104.01226851852</v>
      </c>
      <c r="C2651" s="7">
        <v>46104.050023148149</v>
      </c>
      <c r="D2651" s="8">
        <v>46104</v>
      </c>
      <c r="E2651" s="9">
        <v>5.002314814919373E-2</v>
      </c>
      <c r="F2651" s="10" t="s">
        <v>2941</v>
      </c>
      <c r="G2651" s="10" t="s">
        <v>21</v>
      </c>
      <c r="H2651" s="10" t="s">
        <v>189</v>
      </c>
      <c r="I2651" s="10" t="s">
        <v>23</v>
      </c>
      <c r="J2651" s="11">
        <v>0.83</v>
      </c>
      <c r="K2651" s="12"/>
      <c r="L2651" s="12"/>
      <c r="M2651" s="12"/>
      <c r="N2651" s="12"/>
      <c r="O2651" s="12"/>
      <c r="P2651" s="12"/>
      <c r="Q2651" s="12"/>
      <c r="R2651" s="12"/>
      <c r="S2651" s="12"/>
    </row>
    <row r="2652" spans="1:19" ht="14.25" customHeight="1" x14ac:dyDescent="0.2">
      <c r="A2652" s="1" t="s">
        <v>19</v>
      </c>
      <c r="B2652" s="7">
        <v>46104.03701388889</v>
      </c>
      <c r="C2652" s="7">
        <v>46104.05064814815</v>
      </c>
      <c r="D2652" s="8">
        <v>46104</v>
      </c>
      <c r="E2652" s="9">
        <v>5.0648148149775807E-2</v>
      </c>
      <c r="F2652" s="10" t="s">
        <v>2942</v>
      </c>
      <c r="G2652" s="10" t="s">
        <v>21</v>
      </c>
      <c r="H2652" s="10" t="s">
        <v>175</v>
      </c>
      <c r="I2652" s="10" t="s">
        <v>23</v>
      </c>
      <c r="J2652" s="11">
        <v>0.98</v>
      </c>
      <c r="K2652" s="12"/>
      <c r="L2652" s="12"/>
      <c r="M2652" s="12"/>
      <c r="N2652" s="12"/>
      <c r="O2652" s="12"/>
      <c r="P2652" s="12"/>
      <c r="Q2652" s="12"/>
      <c r="R2652" s="12"/>
      <c r="S2652" s="12"/>
    </row>
    <row r="2653" spans="1:19" ht="14.25" customHeight="1" x14ac:dyDescent="0.2">
      <c r="A2653" s="1" t="s">
        <v>24</v>
      </c>
      <c r="B2653" s="7">
        <v>46104.034513888888</v>
      </c>
      <c r="C2653" s="7">
        <v>46104.053171296298</v>
      </c>
      <c r="D2653" s="8">
        <v>46104</v>
      </c>
      <c r="E2653" s="9">
        <v>5.317129629838746E-2</v>
      </c>
      <c r="F2653" s="10" t="s">
        <v>2943</v>
      </c>
      <c r="G2653" s="10" t="s">
        <v>21</v>
      </c>
      <c r="H2653" s="10" t="s">
        <v>22</v>
      </c>
      <c r="I2653" s="10" t="s">
        <v>23</v>
      </c>
      <c r="J2653" s="11">
        <v>0.83</v>
      </c>
      <c r="K2653" s="12"/>
      <c r="L2653" s="12"/>
      <c r="M2653" s="12"/>
      <c r="N2653" s="12"/>
      <c r="O2653" s="12"/>
      <c r="P2653" s="12"/>
      <c r="Q2653" s="12"/>
      <c r="R2653" s="12"/>
      <c r="S2653" s="12"/>
    </row>
    <row r="2654" spans="1:19" ht="14.25" customHeight="1" x14ac:dyDescent="0.2">
      <c r="A2654" s="1" t="s">
        <v>19</v>
      </c>
      <c r="B2654" s="7">
        <v>46104.043715277781</v>
      </c>
      <c r="C2654" s="7">
        <v>46104.054097222222</v>
      </c>
      <c r="D2654" s="8">
        <v>46104</v>
      </c>
      <c r="E2654" s="9">
        <v>5.4097222222480923E-2</v>
      </c>
      <c r="F2654" s="10" t="s">
        <v>2944</v>
      </c>
      <c r="G2654" s="10" t="s">
        <v>21</v>
      </c>
      <c r="H2654" s="10" t="s">
        <v>101</v>
      </c>
      <c r="I2654" s="10" t="s">
        <v>23</v>
      </c>
      <c r="J2654" s="11">
        <v>1.7</v>
      </c>
      <c r="K2654" s="12"/>
      <c r="L2654" s="12"/>
      <c r="M2654" s="12"/>
      <c r="N2654" s="12"/>
      <c r="O2654" s="12"/>
      <c r="P2654" s="12"/>
      <c r="Q2654" s="12"/>
      <c r="R2654" s="12"/>
      <c r="S2654" s="12"/>
    </row>
    <row r="2655" spans="1:19" ht="14.25" customHeight="1" x14ac:dyDescent="0.2">
      <c r="A2655" s="1" t="s">
        <v>19</v>
      </c>
      <c r="B2655" s="7">
        <v>46104.054224537038</v>
      </c>
      <c r="C2655" s="7">
        <v>46104.067858796298</v>
      </c>
      <c r="D2655" s="8">
        <v>46104</v>
      </c>
      <c r="E2655" s="9">
        <v>6.7858796297514345E-2</v>
      </c>
      <c r="F2655" s="10" t="s">
        <v>2945</v>
      </c>
      <c r="G2655" s="10" t="s">
        <v>21</v>
      </c>
      <c r="H2655" s="10" t="s">
        <v>41</v>
      </c>
      <c r="I2655" s="10" t="s">
        <v>23</v>
      </c>
      <c r="J2655" s="11">
        <v>1.77</v>
      </c>
      <c r="K2655" s="12"/>
      <c r="L2655" s="12"/>
      <c r="M2655" s="12"/>
      <c r="N2655" s="12"/>
      <c r="O2655" s="12"/>
      <c r="P2655" s="12"/>
      <c r="Q2655" s="12"/>
      <c r="R2655" s="12"/>
      <c r="S2655" s="12"/>
    </row>
    <row r="2656" spans="1:19" ht="14.25" customHeight="1" x14ac:dyDescent="0.2">
      <c r="A2656" s="1" t="s">
        <v>42</v>
      </c>
      <c r="B2656" s="7">
        <v>46104.058680555558</v>
      </c>
      <c r="C2656" s="7">
        <v>46104.070474537039</v>
      </c>
      <c r="D2656" s="8">
        <v>46104</v>
      </c>
      <c r="E2656" s="9">
        <v>7.0474537038535345E-2</v>
      </c>
      <c r="F2656" s="10" t="s">
        <v>2946</v>
      </c>
      <c r="G2656" s="10" t="s">
        <v>21</v>
      </c>
      <c r="H2656" s="10" t="s">
        <v>97</v>
      </c>
      <c r="I2656" s="10" t="s">
        <v>23</v>
      </c>
      <c r="J2656" s="11">
        <v>1.77</v>
      </c>
      <c r="K2656" s="12"/>
      <c r="L2656" s="12"/>
      <c r="M2656" s="12"/>
      <c r="N2656" s="12"/>
      <c r="O2656" s="12"/>
      <c r="P2656" s="12"/>
      <c r="Q2656" s="12"/>
      <c r="R2656" s="12"/>
      <c r="S2656" s="12"/>
    </row>
    <row r="2657" spans="1:19" ht="14.25" customHeight="1" x14ac:dyDescent="0.2">
      <c r="A2657" s="1" t="s">
        <v>42</v>
      </c>
      <c r="B2657" s="7">
        <v>46104.037777777776</v>
      </c>
      <c r="C2657" s="7">
        <v>46104.071412037039</v>
      </c>
      <c r="D2657" s="8">
        <v>46104</v>
      </c>
      <c r="E2657" s="9">
        <v>7.141203703940846E-2</v>
      </c>
      <c r="F2657" s="10" t="s">
        <v>2947</v>
      </c>
      <c r="G2657" s="10" t="s">
        <v>26</v>
      </c>
      <c r="H2657" s="10" t="s">
        <v>157</v>
      </c>
      <c r="I2657" s="10" t="s">
        <v>23</v>
      </c>
      <c r="J2657" s="11">
        <v>0.73</v>
      </c>
      <c r="K2657" s="12"/>
      <c r="L2657" s="12"/>
      <c r="M2657" s="12"/>
      <c r="N2657" s="12"/>
      <c r="O2657" s="12"/>
      <c r="P2657" s="12"/>
      <c r="Q2657" s="12"/>
      <c r="R2657" s="12"/>
      <c r="S2657" s="12"/>
    </row>
    <row r="2658" spans="1:19" ht="14.25" customHeight="1" x14ac:dyDescent="0.2">
      <c r="A2658" s="1" t="s">
        <v>95</v>
      </c>
      <c r="B2658" s="7">
        <v>46103.964768518519</v>
      </c>
      <c r="C2658" s="7">
        <v>46104.074502314812</v>
      </c>
      <c r="D2658" s="8">
        <v>46104</v>
      </c>
      <c r="E2658" s="9">
        <v>7.4502314811979886E-2</v>
      </c>
      <c r="F2658" s="10" t="s">
        <v>2948</v>
      </c>
      <c r="G2658" s="10" t="s">
        <v>26</v>
      </c>
      <c r="H2658" s="10" t="s">
        <v>1019</v>
      </c>
      <c r="I2658" s="10" t="s">
        <v>23</v>
      </c>
      <c r="J2658" s="11">
        <v>0.67</v>
      </c>
      <c r="K2658" s="12"/>
      <c r="L2658" s="12"/>
      <c r="M2658" s="12"/>
      <c r="N2658" s="12"/>
      <c r="O2658" s="12"/>
      <c r="P2658" s="12"/>
      <c r="Q2658" s="12"/>
      <c r="R2658" s="12"/>
      <c r="S2658" s="12"/>
    </row>
    <row r="2659" spans="1:19" ht="14.25" customHeight="1" x14ac:dyDescent="0.2">
      <c r="A2659" s="1" t="s">
        <v>28</v>
      </c>
      <c r="B2659" s="7">
        <v>46104.061886574076</v>
      </c>
      <c r="C2659" s="7">
        <v>46104.07917824074</v>
      </c>
      <c r="D2659" s="8">
        <v>46104</v>
      </c>
      <c r="E2659" s="9">
        <v>7.9178240739565808E-2</v>
      </c>
      <c r="F2659" s="10" t="s">
        <v>2949</v>
      </c>
      <c r="G2659" s="10" t="s">
        <v>21</v>
      </c>
      <c r="H2659" s="10" t="s">
        <v>101</v>
      </c>
      <c r="I2659" s="10" t="s">
        <v>23</v>
      </c>
      <c r="J2659" s="11">
        <v>1.7</v>
      </c>
      <c r="K2659" s="12"/>
      <c r="L2659" s="12"/>
      <c r="M2659" s="12"/>
      <c r="N2659" s="12"/>
      <c r="O2659" s="12"/>
      <c r="P2659" s="12"/>
      <c r="Q2659" s="12"/>
      <c r="R2659" s="12"/>
      <c r="S2659" s="12"/>
    </row>
    <row r="2660" spans="1:19" ht="14.25" customHeight="1" x14ac:dyDescent="0.2">
      <c r="A2660" s="1" t="s">
        <v>95</v>
      </c>
      <c r="B2660" s="7">
        <v>46104.093159722222</v>
      </c>
      <c r="C2660" s="7">
        <v>46104.1012962963</v>
      </c>
      <c r="D2660" s="8">
        <v>46104</v>
      </c>
      <c r="E2660" s="9">
        <v>0.10129629629955161</v>
      </c>
      <c r="F2660" s="10" t="s">
        <v>2950</v>
      </c>
      <c r="G2660" s="10" t="s">
        <v>21</v>
      </c>
      <c r="H2660" s="10" t="s">
        <v>110</v>
      </c>
      <c r="I2660" s="10" t="s">
        <v>23</v>
      </c>
      <c r="J2660" s="11">
        <v>0.83</v>
      </c>
      <c r="K2660" s="12"/>
      <c r="L2660" s="12">
        <f>SUM(J2660:J2671)</f>
        <v>11.58</v>
      </c>
      <c r="M2660" s="13">
        <f>L2660*65</f>
        <v>752.7</v>
      </c>
      <c r="N2660" s="14">
        <f>MAX(500,M2660)</f>
        <v>752.7</v>
      </c>
      <c r="O2660" s="12"/>
      <c r="P2660" s="12"/>
      <c r="Q2660" s="12"/>
      <c r="R2660" s="12"/>
      <c r="S2660" s="12"/>
    </row>
    <row r="2661" spans="1:19" ht="14.25" customHeight="1" x14ac:dyDescent="0.2">
      <c r="A2661" s="1" t="s">
        <v>95</v>
      </c>
      <c r="B2661" s="7">
        <v>46104.083032407405</v>
      </c>
      <c r="C2661" s="7">
        <v>46104.101597222223</v>
      </c>
      <c r="D2661" s="8">
        <v>46104</v>
      </c>
      <c r="E2661" s="9">
        <v>0.101597222223063</v>
      </c>
      <c r="F2661" s="10" t="s">
        <v>2951</v>
      </c>
      <c r="G2661" s="10" t="s">
        <v>21</v>
      </c>
      <c r="H2661" s="10" t="s">
        <v>52</v>
      </c>
      <c r="I2661" s="10" t="s">
        <v>23</v>
      </c>
      <c r="J2661" s="11">
        <v>0.98</v>
      </c>
      <c r="K2661" s="12"/>
      <c r="L2661" s="12"/>
      <c r="M2661" s="12"/>
      <c r="N2661" s="12"/>
      <c r="O2661" s="12"/>
      <c r="P2661" s="12"/>
      <c r="Q2661" s="12"/>
      <c r="R2661" s="12"/>
      <c r="S2661" s="12"/>
    </row>
    <row r="2662" spans="1:19" ht="14.25" customHeight="1" x14ac:dyDescent="0.2">
      <c r="A2662" s="1" t="s">
        <v>19</v>
      </c>
      <c r="B2662" s="7">
        <v>46104.07912037037</v>
      </c>
      <c r="C2662" s="7">
        <v>46104.102175925924</v>
      </c>
      <c r="D2662" s="8">
        <v>46104</v>
      </c>
      <c r="E2662" s="9">
        <v>0.10217592592380242</v>
      </c>
      <c r="F2662" s="10" t="s">
        <v>2952</v>
      </c>
      <c r="G2662" s="10" t="s">
        <v>21</v>
      </c>
      <c r="H2662" s="10" t="s">
        <v>101</v>
      </c>
      <c r="I2662" s="10" t="s">
        <v>23</v>
      </c>
      <c r="J2662" s="11">
        <v>1.7</v>
      </c>
      <c r="K2662" s="12"/>
      <c r="L2662" s="12"/>
      <c r="M2662" s="12"/>
      <c r="N2662" s="12"/>
      <c r="O2662" s="12"/>
      <c r="P2662" s="12"/>
      <c r="Q2662" s="12"/>
      <c r="R2662" s="12"/>
      <c r="S2662" s="12"/>
    </row>
    <row r="2663" spans="1:19" ht="14.25" customHeight="1" x14ac:dyDescent="0.2">
      <c r="A2663" s="1" t="s">
        <v>28</v>
      </c>
      <c r="B2663" s="7">
        <v>46104.081585648149</v>
      </c>
      <c r="C2663" s="7">
        <v>46104.102546296293</v>
      </c>
      <c r="D2663" s="8">
        <v>46104</v>
      </c>
      <c r="E2663" s="9">
        <v>0.10254629629343981</v>
      </c>
      <c r="F2663" s="10" t="s">
        <v>2953</v>
      </c>
      <c r="G2663" s="10" t="s">
        <v>21</v>
      </c>
      <c r="H2663" s="10" t="s">
        <v>39</v>
      </c>
      <c r="I2663" s="10" t="s">
        <v>23</v>
      </c>
      <c r="J2663" s="11">
        <v>1.77</v>
      </c>
      <c r="K2663" s="12"/>
      <c r="L2663" s="12"/>
      <c r="M2663" s="12"/>
      <c r="N2663" s="12"/>
      <c r="O2663" s="12"/>
      <c r="P2663" s="12"/>
      <c r="Q2663" s="12"/>
      <c r="R2663" s="12"/>
      <c r="S2663" s="12"/>
    </row>
    <row r="2664" spans="1:19" ht="14.25" customHeight="1" x14ac:dyDescent="0.2">
      <c r="A2664" s="1" t="s">
        <v>57</v>
      </c>
      <c r="B2664" s="7">
        <v>46104.082361111112</v>
      </c>
      <c r="C2664" s="7">
        <v>46104.102881944447</v>
      </c>
      <c r="D2664" s="8">
        <v>46104</v>
      </c>
      <c r="E2664" s="9">
        <v>0.10288194444729015</v>
      </c>
      <c r="F2664" s="10" t="s">
        <v>2954</v>
      </c>
      <c r="G2664" s="10" t="s">
        <v>21</v>
      </c>
      <c r="H2664" s="10" t="s">
        <v>687</v>
      </c>
      <c r="I2664" s="10" t="s">
        <v>23</v>
      </c>
      <c r="J2664" s="11">
        <v>1.7</v>
      </c>
      <c r="K2664" s="12"/>
      <c r="L2664" s="12"/>
      <c r="M2664" s="12"/>
      <c r="N2664" s="12"/>
      <c r="O2664" s="12"/>
      <c r="P2664" s="12"/>
      <c r="Q2664" s="12"/>
      <c r="R2664" s="12"/>
      <c r="S2664" s="12"/>
    </row>
    <row r="2665" spans="1:19" ht="14.25" customHeight="1" x14ac:dyDescent="0.2">
      <c r="A2665" s="1" t="s">
        <v>95</v>
      </c>
      <c r="B2665" s="7">
        <v>46104.084305555552</v>
      </c>
      <c r="C2665" s="7">
        <v>46104.10497685185</v>
      </c>
      <c r="D2665" s="8">
        <v>46104</v>
      </c>
      <c r="E2665" s="9">
        <v>0.10497685184964212</v>
      </c>
      <c r="F2665" s="10" t="s">
        <v>2955</v>
      </c>
      <c r="G2665" s="10" t="s">
        <v>26</v>
      </c>
      <c r="H2665" s="10" t="s">
        <v>251</v>
      </c>
      <c r="I2665" s="10" t="s">
        <v>23</v>
      </c>
      <c r="J2665" s="11">
        <v>0.62</v>
      </c>
      <c r="K2665" s="12"/>
      <c r="L2665" s="12"/>
      <c r="M2665" s="12"/>
      <c r="N2665" s="12"/>
      <c r="O2665" s="12"/>
      <c r="P2665" s="12"/>
      <c r="Q2665" s="12"/>
      <c r="R2665" s="12"/>
      <c r="S2665" s="12"/>
    </row>
    <row r="2666" spans="1:19" ht="14.25" customHeight="1" x14ac:dyDescent="0.2">
      <c r="A2666" s="1" t="s">
        <v>24</v>
      </c>
      <c r="B2666" s="7">
        <v>46104.078009259261</v>
      </c>
      <c r="C2666" s="7">
        <v>46104.105474537035</v>
      </c>
      <c r="D2666" s="8">
        <v>46104</v>
      </c>
      <c r="E2666" s="9">
        <v>0.10547453703475185</v>
      </c>
      <c r="F2666" s="10" t="s">
        <v>2956</v>
      </c>
      <c r="G2666" s="10" t="s">
        <v>44</v>
      </c>
      <c r="H2666" s="10" t="s">
        <v>185</v>
      </c>
      <c r="I2666" s="10" t="s">
        <v>23</v>
      </c>
      <c r="J2666" s="11">
        <v>0.18</v>
      </c>
      <c r="K2666" s="12"/>
      <c r="L2666" s="12"/>
      <c r="M2666" s="12"/>
      <c r="N2666" s="12"/>
      <c r="O2666" s="12"/>
      <c r="P2666" s="12"/>
      <c r="Q2666" s="12"/>
      <c r="R2666" s="12"/>
      <c r="S2666" s="12"/>
    </row>
    <row r="2667" spans="1:19" ht="14.25" customHeight="1" x14ac:dyDescent="0.2">
      <c r="A2667" s="1" t="s">
        <v>57</v>
      </c>
      <c r="B2667" s="7">
        <v>46104.098564814813</v>
      </c>
      <c r="C2667" s="7">
        <v>46104.110532407409</v>
      </c>
      <c r="D2667" s="8">
        <v>46104</v>
      </c>
      <c r="E2667" s="9">
        <v>0.11053240740875481</v>
      </c>
      <c r="F2667" s="10" t="s">
        <v>2957</v>
      </c>
      <c r="G2667" s="10" t="s">
        <v>21</v>
      </c>
      <c r="H2667" s="10" t="s">
        <v>2958</v>
      </c>
      <c r="I2667" s="10" t="s">
        <v>23</v>
      </c>
      <c r="J2667" s="11">
        <v>0.98</v>
      </c>
      <c r="K2667" s="12"/>
      <c r="L2667" s="12"/>
      <c r="M2667" s="12"/>
      <c r="N2667" s="12"/>
      <c r="O2667" s="12"/>
      <c r="P2667" s="12"/>
      <c r="Q2667" s="12"/>
      <c r="R2667" s="12"/>
      <c r="S2667" s="12"/>
    </row>
    <row r="2668" spans="1:19" ht="14.25" customHeight="1" x14ac:dyDescent="0.2">
      <c r="A2668" s="1" t="s">
        <v>95</v>
      </c>
      <c r="B2668" s="7">
        <v>46104.088067129633</v>
      </c>
      <c r="C2668" s="7">
        <v>46104.113981481481</v>
      </c>
      <c r="D2668" s="8">
        <v>46104</v>
      </c>
      <c r="E2668" s="9">
        <v>0.11398148148145992</v>
      </c>
      <c r="F2668" s="10" t="s">
        <v>2959</v>
      </c>
      <c r="G2668" s="10" t="s">
        <v>21</v>
      </c>
      <c r="H2668" s="10" t="s">
        <v>189</v>
      </c>
      <c r="I2668" s="10" t="s">
        <v>23</v>
      </c>
      <c r="J2668" s="11">
        <v>0.83</v>
      </c>
      <c r="K2668" s="12"/>
      <c r="L2668" s="12"/>
      <c r="M2668" s="12"/>
      <c r="N2668" s="12"/>
      <c r="O2668" s="12"/>
      <c r="P2668" s="12"/>
      <c r="Q2668" s="12"/>
      <c r="R2668" s="12"/>
      <c r="S2668" s="12"/>
    </row>
    <row r="2669" spans="1:19" ht="14.25" customHeight="1" x14ac:dyDescent="0.2">
      <c r="A2669" s="1" t="s">
        <v>95</v>
      </c>
      <c r="B2669" s="7">
        <v>46104.088067129633</v>
      </c>
      <c r="C2669" s="7">
        <v>46104.114212962966</v>
      </c>
      <c r="D2669" s="8">
        <v>46104</v>
      </c>
      <c r="E2669" s="9">
        <v>0.11421296296612127</v>
      </c>
      <c r="F2669" s="10" t="s">
        <v>2960</v>
      </c>
      <c r="G2669" s="10" t="s">
        <v>21</v>
      </c>
      <c r="H2669" s="10" t="s">
        <v>52</v>
      </c>
      <c r="I2669" s="10" t="s">
        <v>23</v>
      </c>
      <c r="J2669" s="11">
        <v>0.98</v>
      </c>
      <c r="K2669" s="12"/>
      <c r="L2669" s="12"/>
      <c r="M2669" s="12"/>
      <c r="N2669" s="12"/>
      <c r="O2669" s="12"/>
      <c r="P2669" s="12"/>
      <c r="Q2669" s="12"/>
      <c r="R2669" s="12"/>
      <c r="S2669" s="12"/>
    </row>
    <row r="2670" spans="1:19" ht="14.25" customHeight="1" x14ac:dyDescent="0.2">
      <c r="A2670" s="1" t="s">
        <v>42</v>
      </c>
      <c r="B2670" s="7">
        <v>46104.103703703702</v>
      </c>
      <c r="C2670" s="7">
        <v>46104.114849537036</v>
      </c>
      <c r="D2670" s="8">
        <v>46104</v>
      </c>
      <c r="E2670" s="9">
        <v>0.11484953703620704</v>
      </c>
      <c r="F2670" s="10" t="s">
        <v>2961</v>
      </c>
      <c r="G2670" s="10" t="s">
        <v>44</v>
      </c>
      <c r="H2670" s="10" t="s">
        <v>140</v>
      </c>
      <c r="I2670" s="10" t="s">
        <v>23</v>
      </c>
      <c r="J2670" s="11">
        <v>0.18</v>
      </c>
      <c r="K2670" s="12"/>
      <c r="L2670" s="12"/>
      <c r="M2670" s="12"/>
      <c r="N2670" s="12"/>
      <c r="O2670" s="12"/>
      <c r="P2670" s="12"/>
      <c r="Q2670" s="12"/>
      <c r="R2670" s="12"/>
      <c r="S2670" s="12"/>
    </row>
    <row r="2671" spans="1:19" ht="14.25" customHeight="1" x14ac:dyDescent="0.2">
      <c r="A2671" s="1" t="s">
        <v>95</v>
      </c>
      <c r="B2671" s="7">
        <v>46104.088067129633</v>
      </c>
      <c r="C2671" s="7">
        <v>46104.12159722222</v>
      </c>
      <c r="D2671" s="8">
        <v>46104</v>
      </c>
      <c r="E2671" s="9">
        <v>0.12159722221986158</v>
      </c>
      <c r="F2671" s="10" t="s">
        <v>2962</v>
      </c>
      <c r="G2671" s="10" t="s">
        <v>21</v>
      </c>
      <c r="H2671" s="10" t="s">
        <v>110</v>
      </c>
      <c r="I2671" s="10" t="s">
        <v>23</v>
      </c>
      <c r="J2671" s="11">
        <v>0.83</v>
      </c>
      <c r="K2671" s="12"/>
      <c r="L2671" s="12"/>
      <c r="M2671" s="12"/>
      <c r="N2671" s="12"/>
      <c r="O2671" s="12"/>
      <c r="P2671" s="12"/>
      <c r="Q2671" s="12"/>
      <c r="R2671" s="12"/>
      <c r="S2671" s="12"/>
    </row>
    <row r="2672" spans="1:19" ht="14.25" customHeight="1" x14ac:dyDescent="0.2">
      <c r="A2672" s="1" t="s">
        <v>95</v>
      </c>
      <c r="B2672" s="7">
        <v>46104.118900462963</v>
      </c>
      <c r="C2672" s="7">
        <v>46104.12841435185</v>
      </c>
      <c r="D2672" s="8">
        <v>46104</v>
      </c>
      <c r="E2672" s="9">
        <v>0.12841435184964212</v>
      </c>
      <c r="F2672" s="10" t="s">
        <v>2963</v>
      </c>
      <c r="G2672" s="10" t="s">
        <v>21</v>
      </c>
      <c r="H2672" s="10" t="s">
        <v>110</v>
      </c>
      <c r="I2672" s="10" t="s">
        <v>23</v>
      </c>
      <c r="J2672" s="11">
        <v>0.83</v>
      </c>
      <c r="K2672" s="12">
        <f>SUM(J2672:J2695)</f>
        <v>32.579999999999991</v>
      </c>
      <c r="L2672" s="12">
        <f>SUM(J2672:J2680)</f>
        <v>10.59</v>
      </c>
      <c r="M2672" s="13">
        <f>L2672*65</f>
        <v>688.35</v>
      </c>
      <c r="N2672" s="14">
        <f>MAX(500,M2672)</f>
        <v>688.35</v>
      </c>
      <c r="O2672" s="12"/>
      <c r="P2672" s="12"/>
      <c r="Q2672" s="12"/>
      <c r="R2672" s="12"/>
      <c r="S2672" s="12"/>
    </row>
    <row r="2673" spans="1:19" ht="14.25" customHeight="1" x14ac:dyDescent="0.2">
      <c r="A2673" s="1" t="s">
        <v>24</v>
      </c>
      <c r="B2673" s="7">
        <v>46104.114664351851</v>
      </c>
      <c r="C2673" s="7">
        <v>46104.131458333337</v>
      </c>
      <c r="D2673" s="8">
        <v>46104</v>
      </c>
      <c r="E2673" s="9">
        <v>0.13145833333692281</v>
      </c>
      <c r="F2673" s="10" t="s">
        <v>2964</v>
      </c>
      <c r="G2673" s="10" t="s">
        <v>21</v>
      </c>
      <c r="H2673" s="10" t="s">
        <v>41</v>
      </c>
      <c r="I2673" s="10" t="s">
        <v>23</v>
      </c>
      <c r="J2673" s="11">
        <v>1.77</v>
      </c>
      <c r="K2673" s="12"/>
      <c r="L2673" s="12"/>
      <c r="M2673" s="12"/>
      <c r="N2673" s="12"/>
      <c r="O2673" s="12"/>
      <c r="P2673" s="12"/>
      <c r="Q2673" s="12"/>
      <c r="R2673" s="12"/>
      <c r="S2673" s="12"/>
    </row>
    <row r="2674" spans="1:19" ht="14.25" customHeight="1" x14ac:dyDescent="0.2">
      <c r="A2674" s="1" t="s">
        <v>95</v>
      </c>
      <c r="B2674" s="7">
        <v>46104.116608796299</v>
      </c>
      <c r="C2674" s="7">
        <v>46104.133263888885</v>
      </c>
      <c r="D2674" s="8">
        <v>46104</v>
      </c>
      <c r="E2674" s="9">
        <v>0.13326388888526708</v>
      </c>
      <c r="F2674" s="10" t="s">
        <v>2965</v>
      </c>
      <c r="G2674" s="10" t="s">
        <v>21</v>
      </c>
      <c r="H2674" s="10" t="s">
        <v>97</v>
      </c>
      <c r="I2674" s="10" t="s">
        <v>23</v>
      </c>
      <c r="J2674" s="11">
        <v>1.77</v>
      </c>
      <c r="K2674" s="12"/>
      <c r="L2674" s="12"/>
      <c r="M2674" s="12"/>
      <c r="N2674" s="12"/>
      <c r="O2674" s="12"/>
      <c r="P2674" s="12"/>
      <c r="Q2674" s="12"/>
      <c r="R2674" s="12"/>
      <c r="S2674" s="12"/>
    </row>
    <row r="2675" spans="1:19" ht="14.25" customHeight="1" x14ac:dyDescent="0.2">
      <c r="A2675" s="1" t="s">
        <v>95</v>
      </c>
      <c r="B2675" s="7">
        <v>46104.122037037036</v>
      </c>
      <c r="C2675" s="7">
        <v>46104.133993055555</v>
      </c>
      <c r="D2675" s="8">
        <v>46104</v>
      </c>
      <c r="E2675" s="9">
        <v>0.13399305555503815</v>
      </c>
      <c r="F2675" s="10" t="s">
        <v>2966</v>
      </c>
      <c r="G2675" s="10" t="s">
        <v>21</v>
      </c>
      <c r="H2675" s="10" t="s">
        <v>103</v>
      </c>
      <c r="I2675" s="10" t="s">
        <v>23</v>
      </c>
      <c r="J2675" s="11">
        <v>0.98</v>
      </c>
      <c r="K2675" s="12"/>
      <c r="L2675" s="12"/>
      <c r="M2675" s="12"/>
      <c r="N2675" s="12"/>
      <c r="O2675" s="12"/>
      <c r="P2675" s="12"/>
      <c r="Q2675" s="12"/>
      <c r="R2675" s="12"/>
      <c r="S2675" s="12"/>
    </row>
    <row r="2676" spans="1:19" ht="14.25" customHeight="1" x14ac:dyDescent="0.2">
      <c r="A2676" s="1" t="s">
        <v>95</v>
      </c>
      <c r="B2676" s="7">
        <v>46104.119872685187</v>
      </c>
      <c r="C2676" s="7">
        <v>46104.141018518516</v>
      </c>
      <c r="D2676" s="8">
        <v>46104</v>
      </c>
      <c r="E2676" s="9">
        <v>0.14101851851592073</v>
      </c>
      <c r="F2676" s="10" t="s">
        <v>2967</v>
      </c>
      <c r="G2676" s="10" t="s">
        <v>21</v>
      </c>
      <c r="H2676" s="10" t="s">
        <v>216</v>
      </c>
      <c r="I2676" s="10" t="s">
        <v>23</v>
      </c>
      <c r="J2676" s="11">
        <v>0.98</v>
      </c>
      <c r="K2676" s="12"/>
      <c r="L2676" s="12"/>
      <c r="M2676" s="12"/>
      <c r="N2676" s="12"/>
      <c r="O2676" s="12"/>
      <c r="P2676" s="12"/>
      <c r="Q2676" s="12"/>
      <c r="R2676" s="12"/>
      <c r="S2676" s="12"/>
    </row>
    <row r="2677" spans="1:19" ht="14.25" customHeight="1" x14ac:dyDescent="0.2">
      <c r="A2677" s="1" t="s">
        <v>95</v>
      </c>
      <c r="B2677" s="7">
        <v>46104.135567129626</v>
      </c>
      <c r="C2677" s="7">
        <v>46104.151435185187</v>
      </c>
      <c r="D2677" s="8">
        <v>46104</v>
      </c>
      <c r="E2677" s="9">
        <v>0.15143518518743804</v>
      </c>
      <c r="F2677" s="10" t="s">
        <v>2968</v>
      </c>
      <c r="G2677" s="10" t="s">
        <v>21</v>
      </c>
      <c r="H2677" s="10" t="s">
        <v>97</v>
      </c>
      <c r="I2677" s="10" t="s">
        <v>23</v>
      </c>
      <c r="J2677" s="11">
        <v>1.77</v>
      </c>
      <c r="K2677" s="12"/>
      <c r="L2677" s="12"/>
      <c r="M2677" s="12"/>
      <c r="N2677" s="12"/>
      <c r="O2677" s="12"/>
      <c r="P2677" s="12"/>
      <c r="Q2677" s="12"/>
      <c r="R2677" s="12"/>
      <c r="S2677" s="12"/>
    </row>
    <row r="2678" spans="1:19" ht="14.25" customHeight="1" x14ac:dyDescent="0.2">
      <c r="A2678" s="1" t="s">
        <v>95</v>
      </c>
      <c r="B2678" s="7">
        <v>46104.119872685187</v>
      </c>
      <c r="C2678" s="7">
        <v>46104.151712962965</v>
      </c>
      <c r="D2678" s="8">
        <v>46104</v>
      </c>
      <c r="E2678" s="9">
        <v>0.15171296296466608</v>
      </c>
      <c r="F2678" s="10" t="s">
        <v>2969</v>
      </c>
      <c r="G2678" s="10" t="s">
        <v>21</v>
      </c>
      <c r="H2678" s="10" t="s">
        <v>110</v>
      </c>
      <c r="I2678" s="10" t="s">
        <v>23</v>
      </c>
      <c r="J2678" s="11">
        <v>0.83</v>
      </c>
      <c r="K2678" s="12"/>
      <c r="L2678" s="12"/>
      <c r="M2678" s="12"/>
      <c r="N2678" s="12"/>
      <c r="O2678" s="12"/>
      <c r="P2678" s="12"/>
      <c r="Q2678" s="12"/>
      <c r="R2678" s="12"/>
      <c r="S2678" s="12"/>
    </row>
    <row r="2679" spans="1:19" ht="14.25" customHeight="1" x14ac:dyDescent="0.2">
      <c r="A2679" s="1" t="s">
        <v>19</v>
      </c>
      <c r="B2679" s="7">
        <v>46104.152615740742</v>
      </c>
      <c r="C2679" s="7">
        <v>46104.162870370368</v>
      </c>
      <c r="D2679" s="8">
        <v>46104</v>
      </c>
      <c r="E2679" s="9">
        <v>0.16287037036818219</v>
      </c>
      <c r="F2679" s="10" t="s">
        <v>2970</v>
      </c>
      <c r="G2679" s="10" t="s">
        <v>21</v>
      </c>
      <c r="H2679" s="10" t="s">
        <v>22</v>
      </c>
      <c r="I2679" s="10" t="s">
        <v>23</v>
      </c>
      <c r="J2679" s="11">
        <v>0.83</v>
      </c>
      <c r="K2679" s="12"/>
      <c r="L2679" s="12"/>
      <c r="M2679" s="12"/>
      <c r="N2679" s="12"/>
      <c r="O2679" s="12"/>
      <c r="P2679" s="12"/>
      <c r="Q2679" s="12"/>
      <c r="R2679" s="12"/>
      <c r="S2679" s="12"/>
    </row>
    <row r="2680" spans="1:19" ht="14.25" customHeight="1" x14ac:dyDescent="0.2">
      <c r="A2680" s="1" t="s">
        <v>95</v>
      </c>
      <c r="B2680" s="7">
        <v>46104.142060185186</v>
      </c>
      <c r="C2680" s="7">
        <v>46104.163090277776</v>
      </c>
      <c r="D2680" s="8">
        <v>46104</v>
      </c>
      <c r="E2680" s="9">
        <v>0.16309027777606389</v>
      </c>
      <c r="F2680" s="10" t="s">
        <v>2971</v>
      </c>
      <c r="G2680" s="10" t="s">
        <v>21</v>
      </c>
      <c r="H2680" s="10" t="s">
        <v>110</v>
      </c>
      <c r="I2680" s="10" t="s">
        <v>23</v>
      </c>
      <c r="J2680" s="11">
        <v>0.83</v>
      </c>
      <c r="K2680" s="12"/>
      <c r="L2680" s="12"/>
      <c r="M2680" s="12"/>
      <c r="N2680" s="12"/>
      <c r="O2680" s="12"/>
      <c r="P2680" s="12"/>
      <c r="Q2680" s="12"/>
      <c r="R2680" s="12"/>
      <c r="S2680" s="12"/>
    </row>
    <row r="2681" spans="1:19" ht="14.25" customHeight="1" x14ac:dyDescent="0.2">
      <c r="A2681" s="1" t="s">
        <v>19</v>
      </c>
      <c r="B2681" s="7">
        <v>46104.161238425928</v>
      </c>
      <c r="C2681" s="7">
        <v>46104.172129629631</v>
      </c>
      <c r="D2681" s="8">
        <v>46104</v>
      </c>
      <c r="E2681" s="9">
        <v>0.17212962963094469</v>
      </c>
      <c r="F2681" s="10" t="s">
        <v>2972</v>
      </c>
      <c r="G2681" s="10" t="s">
        <v>21</v>
      </c>
      <c r="H2681" s="10" t="s">
        <v>41</v>
      </c>
      <c r="I2681" s="10" t="s">
        <v>23</v>
      </c>
      <c r="J2681" s="11">
        <v>1.77</v>
      </c>
      <c r="K2681" s="12"/>
      <c r="L2681" s="12">
        <f>SUM(J2681:J2688)</f>
        <v>9.9699999999999989</v>
      </c>
      <c r="M2681" s="13">
        <f>L2681*65</f>
        <v>648.04999999999995</v>
      </c>
      <c r="N2681" s="14">
        <f>MAX(500,M2681)</f>
        <v>648.04999999999995</v>
      </c>
      <c r="O2681" s="12"/>
      <c r="P2681" s="12"/>
      <c r="Q2681" s="12"/>
      <c r="R2681" s="12"/>
      <c r="S2681" s="12"/>
    </row>
    <row r="2682" spans="1:19" ht="14.25" customHeight="1" x14ac:dyDescent="0.2">
      <c r="A2682" s="1" t="s">
        <v>95</v>
      </c>
      <c r="B2682" s="7">
        <v>46104.176840277774</v>
      </c>
      <c r="C2682" s="7">
        <v>46104.180937500001</v>
      </c>
      <c r="D2682" s="8">
        <v>46104</v>
      </c>
      <c r="E2682" s="9">
        <v>0.18093750000116415</v>
      </c>
      <c r="F2682" s="10" t="s">
        <v>2973</v>
      </c>
      <c r="G2682" s="10" t="s">
        <v>21</v>
      </c>
      <c r="H2682" s="10" t="s">
        <v>97</v>
      </c>
      <c r="I2682" s="10" t="s">
        <v>23</v>
      </c>
      <c r="J2682" s="11">
        <v>1.77</v>
      </c>
      <c r="K2682" s="12"/>
      <c r="L2682" s="12"/>
      <c r="M2682" s="12"/>
      <c r="N2682" s="12"/>
      <c r="O2682" s="12"/>
      <c r="P2682" s="12"/>
      <c r="Q2682" s="12"/>
      <c r="R2682" s="12"/>
      <c r="S2682" s="12"/>
    </row>
    <row r="2683" spans="1:19" ht="14.25" customHeight="1" x14ac:dyDescent="0.2">
      <c r="A2683" s="1" t="s">
        <v>95</v>
      </c>
      <c r="B2683" s="7">
        <v>46104.186354166668</v>
      </c>
      <c r="C2683" s="7">
        <v>46104.188287037039</v>
      </c>
      <c r="D2683" s="8">
        <v>46104</v>
      </c>
      <c r="E2683" s="9">
        <v>0.18828703703911742</v>
      </c>
      <c r="F2683" s="10" t="s">
        <v>2974</v>
      </c>
      <c r="G2683" s="10" t="s">
        <v>21</v>
      </c>
      <c r="H2683" s="10" t="s">
        <v>108</v>
      </c>
      <c r="I2683" s="10" t="s">
        <v>23</v>
      </c>
      <c r="J2683" s="11">
        <v>1.7</v>
      </c>
      <c r="K2683" s="12"/>
      <c r="L2683" s="12"/>
      <c r="M2683" s="12"/>
      <c r="N2683" s="12"/>
      <c r="O2683" s="12"/>
      <c r="P2683" s="12"/>
      <c r="Q2683" s="12"/>
      <c r="R2683" s="12"/>
      <c r="S2683" s="12"/>
    </row>
    <row r="2684" spans="1:19" ht="14.25" customHeight="1" x14ac:dyDescent="0.2">
      <c r="A2684" s="1" t="s">
        <v>24</v>
      </c>
      <c r="B2684" s="7">
        <v>46104.148206018515</v>
      </c>
      <c r="C2684" s="7">
        <v>46104.188668981478</v>
      </c>
      <c r="D2684" s="8">
        <v>46104</v>
      </c>
      <c r="E2684" s="9">
        <v>0.1886689814782585</v>
      </c>
      <c r="F2684" s="10" t="s">
        <v>2975</v>
      </c>
      <c r="G2684" s="10" t="s">
        <v>44</v>
      </c>
      <c r="H2684" s="10" t="s">
        <v>185</v>
      </c>
      <c r="I2684" s="10" t="s">
        <v>23</v>
      </c>
      <c r="J2684" s="11">
        <v>0.18</v>
      </c>
      <c r="K2684" s="12"/>
      <c r="L2684" s="12"/>
      <c r="M2684" s="12"/>
      <c r="N2684" s="12"/>
      <c r="O2684" s="12"/>
      <c r="P2684" s="12"/>
      <c r="Q2684" s="12"/>
      <c r="R2684" s="12"/>
      <c r="S2684" s="12"/>
    </row>
    <row r="2685" spans="1:19" ht="14.25" customHeight="1" x14ac:dyDescent="0.2">
      <c r="A2685" s="1" t="s">
        <v>57</v>
      </c>
      <c r="B2685" s="7">
        <v>46104.179942129631</v>
      </c>
      <c r="C2685" s="7">
        <v>46104.19190972222</v>
      </c>
      <c r="D2685" s="8">
        <v>46104</v>
      </c>
      <c r="E2685" s="9">
        <v>0.19190972221986158</v>
      </c>
      <c r="F2685" s="10" t="s">
        <v>2976</v>
      </c>
      <c r="G2685" s="10" t="s">
        <v>21</v>
      </c>
      <c r="H2685" s="10" t="s">
        <v>303</v>
      </c>
      <c r="I2685" s="10" t="s">
        <v>23</v>
      </c>
      <c r="J2685" s="11">
        <v>1.77</v>
      </c>
      <c r="K2685" s="12"/>
      <c r="L2685" s="12"/>
      <c r="M2685" s="12"/>
      <c r="N2685" s="12"/>
      <c r="O2685" s="12"/>
      <c r="P2685" s="12"/>
      <c r="Q2685" s="12"/>
      <c r="R2685" s="12"/>
      <c r="S2685" s="12"/>
    </row>
    <row r="2686" spans="1:19" ht="14.25" customHeight="1" x14ac:dyDescent="0.2">
      <c r="A2686" s="1" t="s">
        <v>24</v>
      </c>
      <c r="B2686" s="7">
        <v>46104.081157407411</v>
      </c>
      <c r="C2686" s="7">
        <v>46104.193831018521</v>
      </c>
      <c r="D2686" s="8">
        <v>46104</v>
      </c>
      <c r="E2686" s="9">
        <v>0.19383101852145046</v>
      </c>
      <c r="F2686" s="10" t="s">
        <v>2977</v>
      </c>
      <c r="G2686" s="10" t="s">
        <v>21</v>
      </c>
      <c r="H2686" s="10" t="s">
        <v>41</v>
      </c>
      <c r="I2686" s="10" t="s">
        <v>23</v>
      </c>
      <c r="J2686" s="11">
        <v>1.77</v>
      </c>
      <c r="K2686" s="12"/>
      <c r="L2686" s="12"/>
      <c r="M2686" s="12"/>
      <c r="N2686" s="12"/>
      <c r="O2686" s="12"/>
      <c r="P2686" s="12"/>
      <c r="Q2686" s="12"/>
      <c r="R2686" s="12"/>
      <c r="S2686" s="12"/>
    </row>
    <row r="2687" spans="1:19" ht="14.25" customHeight="1" x14ac:dyDescent="0.2">
      <c r="A2687" s="1" t="s">
        <v>42</v>
      </c>
      <c r="B2687" s="7">
        <v>46104.184432870374</v>
      </c>
      <c r="C2687" s="7">
        <v>46104.2</v>
      </c>
      <c r="D2687" s="8">
        <v>46104</v>
      </c>
      <c r="E2687" s="9">
        <v>0.19999999999708962</v>
      </c>
      <c r="F2687" s="10" t="s">
        <v>2978</v>
      </c>
      <c r="G2687" s="10" t="s">
        <v>44</v>
      </c>
      <c r="H2687" s="10" t="s">
        <v>140</v>
      </c>
      <c r="I2687" s="10" t="s">
        <v>23</v>
      </c>
      <c r="J2687" s="11">
        <v>0.18</v>
      </c>
      <c r="K2687" s="12"/>
      <c r="L2687" s="12"/>
      <c r="M2687" s="12"/>
      <c r="N2687" s="12"/>
      <c r="O2687" s="12"/>
      <c r="P2687" s="12"/>
      <c r="Q2687" s="12"/>
      <c r="R2687" s="12"/>
      <c r="S2687" s="12"/>
    </row>
    <row r="2688" spans="1:19" ht="14.25" customHeight="1" x14ac:dyDescent="0.2">
      <c r="A2688" s="1" t="s">
        <v>19</v>
      </c>
      <c r="B2688" s="7">
        <v>46104.190196759257</v>
      </c>
      <c r="C2688" s="7">
        <v>46104.200312499997</v>
      </c>
      <c r="D2688" s="8">
        <v>46104</v>
      </c>
      <c r="E2688" s="9">
        <v>0.20031249999738066</v>
      </c>
      <c r="F2688" s="10" t="s">
        <v>2979</v>
      </c>
      <c r="G2688" s="10" t="s">
        <v>21</v>
      </c>
      <c r="H2688" s="10" t="s">
        <v>22</v>
      </c>
      <c r="I2688" s="10" t="s">
        <v>23</v>
      </c>
      <c r="J2688" s="11">
        <v>0.83</v>
      </c>
      <c r="K2688" s="12"/>
      <c r="L2688" s="12"/>
      <c r="M2688" s="12"/>
      <c r="N2688" s="12"/>
      <c r="O2688" s="12"/>
      <c r="P2688" s="12"/>
      <c r="Q2688" s="12"/>
      <c r="R2688" s="12"/>
      <c r="S2688" s="12"/>
    </row>
    <row r="2689" spans="1:19" ht="14.25" customHeight="1" x14ac:dyDescent="0.2">
      <c r="A2689" s="1" t="s">
        <v>24</v>
      </c>
      <c r="B2689" s="7">
        <v>46104.195891203701</v>
      </c>
      <c r="C2689" s="7">
        <v>46104.210162037038</v>
      </c>
      <c r="D2689" s="8">
        <v>46104</v>
      </c>
      <c r="E2689" s="9">
        <v>0.21016203703766223</v>
      </c>
      <c r="F2689" s="10" t="s">
        <v>2980</v>
      </c>
      <c r="G2689" s="10" t="s">
        <v>21</v>
      </c>
      <c r="H2689" s="10" t="s">
        <v>435</v>
      </c>
      <c r="I2689" s="10" t="s">
        <v>23</v>
      </c>
      <c r="J2689" s="11">
        <v>1.1299999999999999</v>
      </c>
      <c r="K2689" s="12"/>
      <c r="L2689" s="12">
        <f>SUM(J2689:J2695)</f>
        <v>12.02</v>
      </c>
      <c r="M2689" s="13">
        <f>L2689*65</f>
        <v>781.3</v>
      </c>
      <c r="N2689" s="14">
        <f>MAX(500,M2689)</f>
        <v>781.3</v>
      </c>
      <c r="O2689" s="12"/>
      <c r="P2689" s="12"/>
      <c r="Q2689" s="12"/>
      <c r="R2689" s="12"/>
      <c r="S2689" s="12"/>
    </row>
    <row r="2690" spans="1:19" ht="14.25" customHeight="1" x14ac:dyDescent="0.2">
      <c r="A2690" s="1" t="s">
        <v>24</v>
      </c>
      <c r="B2690" s="7">
        <v>46104.195891203701</v>
      </c>
      <c r="C2690" s="7">
        <v>46104.210625</v>
      </c>
      <c r="D2690" s="8">
        <v>46104</v>
      </c>
      <c r="E2690" s="9">
        <v>0.21062499999970896</v>
      </c>
      <c r="F2690" s="10" t="s">
        <v>2981</v>
      </c>
      <c r="G2690" s="10" t="s">
        <v>21</v>
      </c>
      <c r="H2690" s="10" t="s">
        <v>41</v>
      </c>
      <c r="I2690" s="10" t="s">
        <v>23</v>
      </c>
      <c r="J2690" s="11">
        <v>1.77</v>
      </c>
      <c r="K2690" s="12"/>
      <c r="L2690" s="12"/>
      <c r="M2690" s="12"/>
      <c r="N2690" s="12"/>
      <c r="O2690" s="12"/>
      <c r="P2690" s="12"/>
      <c r="Q2690" s="12"/>
      <c r="R2690" s="12"/>
      <c r="S2690" s="12"/>
    </row>
    <row r="2691" spans="1:19" ht="14.25" customHeight="1" x14ac:dyDescent="0.2">
      <c r="A2691" s="1" t="s">
        <v>57</v>
      </c>
      <c r="B2691" s="7">
        <v>46104.203333333331</v>
      </c>
      <c r="C2691" s="7">
        <v>46104.21670138889</v>
      </c>
      <c r="D2691" s="8">
        <v>46104</v>
      </c>
      <c r="E2691" s="9">
        <v>0.21670138889021473</v>
      </c>
      <c r="F2691" s="10" t="s">
        <v>2982</v>
      </c>
      <c r="G2691" s="10" t="s">
        <v>21</v>
      </c>
      <c r="H2691" s="10" t="s">
        <v>303</v>
      </c>
      <c r="I2691" s="10" t="s">
        <v>23</v>
      </c>
      <c r="J2691" s="11">
        <v>1.77</v>
      </c>
      <c r="K2691" s="12"/>
      <c r="L2691" s="12"/>
      <c r="M2691" s="12"/>
      <c r="N2691" s="12"/>
      <c r="O2691" s="12"/>
      <c r="P2691" s="12"/>
      <c r="Q2691" s="12"/>
      <c r="R2691" s="12"/>
      <c r="S2691" s="12"/>
    </row>
    <row r="2692" spans="1:19" ht="14.25" customHeight="1" x14ac:dyDescent="0.2">
      <c r="A2692" s="1" t="s">
        <v>95</v>
      </c>
      <c r="B2692" s="7">
        <v>46104.216319444444</v>
      </c>
      <c r="C2692" s="7">
        <v>46104.217048611114</v>
      </c>
      <c r="D2692" s="8">
        <v>46104</v>
      </c>
      <c r="E2692" s="9">
        <v>0.21704861111356877</v>
      </c>
      <c r="F2692" s="10" t="s">
        <v>2983</v>
      </c>
      <c r="G2692" s="10" t="s">
        <v>21</v>
      </c>
      <c r="H2692" s="10" t="s">
        <v>97</v>
      </c>
      <c r="I2692" s="10" t="s">
        <v>23</v>
      </c>
      <c r="J2692" s="11">
        <v>1.77</v>
      </c>
      <c r="K2692" s="12"/>
      <c r="L2692" s="12"/>
      <c r="M2692" s="12"/>
      <c r="N2692" s="12"/>
      <c r="O2692" s="12"/>
      <c r="P2692" s="12"/>
      <c r="Q2692" s="12"/>
      <c r="R2692" s="12"/>
      <c r="S2692" s="12"/>
    </row>
    <row r="2693" spans="1:19" ht="14.25" customHeight="1" x14ac:dyDescent="0.2">
      <c r="A2693" s="1" t="s">
        <v>24</v>
      </c>
      <c r="B2693" s="7">
        <v>46104.221944444442</v>
      </c>
      <c r="C2693" s="7">
        <v>46104.238726851851</v>
      </c>
      <c r="D2693" s="8">
        <v>46104</v>
      </c>
      <c r="E2693" s="9">
        <v>0.23872685185051523</v>
      </c>
      <c r="F2693" s="10" t="s">
        <v>2984</v>
      </c>
      <c r="G2693" s="10" t="s">
        <v>21</v>
      </c>
      <c r="H2693" s="10" t="s">
        <v>22</v>
      </c>
      <c r="I2693" s="10" t="s">
        <v>23</v>
      </c>
      <c r="J2693" s="11">
        <v>0.83</v>
      </c>
      <c r="K2693" s="12"/>
      <c r="L2693" s="12"/>
      <c r="M2693" s="12"/>
      <c r="N2693" s="12"/>
      <c r="O2693" s="12"/>
      <c r="P2693" s="12"/>
      <c r="Q2693" s="12"/>
      <c r="R2693" s="12"/>
      <c r="S2693" s="12"/>
    </row>
    <row r="2694" spans="1:19" ht="14.25" customHeight="1" x14ac:dyDescent="0.2">
      <c r="A2694" s="1" t="s">
        <v>24</v>
      </c>
      <c r="B2694" s="7">
        <v>46104.228645833333</v>
      </c>
      <c r="C2694" s="7">
        <v>46104.245138888888</v>
      </c>
      <c r="D2694" s="8">
        <v>46104</v>
      </c>
      <c r="E2694" s="9">
        <v>0.24513888888759539</v>
      </c>
      <c r="F2694" s="10" t="s">
        <v>2985</v>
      </c>
      <c r="G2694" s="10" t="s">
        <v>21</v>
      </c>
      <c r="H2694" s="10" t="s">
        <v>22</v>
      </c>
      <c r="I2694" s="10" t="s">
        <v>23</v>
      </c>
      <c r="J2694" s="11">
        <v>0.83</v>
      </c>
      <c r="K2694" s="12"/>
      <c r="L2694" s="12"/>
      <c r="M2694" s="12"/>
      <c r="N2694" s="12"/>
      <c r="O2694" s="12"/>
      <c r="P2694" s="12"/>
      <c r="Q2694" s="12"/>
      <c r="R2694" s="12"/>
      <c r="S2694" s="12"/>
    </row>
    <row r="2695" spans="1:19" ht="14.25" customHeight="1" x14ac:dyDescent="0.2">
      <c r="A2695" s="1" t="s">
        <v>95</v>
      </c>
      <c r="B2695" s="7">
        <v>46104.231400462966</v>
      </c>
      <c r="C2695" s="7">
        <v>46104.245856481481</v>
      </c>
      <c r="D2695" s="8">
        <v>46104</v>
      </c>
      <c r="E2695" s="9">
        <v>0.24585648148058681</v>
      </c>
      <c r="F2695" s="10" t="s">
        <v>2986</v>
      </c>
      <c r="G2695" s="10" t="s">
        <v>21</v>
      </c>
      <c r="H2695" s="10" t="s">
        <v>424</v>
      </c>
      <c r="I2695" s="10" t="s">
        <v>23</v>
      </c>
      <c r="J2695" s="11">
        <v>3.92</v>
      </c>
      <c r="K2695" s="12"/>
      <c r="L2695" s="12"/>
      <c r="M2695" s="12"/>
      <c r="N2695" s="12"/>
      <c r="O2695" s="12"/>
      <c r="P2695" s="12"/>
      <c r="Q2695" s="12"/>
      <c r="R2695" s="12"/>
      <c r="S2695" s="12"/>
    </row>
    <row r="2696" spans="1:19" ht="14.25" customHeight="1" x14ac:dyDescent="0.2">
      <c r="A2696" s="1" t="s">
        <v>24</v>
      </c>
      <c r="B2696" s="7">
        <v>46104.860706018517</v>
      </c>
      <c r="C2696" s="7">
        <v>46104.880219907405</v>
      </c>
      <c r="D2696" s="8">
        <v>46104</v>
      </c>
      <c r="E2696" s="9">
        <v>0.88021990740526235</v>
      </c>
      <c r="F2696" s="10" t="s">
        <v>2987</v>
      </c>
      <c r="G2696" s="10" t="s">
        <v>21</v>
      </c>
      <c r="H2696" s="10" t="s">
        <v>41</v>
      </c>
      <c r="I2696" s="10" t="s">
        <v>23</v>
      </c>
      <c r="J2696" s="11">
        <v>1.77</v>
      </c>
      <c r="K2696" s="12">
        <f>SUM(J2696:J2699,J2701:J2705,J2707:J2715,J2717:J2722,J2724:J2730,J2732:J2738,J2740:J2746,J2748,J2751:J2755,J2757:J2828)</f>
        <v>150.81000000000009</v>
      </c>
      <c r="L2696" s="12">
        <f>SUM(J2696:J2721)</f>
        <v>30.119999999999994</v>
      </c>
      <c r="M2696" s="13">
        <f>L2696*65</f>
        <v>1957.7999999999995</v>
      </c>
      <c r="N2696" s="14">
        <f>MAX(500,M2696)</f>
        <v>1957.7999999999995</v>
      </c>
      <c r="O2696" s="12"/>
      <c r="P2696" s="12"/>
      <c r="Q2696" s="12"/>
      <c r="R2696" s="12"/>
      <c r="S2696" s="12"/>
    </row>
    <row r="2697" spans="1:19" ht="14.25" customHeight="1" x14ac:dyDescent="0.2">
      <c r="A2697" s="1" t="s">
        <v>24</v>
      </c>
      <c r="B2697" s="7">
        <v>46104.856342592589</v>
      </c>
      <c r="C2697" s="7">
        <v>46104.880509259259</v>
      </c>
      <c r="D2697" s="8">
        <v>46104</v>
      </c>
      <c r="E2697" s="9">
        <v>0.88050925925927004</v>
      </c>
      <c r="F2697" s="10" t="s">
        <v>2988</v>
      </c>
      <c r="G2697" s="10" t="s">
        <v>21</v>
      </c>
      <c r="H2697" s="10" t="s">
        <v>101</v>
      </c>
      <c r="I2697" s="10" t="s">
        <v>23</v>
      </c>
      <c r="J2697" s="11">
        <v>1.7</v>
      </c>
      <c r="K2697" s="12"/>
      <c r="L2697" s="12"/>
      <c r="M2697" s="12"/>
      <c r="N2697" s="12"/>
      <c r="O2697" s="12"/>
      <c r="P2697" s="12"/>
      <c r="Q2697" s="12"/>
      <c r="R2697" s="12"/>
      <c r="S2697" s="12"/>
    </row>
    <row r="2698" spans="1:19" ht="14.25" customHeight="1" x14ac:dyDescent="0.2">
      <c r="A2698" s="1" t="s">
        <v>63</v>
      </c>
      <c r="B2698" s="7">
        <v>46104.865451388891</v>
      </c>
      <c r="C2698" s="7">
        <v>46104.883958333332</v>
      </c>
      <c r="D2698" s="8">
        <v>46104</v>
      </c>
      <c r="E2698" s="9">
        <v>0.88395833333197515</v>
      </c>
      <c r="F2698" s="10" t="s">
        <v>2989</v>
      </c>
      <c r="G2698" s="10" t="s">
        <v>21</v>
      </c>
      <c r="H2698" s="10" t="s">
        <v>1535</v>
      </c>
      <c r="I2698" s="10" t="s">
        <v>23</v>
      </c>
      <c r="J2698" s="11">
        <v>1.7</v>
      </c>
      <c r="K2698" s="12"/>
      <c r="L2698" s="12"/>
      <c r="M2698" s="12"/>
      <c r="N2698" s="12"/>
      <c r="O2698" s="12"/>
      <c r="P2698" s="12"/>
      <c r="Q2698" s="12"/>
      <c r="R2698" s="12"/>
      <c r="S2698" s="12"/>
    </row>
    <row r="2699" spans="1:19" ht="14.25" customHeight="1" x14ac:dyDescent="0.2">
      <c r="A2699" s="1" t="s">
        <v>42</v>
      </c>
      <c r="B2699" s="7">
        <v>46104.85056712963</v>
      </c>
      <c r="C2699" s="7">
        <v>46104.884780092594</v>
      </c>
      <c r="D2699" s="8">
        <v>46104</v>
      </c>
      <c r="E2699" s="9">
        <v>0.88478009259415558</v>
      </c>
      <c r="F2699" s="10" t="s">
        <v>2990</v>
      </c>
      <c r="G2699" s="10" t="s">
        <v>26</v>
      </c>
      <c r="H2699" s="10" t="s">
        <v>172</v>
      </c>
      <c r="I2699" s="10" t="s">
        <v>23</v>
      </c>
      <c r="J2699" s="11">
        <v>0.67</v>
      </c>
      <c r="K2699" s="12"/>
      <c r="L2699" s="12"/>
      <c r="M2699" s="12"/>
      <c r="N2699" s="12"/>
      <c r="O2699" s="12"/>
      <c r="P2699" s="12"/>
      <c r="Q2699" s="12"/>
      <c r="R2699" s="12"/>
      <c r="S2699" s="12"/>
    </row>
    <row r="2700" spans="1:19" ht="14.25" customHeight="1" x14ac:dyDescent="0.2">
      <c r="A2700" s="22" t="s">
        <v>19</v>
      </c>
      <c r="B2700" s="23">
        <v>46104.862187500003</v>
      </c>
      <c r="C2700" s="23">
        <v>46104.886087962965</v>
      </c>
      <c r="D2700" s="24">
        <v>46104</v>
      </c>
      <c r="E2700" s="25">
        <v>0.88608796296466608</v>
      </c>
      <c r="F2700" s="22" t="s">
        <v>2991</v>
      </c>
      <c r="G2700" s="22" t="s">
        <v>21</v>
      </c>
      <c r="H2700" s="22" t="s">
        <v>101</v>
      </c>
      <c r="I2700" s="22" t="s">
        <v>583</v>
      </c>
      <c r="J2700" s="26">
        <v>1.7</v>
      </c>
      <c r="K2700" s="26"/>
      <c r="L2700" s="26"/>
      <c r="M2700" s="26"/>
      <c r="N2700" s="26"/>
      <c r="O2700" s="26"/>
      <c r="P2700" s="26"/>
      <c r="Q2700" s="26"/>
      <c r="R2700" s="26"/>
      <c r="S2700" s="26"/>
    </row>
    <row r="2701" spans="1:19" ht="14.25" customHeight="1" x14ac:dyDescent="0.2">
      <c r="A2701" s="1" t="s">
        <v>19</v>
      </c>
      <c r="B2701" s="7">
        <v>46104.875891203701</v>
      </c>
      <c r="C2701" s="7">
        <v>46104.887743055559</v>
      </c>
      <c r="D2701" s="8">
        <v>46104</v>
      </c>
      <c r="E2701" s="9">
        <v>0.88774305555853061</v>
      </c>
      <c r="F2701" s="10" t="s">
        <v>2992</v>
      </c>
      <c r="G2701" s="10" t="s">
        <v>21</v>
      </c>
      <c r="H2701" s="10" t="s">
        <v>22</v>
      </c>
      <c r="I2701" s="10" t="s">
        <v>23</v>
      </c>
      <c r="J2701" s="11">
        <v>0.83</v>
      </c>
      <c r="K2701" s="12"/>
      <c r="L2701" s="12"/>
      <c r="M2701" s="12"/>
      <c r="N2701" s="12"/>
      <c r="O2701" s="12"/>
      <c r="P2701" s="12"/>
      <c r="Q2701" s="12"/>
      <c r="R2701" s="12"/>
      <c r="S2701" s="12"/>
    </row>
    <row r="2702" spans="1:19" ht="14.25" customHeight="1" x14ac:dyDescent="0.2">
      <c r="A2702" s="1" t="s">
        <v>28</v>
      </c>
      <c r="B2702" s="7">
        <v>46104.867534722223</v>
      </c>
      <c r="C2702" s="7">
        <v>46104.888009259259</v>
      </c>
      <c r="D2702" s="8">
        <v>46104</v>
      </c>
      <c r="E2702" s="9">
        <v>0.888009259258979</v>
      </c>
      <c r="F2702" s="10" t="s">
        <v>2993</v>
      </c>
      <c r="G2702" s="10" t="s">
        <v>21</v>
      </c>
      <c r="H2702" s="10" t="s">
        <v>22</v>
      </c>
      <c r="I2702" s="10" t="s">
        <v>23</v>
      </c>
      <c r="J2702" s="11">
        <v>0.83</v>
      </c>
      <c r="K2702" s="12"/>
      <c r="L2702" s="12"/>
      <c r="M2702" s="12"/>
      <c r="N2702" s="12"/>
      <c r="O2702" s="12"/>
      <c r="P2702" s="12"/>
      <c r="Q2702" s="12"/>
      <c r="R2702" s="12"/>
      <c r="S2702" s="12"/>
    </row>
    <row r="2703" spans="1:19" ht="14.25" customHeight="1" x14ac:dyDescent="0.2">
      <c r="A2703" s="1" t="s">
        <v>19</v>
      </c>
      <c r="B2703" s="7">
        <v>46104.877175925925</v>
      </c>
      <c r="C2703" s="7">
        <v>46104.888425925928</v>
      </c>
      <c r="D2703" s="8">
        <v>46104</v>
      </c>
      <c r="E2703" s="9">
        <v>0.88842592592845904</v>
      </c>
      <c r="F2703" s="10" t="s">
        <v>2994</v>
      </c>
      <c r="G2703" s="10" t="s">
        <v>21</v>
      </c>
      <c r="H2703" s="10" t="s">
        <v>22</v>
      </c>
      <c r="I2703" s="10" t="s">
        <v>23</v>
      </c>
      <c r="J2703" s="11">
        <v>0.83</v>
      </c>
      <c r="K2703" s="12"/>
      <c r="L2703" s="12"/>
      <c r="M2703" s="12"/>
      <c r="N2703" s="12"/>
      <c r="O2703" s="12"/>
      <c r="P2703" s="12"/>
      <c r="Q2703" s="12"/>
      <c r="R2703" s="12"/>
      <c r="S2703" s="12"/>
    </row>
    <row r="2704" spans="1:19" ht="14.25" customHeight="1" x14ac:dyDescent="0.2">
      <c r="A2704" s="1" t="s">
        <v>28</v>
      </c>
      <c r="B2704" s="7">
        <v>46104.869386574072</v>
      </c>
      <c r="C2704" s="7">
        <v>46104.888773148145</v>
      </c>
      <c r="D2704" s="8">
        <v>46104</v>
      </c>
      <c r="E2704" s="9">
        <v>0.88877314814453712</v>
      </c>
      <c r="F2704" s="10" t="s">
        <v>2995</v>
      </c>
      <c r="G2704" s="10" t="s">
        <v>21</v>
      </c>
      <c r="H2704" s="10" t="s">
        <v>41</v>
      </c>
      <c r="I2704" s="10" t="s">
        <v>23</v>
      </c>
      <c r="J2704" s="11">
        <v>1.77</v>
      </c>
      <c r="K2704" s="12"/>
      <c r="L2704" s="12"/>
      <c r="M2704" s="12"/>
      <c r="N2704" s="12"/>
      <c r="O2704" s="12"/>
      <c r="P2704" s="12"/>
      <c r="Q2704" s="12"/>
      <c r="R2704" s="12"/>
      <c r="S2704" s="12"/>
    </row>
    <row r="2705" spans="1:19" ht="14.25" customHeight="1" x14ac:dyDescent="0.2">
      <c r="A2705" s="1" t="s">
        <v>28</v>
      </c>
      <c r="B2705" s="7">
        <v>46104.869386574072</v>
      </c>
      <c r="C2705" s="7">
        <v>46104.891238425924</v>
      </c>
      <c r="D2705" s="8">
        <v>46104</v>
      </c>
      <c r="E2705" s="9">
        <v>0.89123842592380242</v>
      </c>
      <c r="F2705" s="10" t="s">
        <v>2996</v>
      </c>
      <c r="G2705" s="10" t="s">
        <v>21</v>
      </c>
      <c r="H2705" s="10" t="s">
        <v>1082</v>
      </c>
      <c r="I2705" s="10" t="s">
        <v>23</v>
      </c>
      <c r="J2705" s="11">
        <v>1.19</v>
      </c>
      <c r="K2705" s="12"/>
      <c r="L2705" s="12"/>
      <c r="M2705" s="12"/>
      <c r="N2705" s="12"/>
      <c r="O2705" s="12"/>
      <c r="P2705" s="12"/>
      <c r="Q2705" s="12"/>
      <c r="R2705" s="12"/>
      <c r="S2705" s="12"/>
    </row>
    <row r="2706" spans="1:19" ht="14.25" customHeight="1" x14ac:dyDescent="0.2">
      <c r="A2706" s="22" t="s">
        <v>24</v>
      </c>
      <c r="B2706" s="23">
        <v>46104.848564814813</v>
      </c>
      <c r="C2706" s="23">
        <v>46104.895868055559</v>
      </c>
      <c r="D2706" s="24">
        <v>46104</v>
      </c>
      <c r="E2706" s="25">
        <v>0.89586805555882165</v>
      </c>
      <c r="F2706" s="22" t="s">
        <v>2997</v>
      </c>
      <c r="G2706" s="22" t="s">
        <v>21</v>
      </c>
      <c r="H2706" s="22" t="s">
        <v>41</v>
      </c>
      <c r="I2706" s="22" t="s">
        <v>583</v>
      </c>
      <c r="J2706" s="26">
        <v>1.77</v>
      </c>
      <c r="K2706" s="26"/>
      <c r="L2706" s="26"/>
      <c r="M2706" s="26"/>
      <c r="N2706" s="26"/>
      <c r="O2706" s="26"/>
      <c r="P2706" s="26"/>
      <c r="Q2706" s="26"/>
      <c r="R2706" s="26"/>
      <c r="S2706" s="26"/>
    </row>
    <row r="2707" spans="1:19" ht="14.25" customHeight="1" x14ac:dyDescent="0.2">
      <c r="A2707" s="1" t="s">
        <v>24</v>
      </c>
      <c r="B2707" s="7">
        <v>46104.865844907406</v>
      </c>
      <c r="C2707" s="7">
        <v>46104.898611111108</v>
      </c>
      <c r="D2707" s="8">
        <v>46104</v>
      </c>
      <c r="E2707" s="9">
        <v>0.89861111110803904</v>
      </c>
      <c r="F2707" s="10" t="s">
        <v>2998</v>
      </c>
      <c r="G2707" s="10" t="s">
        <v>21</v>
      </c>
      <c r="H2707" s="10" t="s">
        <v>22</v>
      </c>
      <c r="I2707" s="10" t="s">
        <v>23</v>
      </c>
      <c r="J2707" s="11">
        <v>0.83</v>
      </c>
      <c r="K2707" s="12"/>
      <c r="L2707" s="12"/>
      <c r="M2707" s="12"/>
      <c r="N2707" s="12"/>
      <c r="O2707" s="12"/>
      <c r="P2707" s="12"/>
      <c r="Q2707" s="12"/>
      <c r="R2707" s="12"/>
      <c r="S2707" s="12"/>
    </row>
    <row r="2708" spans="1:19" ht="14.25" customHeight="1" x14ac:dyDescent="0.2">
      <c r="A2708" s="1" t="s">
        <v>28</v>
      </c>
      <c r="B2708" s="7">
        <v>46104.884583333333</v>
      </c>
      <c r="C2708" s="7">
        <v>46104.899004629631</v>
      </c>
      <c r="D2708" s="8">
        <v>46104</v>
      </c>
      <c r="E2708" s="9">
        <v>0.89900462963123573</v>
      </c>
      <c r="F2708" s="10" t="s">
        <v>2999</v>
      </c>
      <c r="G2708" s="10" t="s">
        <v>21</v>
      </c>
      <c r="H2708" s="10" t="s">
        <v>22</v>
      </c>
      <c r="I2708" s="10" t="s">
        <v>23</v>
      </c>
      <c r="J2708" s="11">
        <v>0.83</v>
      </c>
      <c r="K2708" s="12"/>
      <c r="L2708" s="12"/>
      <c r="M2708" s="12"/>
      <c r="N2708" s="12"/>
      <c r="O2708" s="12"/>
      <c r="P2708" s="12"/>
      <c r="Q2708" s="12"/>
      <c r="R2708" s="12"/>
      <c r="S2708" s="12"/>
    </row>
    <row r="2709" spans="1:19" ht="14.25" customHeight="1" x14ac:dyDescent="0.2">
      <c r="A2709" s="1" t="s">
        <v>28</v>
      </c>
      <c r="B2709" s="7">
        <v>46104.886087962965</v>
      </c>
      <c r="C2709" s="7">
        <v>46104.9</v>
      </c>
      <c r="D2709" s="8">
        <v>46104</v>
      </c>
      <c r="E2709" s="9">
        <v>0.90000000000145519</v>
      </c>
      <c r="F2709" s="10" t="s">
        <v>3000</v>
      </c>
      <c r="G2709" s="10" t="s">
        <v>21</v>
      </c>
      <c r="H2709" s="10" t="s">
        <v>52</v>
      </c>
      <c r="I2709" s="10" t="s">
        <v>23</v>
      </c>
      <c r="J2709" s="11">
        <v>0.98</v>
      </c>
      <c r="K2709" s="12"/>
      <c r="L2709" s="12"/>
      <c r="M2709" s="12"/>
      <c r="N2709" s="12"/>
      <c r="O2709" s="12"/>
      <c r="P2709" s="12"/>
      <c r="Q2709" s="12"/>
      <c r="R2709" s="12"/>
      <c r="S2709" s="12"/>
    </row>
    <row r="2710" spans="1:19" ht="14.25" customHeight="1" x14ac:dyDescent="0.2">
      <c r="A2710" s="1" t="s">
        <v>24</v>
      </c>
      <c r="B2710" s="7">
        <v>46104.865844907406</v>
      </c>
      <c r="C2710" s="7">
        <v>46104.900196759256</v>
      </c>
      <c r="D2710" s="8">
        <v>46104</v>
      </c>
      <c r="E2710" s="9">
        <v>0.90019675925577758</v>
      </c>
      <c r="F2710" s="10" t="s">
        <v>3001</v>
      </c>
      <c r="G2710" s="10" t="s">
        <v>21</v>
      </c>
      <c r="H2710" s="10" t="s">
        <v>52</v>
      </c>
      <c r="I2710" s="10" t="s">
        <v>23</v>
      </c>
      <c r="J2710" s="11">
        <v>0.98</v>
      </c>
      <c r="K2710" s="12"/>
      <c r="L2710" s="12"/>
      <c r="M2710" s="12"/>
      <c r="N2710" s="12"/>
      <c r="O2710" s="12"/>
      <c r="P2710" s="12"/>
      <c r="Q2710" s="12"/>
      <c r="R2710" s="12"/>
      <c r="S2710" s="12"/>
    </row>
    <row r="2711" spans="1:19" ht="14.25" customHeight="1" x14ac:dyDescent="0.2">
      <c r="A2711" s="1" t="s">
        <v>24</v>
      </c>
      <c r="B2711" s="7">
        <v>46104.88003472222</v>
      </c>
      <c r="C2711" s="7">
        <v>46104.900706018518</v>
      </c>
      <c r="D2711" s="8">
        <v>46104</v>
      </c>
      <c r="E2711" s="9">
        <v>0.90070601851766696</v>
      </c>
      <c r="F2711" s="10" t="s">
        <v>3002</v>
      </c>
      <c r="G2711" s="10" t="s">
        <v>21</v>
      </c>
      <c r="H2711" s="10" t="s">
        <v>101</v>
      </c>
      <c r="I2711" s="10" t="s">
        <v>23</v>
      </c>
      <c r="J2711" s="11">
        <v>1.7</v>
      </c>
      <c r="K2711" s="12"/>
      <c r="L2711" s="12"/>
      <c r="M2711" s="12"/>
      <c r="N2711" s="12"/>
      <c r="O2711" s="12"/>
      <c r="P2711" s="12"/>
      <c r="Q2711" s="12"/>
      <c r="R2711" s="12"/>
      <c r="S2711" s="12"/>
    </row>
    <row r="2712" spans="1:19" ht="14.25" customHeight="1" x14ac:dyDescent="0.2">
      <c r="A2712" s="1" t="s">
        <v>28</v>
      </c>
      <c r="B2712" s="7">
        <v>46104.873761574076</v>
      </c>
      <c r="C2712" s="7">
        <v>46104.903854166667</v>
      </c>
      <c r="D2712" s="8">
        <v>46104</v>
      </c>
      <c r="E2712" s="9">
        <v>0.90385416666686069</v>
      </c>
      <c r="F2712" s="10" t="s">
        <v>3003</v>
      </c>
      <c r="G2712" s="10" t="s">
        <v>26</v>
      </c>
      <c r="H2712" s="10" t="s">
        <v>128</v>
      </c>
      <c r="I2712" s="10" t="s">
        <v>23</v>
      </c>
      <c r="J2712" s="11">
        <v>0.97</v>
      </c>
      <c r="K2712" s="12"/>
      <c r="L2712" s="12"/>
      <c r="M2712" s="12"/>
      <c r="N2712" s="12"/>
      <c r="O2712" s="12"/>
      <c r="P2712" s="12"/>
      <c r="Q2712" s="12"/>
      <c r="R2712" s="12"/>
      <c r="S2712" s="12"/>
    </row>
    <row r="2713" spans="1:19" ht="14.25" customHeight="1" x14ac:dyDescent="0.2">
      <c r="A2713" s="1" t="s">
        <v>28</v>
      </c>
      <c r="B2713" s="7">
        <v>46104.893993055557</v>
      </c>
      <c r="C2713" s="7">
        <v>46104.904085648152</v>
      </c>
      <c r="D2713" s="8">
        <v>46104</v>
      </c>
      <c r="E2713" s="9">
        <v>0.90408564815152204</v>
      </c>
      <c r="F2713" s="10" t="s">
        <v>3004</v>
      </c>
      <c r="G2713" s="10" t="s">
        <v>21</v>
      </c>
      <c r="H2713" s="10" t="s">
        <v>216</v>
      </c>
      <c r="I2713" s="10" t="s">
        <v>23</v>
      </c>
      <c r="J2713" s="11">
        <v>0.98</v>
      </c>
      <c r="K2713" s="12"/>
      <c r="L2713" s="12"/>
      <c r="M2713" s="12"/>
      <c r="N2713" s="12"/>
      <c r="O2713" s="12"/>
      <c r="P2713" s="12"/>
      <c r="Q2713" s="12"/>
      <c r="R2713" s="12"/>
      <c r="S2713" s="12"/>
    </row>
    <row r="2714" spans="1:19" ht="14.25" customHeight="1" x14ac:dyDescent="0.2">
      <c r="A2714" s="1" t="s">
        <v>28</v>
      </c>
      <c r="B2714" s="7">
        <v>46104.887453703705</v>
      </c>
      <c r="C2714" s="7">
        <v>46104.904236111113</v>
      </c>
      <c r="D2714" s="8">
        <v>46104</v>
      </c>
      <c r="E2714" s="9">
        <v>0.90423611111327773</v>
      </c>
      <c r="F2714" s="10" t="s">
        <v>3005</v>
      </c>
      <c r="G2714" s="10" t="s">
        <v>21</v>
      </c>
      <c r="H2714" s="10" t="s">
        <v>216</v>
      </c>
      <c r="I2714" s="10" t="s">
        <v>23</v>
      </c>
      <c r="J2714" s="11">
        <v>0.98</v>
      </c>
      <c r="K2714" s="12"/>
      <c r="L2714" s="12"/>
      <c r="M2714" s="12"/>
      <c r="N2714" s="12"/>
      <c r="O2714" s="12"/>
      <c r="P2714" s="12"/>
      <c r="Q2714" s="12"/>
      <c r="R2714" s="12"/>
      <c r="S2714" s="12"/>
    </row>
    <row r="2715" spans="1:19" ht="14.25" customHeight="1" x14ac:dyDescent="0.2">
      <c r="A2715" s="1" t="s">
        <v>33</v>
      </c>
      <c r="B2715" s="7">
        <v>46104.885335648149</v>
      </c>
      <c r="C2715" s="7">
        <v>46104.904988425929</v>
      </c>
      <c r="D2715" s="8">
        <v>46104</v>
      </c>
      <c r="E2715" s="9">
        <v>0.90498842592933215</v>
      </c>
      <c r="F2715" s="10" t="s">
        <v>3006</v>
      </c>
      <c r="G2715" s="10" t="s">
        <v>26</v>
      </c>
      <c r="H2715" s="10" t="s">
        <v>205</v>
      </c>
      <c r="I2715" s="10" t="s">
        <v>23</v>
      </c>
      <c r="J2715" s="11">
        <v>0.57999999999999996</v>
      </c>
      <c r="K2715" s="12"/>
      <c r="L2715" s="12"/>
      <c r="M2715" s="12"/>
      <c r="N2715" s="12"/>
      <c r="O2715" s="12"/>
      <c r="P2715" s="12"/>
      <c r="Q2715" s="12"/>
      <c r="R2715" s="12"/>
      <c r="S2715" s="12"/>
    </row>
    <row r="2716" spans="1:19" ht="14.25" customHeight="1" x14ac:dyDescent="0.2">
      <c r="A2716" s="22" t="s">
        <v>24</v>
      </c>
      <c r="B2716" s="23">
        <v>46104.874398148146</v>
      </c>
      <c r="C2716" s="23">
        <v>46104.905833333331</v>
      </c>
      <c r="D2716" s="24">
        <v>46104</v>
      </c>
      <c r="E2716" s="25">
        <v>0.90583333333051996</v>
      </c>
      <c r="F2716" s="22" t="s">
        <v>3007</v>
      </c>
      <c r="G2716" s="22" t="s">
        <v>21</v>
      </c>
      <c r="H2716" s="22" t="s">
        <v>39</v>
      </c>
      <c r="I2716" s="22" t="s">
        <v>583</v>
      </c>
      <c r="J2716" s="26">
        <v>1.77</v>
      </c>
      <c r="K2716" s="26"/>
      <c r="L2716" s="26"/>
      <c r="M2716" s="26"/>
      <c r="N2716" s="26"/>
      <c r="O2716" s="26"/>
      <c r="P2716" s="26"/>
      <c r="Q2716" s="26"/>
      <c r="R2716" s="26"/>
      <c r="S2716" s="26"/>
    </row>
    <row r="2717" spans="1:19" ht="14.25" customHeight="1" x14ac:dyDescent="0.2">
      <c r="A2717" s="1" t="s">
        <v>24</v>
      </c>
      <c r="B2717" s="7">
        <v>46104.863275462965</v>
      </c>
      <c r="C2717" s="7">
        <v>46104.910486111112</v>
      </c>
      <c r="D2717" s="8">
        <v>46104</v>
      </c>
      <c r="E2717" s="9">
        <v>0.91048611111182254</v>
      </c>
      <c r="F2717" s="10" t="s">
        <v>3008</v>
      </c>
      <c r="G2717" s="10" t="s">
        <v>364</v>
      </c>
      <c r="H2717" s="10" t="s">
        <v>365</v>
      </c>
      <c r="I2717" s="10" t="s">
        <v>23</v>
      </c>
      <c r="J2717" s="11">
        <v>0.72</v>
      </c>
      <c r="K2717" s="12"/>
      <c r="L2717" s="12"/>
      <c r="M2717" s="12"/>
      <c r="N2717" s="12"/>
      <c r="O2717" s="12"/>
      <c r="P2717" s="12"/>
      <c r="Q2717" s="12"/>
      <c r="R2717" s="12"/>
      <c r="S2717" s="12"/>
    </row>
    <row r="2718" spans="1:19" ht="14.25" customHeight="1" x14ac:dyDescent="0.2">
      <c r="A2718" s="1" t="s">
        <v>42</v>
      </c>
      <c r="B2718" s="7">
        <v>46104.872893518521</v>
      </c>
      <c r="C2718" s="7">
        <v>46104.913472222222</v>
      </c>
      <c r="D2718" s="8">
        <v>46104</v>
      </c>
      <c r="E2718" s="9">
        <v>0.91347222222248092</v>
      </c>
      <c r="F2718" s="10" t="s">
        <v>3009</v>
      </c>
      <c r="G2718" s="10" t="s">
        <v>26</v>
      </c>
      <c r="H2718" s="10" t="s">
        <v>56</v>
      </c>
      <c r="I2718" s="10" t="s">
        <v>23</v>
      </c>
      <c r="J2718" s="11">
        <v>0.73</v>
      </c>
      <c r="K2718" s="12"/>
      <c r="L2718" s="12"/>
      <c r="M2718" s="12"/>
      <c r="N2718" s="12"/>
      <c r="O2718" s="12"/>
      <c r="P2718" s="12"/>
      <c r="Q2718" s="12"/>
      <c r="R2718" s="12"/>
      <c r="S2718" s="12"/>
    </row>
    <row r="2719" spans="1:19" ht="14.25" customHeight="1" x14ac:dyDescent="0.2">
      <c r="A2719" s="1" t="s">
        <v>42</v>
      </c>
      <c r="B2719" s="7">
        <v>46104.884675925925</v>
      </c>
      <c r="C2719" s="7">
        <v>46104.914097222223</v>
      </c>
      <c r="D2719" s="8">
        <v>46104</v>
      </c>
      <c r="E2719" s="9">
        <v>0.914097222223063</v>
      </c>
      <c r="F2719" s="10" t="s">
        <v>3010</v>
      </c>
      <c r="G2719" s="10" t="s">
        <v>26</v>
      </c>
      <c r="H2719" s="10" t="s">
        <v>56</v>
      </c>
      <c r="I2719" s="10" t="s">
        <v>23</v>
      </c>
      <c r="J2719" s="11">
        <v>0.73</v>
      </c>
      <c r="K2719" s="12"/>
      <c r="L2719" s="12"/>
      <c r="M2719" s="12"/>
      <c r="N2719" s="12"/>
      <c r="O2719" s="12"/>
      <c r="P2719" s="12"/>
      <c r="Q2719" s="12"/>
      <c r="R2719" s="12"/>
      <c r="S2719" s="12"/>
    </row>
    <row r="2720" spans="1:19" ht="14.25" customHeight="1" x14ac:dyDescent="0.2">
      <c r="A2720" s="1" t="s">
        <v>24</v>
      </c>
      <c r="B2720" s="7">
        <v>46104.89644675926</v>
      </c>
      <c r="C2720" s="7">
        <v>46104.9143287037</v>
      </c>
      <c r="D2720" s="8">
        <v>46104</v>
      </c>
      <c r="E2720" s="9">
        <v>0.91432870370044839</v>
      </c>
      <c r="F2720" s="10" t="s">
        <v>3011</v>
      </c>
      <c r="G2720" s="10" t="s">
        <v>26</v>
      </c>
      <c r="H2720" s="10" t="s">
        <v>86</v>
      </c>
      <c r="I2720" s="10" t="s">
        <v>23</v>
      </c>
      <c r="J2720" s="11">
        <v>0.88</v>
      </c>
      <c r="K2720" s="12"/>
      <c r="L2720" s="12"/>
      <c r="M2720" s="12"/>
      <c r="N2720" s="12"/>
      <c r="O2720" s="12"/>
      <c r="P2720" s="12"/>
      <c r="Q2720" s="12"/>
      <c r="R2720" s="12"/>
      <c r="S2720" s="12"/>
    </row>
    <row r="2721" spans="1:19" ht="14.25" customHeight="1" x14ac:dyDescent="0.2">
      <c r="A2721" s="1" t="s">
        <v>24</v>
      </c>
      <c r="B2721" s="7">
        <v>46104.895300925928</v>
      </c>
      <c r="C2721" s="7">
        <v>46104.915590277778</v>
      </c>
      <c r="D2721" s="8">
        <v>46104</v>
      </c>
      <c r="E2721" s="9">
        <v>0.91559027777839219</v>
      </c>
      <c r="F2721" s="10" t="s">
        <v>3012</v>
      </c>
      <c r="G2721" s="10" t="s">
        <v>21</v>
      </c>
      <c r="H2721" s="10" t="s">
        <v>101</v>
      </c>
      <c r="I2721" s="10" t="s">
        <v>23</v>
      </c>
      <c r="J2721" s="11">
        <v>1.7</v>
      </c>
      <c r="K2721" s="12"/>
      <c r="L2721" s="12"/>
      <c r="M2721" s="12"/>
      <c r="N2721" s="12"/>
      <c r="O2721" s="12"/>
      <c r="P2721" s="12"/>
      <c r="Q2721" s="12"/>
      <c r="R2721" s="12"/>
      <c r="S2721" s="12"/>
    </row>
    <row r="2722" spans="1:19" ht="14.25" customHeight="1" x14ac:dyDescent="0.2">
      <c r="A2722" s="1" t="s">
        <v>28</v>
      </c>
      <c r="B2722" s="7">
        <v>46104.869386574072</v>
      </c>
      <c r="C2722" s="7">
        <v>46104.916666666664</v>
      </c>
      <c r="D2722" s="8">
        <v>46104</v>
      </c>
      <c r="E2722" s="9">
        <v>0.91666666666424135</v>
      </c>
      <c r="F2722" s="10" t="s">
        <v>3013</v>
      </c>
      <c r="G2722" s="10" t="s">
        <v>21</v>
      </c>
      <c r="H2722" s="10" t="s">
        <v>281</v>
      </c>
      <c r="I2722" s="10" t="s">
        <v>23</v>
      </c>
      <c r="J2722" s="11">
        <v>2.5</v>
      </c>
      <c r="K2722" s="12"/>
      <c r="L2722" s="12">
        <f>SUM(J2722:J2755)</f>
        <v>40.340000000000003</v>
      </c>
      <c r="M2722" s="13">
        <f>L2722*65</f>
        <v>2622.1000000000004</v>
      </c>
      <c r="N2722" s="14">
        <f>MAX(500,M2722)</f>
        <v>2622.1000000000004</v>
      </c>
      <c r="O2722" s="12"/>
      <c r="P2722" s="12"/>
      <c r="Q2722" s="12"/>
      <c r="R2722" s="12"/>
      <c r="S2722" s="12"/>
    </row>
    <row r="2723" spans="1:19" ht="14.25" customHeight="1" x14ac:dyDescent="0.2">
      <c r="A2723" s="22" t="s">
        <v>63</v>
      </c>
      <c r="B2723" s="23">
        <v>46104.852881944447</v>
      </c>
      <c r="C2723" s="23">
        <v>46104.91679398148</v>
      </c>
      <c r="D2723" s="24">
        <v>46104</v>
      </c>
      <c r="E2723" s="25">
        <v>0.91679398147971369</v>
      </c>
      <c r="F2723" s="22" t="s">
        <v>3014</v>
      </c>
      <c r="G2723" s="22" t="s">
        <v>21</v>
      </c>
      <c r="H2723" s="22" t="s">
        <v>1535</v>
      </c>
      <c r="I2723" s="22" t="s">
        <v>583</v>
      </c>
      <c r="J2723" s="26">
        <v>1.7</v>
      </c>
      <c r="K2723" s="26"/>
      <c r="L2723" s="26"/>
      <c r="M2723" s="26"/>
      <c r="N2723" s="26"/>
      <c r="O2723" s="26"/>
      <c r="P2723" s="26"/>
      <c r="Q2723" s="26"/>
      <c r="R2723" s="26"/>
      <c r="S2723" s="26"/>
    </row>
    <row r="2724" spans="1:19" ht="14.25" customHeight="1" x14ac:dyDescent="0.2">
      <c r="A2724" s="1" t="s">
        <v>42</v>
      </c>
      <c r="B2724" s="7">
        <v>46104.885983796295</v>
      </c>
      <c r="C2724" s="7">
        <v>46104.916956018518</v>
      </c>
      <c r="D2724" s="8">
        <v>46104</v>
      </c>
      <c r="E2724" s="9">
        <v>0.91695601851824904</v>
      </c>
      <c r="F2724" s="10" t="s">
        <v>3015</v>
      </c>
      <c r="G2724" s="10" t="s">
        <v>26</v>
      </c>
      <c r="H2724" s="10" t="s">
        <v>76</v>
      </c>
      <c r="I2724" s="10" t="s">
        <v>23</v>
      </c>
      <c r="J2724" s="11">
        <v>0.75</v>
      </c>
      <c r="K2724" s="12"/>
      <c r="L2724" s="12"/>
      <c r="M2724" s="12"/>
      <c r="N2724" s="12"/>
      <c r="O2724" s="12"/>
      <c r="P2724" s="12"/>
      <c r="Q2724" s="12"/>
      <c r="R2724" s="12"/>
      <c r="S2724" s="12"/>
    </row>
    <row r="2725" spans="1:19" ht="14.25" customHeight="1" x14ac:dyDescent="0.2">
      <c r="A2725" s="1" t="s">
        <v>57</v>
      </c>
      <c r="B2725" s="7">
        <v>46104.916076388887</v>
      </c>
      <c r="C2725" s="7">
        <v>46104.922326388885</v>
      </c>
      <c r="D2725" s="8">
        <v>46104</v>
      </c>
      <c r="E2725" s="9">
        <v>0.92232638888526708</v>
      </c>
      <c r="F2725" s="10" t="s">
        <v>3016</v>
      </c>
      <c r="G2725" s="10" t="s">
        <v>21</v>
      </c>
      <c r="H2725" s="10" t="s">
        <v>687</v>
      </c>
      <c r="I2725" s="10" t="s">
        <v>23</v>
      </c>
      <c r="J2725" s="11">
        <v>1.7</v>
      </c>
      <c r="K2725" s="12"/>
      <c r="L2725" s="12"/>
      <c r="M2725" s="12"/>
      <c r="N2725" s="12"/>
      <c r="O2725" s="12"/>
      <c r="P2725" s="12"/>
      <c r="Q2725" s="12"/>
      <c r="R2725" s="12"/>
      <c r="S2725" s="12"/>
    </row>
    <row r="2726" spans="1:19" ht="14.25" customHeight="1" x14ac:dyDescent="0.2">
      <c r="A2726" s="1" t="s">
        <v>19</v>
      </c>
      <c r="B2726" s="7">
        <v>46104.896365740744</v>
      </c>
      <c r="C2726" s="7">
        <v>46104.922581018516</v>
      </c>
      <c r="D2726" s="8">
        <v>46104</v>
      </c>
      <c r="E2726" s="9">
        <v>0.92258101851621177</v>
      </c>
      <c r="F2726" s="10" t="s">
        <v>3017</v>
      </c>
      <c r="G2726" s="10" t="s">
        <v>44</v>
      </c>
      <c r="H2726" s="10" t="s">
        <v>1522</v>
      </c>
      <c r="I2726" s="10" t="s">
        <v>23</v>
      </c>
      <c r="J2726" s="11">
        <v>0.18</v>
      </c>
      <c r="K2726" s="12"/>
      <c r="L2726" s="12"/>
      <c r="M2726" s="12"/>
      <c r="N2726" s="12"/>
      <c r="O2726" s="12"/>
      <c r="P2726" s="12"/>
      <c r="Q2726" s="12"/>
      <c r="R2726" s="12"/>
      <c r="S2726" s="12"/>
    </row>
    <row r="2727" spans="1:19" ht="14.25" customHeight="1" x14ac:dyDescent="0.2">
      <c r="A2727" s="1" t="s">
        <v>19</v>
      </c>
      <c r="B2727" s="7">
        <v>46104.916354166664</v>
      </c>
      <c r="C2727" s="7">
        <v>46104.922847222224</v>
      </c>
      <c r="D2727" s="8">
        <v>46104</v>
      </c>
      <c r="E2727" s="9">
        <v>0.92284722222393611</v>
      </c>
      <c r="F2727" s="10" t="s">
        <v>3018</v>
      </c>
      <c r="G2727" s="10" t="s">
        <v>21</v>
      </c>
      <c r="H2727" s="10" t="s">
        <v>22</v>
      </c>
      <c r="I2727" s="10" t="s">
        <v>23</v>
      </c>
      <c r="J2727" s="11">
        <v>0.83</v>
      </c>
      <c r="K2727" s="12"/>
      <c r="L2727" s="12"/>
      <c r="M2727" s="12"/>
      <c r="N2727" s="12"/>
      <c r="O2727" s="12"/>
      <c r="P2727" s="12"/>
      <c r="Q2727" s="12"/>
      <c r="R2727" s="12"/>
      <c r="S2727" s="12"/>
    </row>
    <row r="2728" spans="1:19" ht="14.25" customHeight="1" x14ac:dyDescent="0.2">
      <c r="A2728" s="1" t="s">
        <v>24</v>
      </c>
      <c r="B2728" s="7">
        <v>46104.885648148149</v>
      </c>
      <c r="C2728" s="7">
        <v>46104.923263888886</v>
      </c>
      <c r="D2728" s="8">
        <v>46104</v>
      </c>
      <c r="E2728" s="9">
        <v>0.92326388888614019</v>
      </c>
      <c r="F2728" s="10" t="s">
        <v>3019</v>
      </c>
      <c r="G2728" s="10" t="s">
        <v>21</v>
      </c>
      <c r="H2728" s="10" t="s">
        <v>435</v>
      </c>
      <c r="I2728" s="10" t="s">
        <v>23</v>
      </c>
      <c r="J2728" s="11">
        <v>1.1299999999999999</v>
      </c>
      <c r="K2728" s="12"/>
      <c r="L2728" s="12"/>
      <c r="M2728" s="12"/>
      <c r="N2728" s="12"/>
      <c r="O2728" s="12"/>
      <c r="P2728" s="12"/>
      <c r="Q2728" s="12"/>
      <c r="R2728" s="12"/>
      <c r="S2728" s="12"/>
    </row>
    <row r="2729" spans="1:19" ht="14.25" customHeight="1" x14ac:dyDescent="0.2">
      <c r="A2729" s="1" t="s">
        <v>42</v>
      </c>
      <c r="B2729" s="7">
        <v>46104.899537037039</v>
      </c>
      <c r="C2729" s="7">
        <v>46104.923587962963</v>
      </c>
      <c r="D2729" s="8">
        <v>46104</v>
      </c>
      <c r="E2729" s="9">
        <v>0.92358796296321088</v>
      </c>
      <c r="F2729" s="10" t="s">
        <v>3020</v>
      </c>
      <c r="G2729" s="10" t="s">
        <v>26</v>
      </c>
      <c r="H2729" s="10" t="s">
        <v>82</v>
      </c>
      <c r="I2729" s="10" t="s">
        <v>23</v>
      </c>
      <c r="J2729" s="11">
        <v>0.49</v>
      </c>
      <c r="K2729" s="12"/>
      <c r="L2729" s="12"/>
      <c r="M2729" s="12"/>
      <c r="N2729" s="12"/>
      <c r="O2729" s="12"/>
      <c r="P2729" s="12"/>
      <c r="Q2729" s="12"/>
      <c r="R2729" s="12"/>
      <c r="S2729" s="12"/>
    </row>
    <row r="2730" spans="1:19" ht="14.25" customHeight="1" x14ac:dyDescent="0.2">
      <c r="A2730" s="1" t="s">
        <v>24</v>
      </c>
      <c r="B2730" s="7">
        <v>46104.910925925928</v>
      </c>
      <c r="C2730" s="7">
        <v>46104.926261574074</v>
      </c>
      <c r="D2730" s="8">
        <v>46104</v>
      </c>
      <c r="E2730" s="9">
        <v>0.92626157407357823</v>
      </c>
      <c r="F2730" s="10" t="s">
        <v>3021</v>
      </c>
      <c r="G2730" s="10" t="s">
        <v>26</v>
      </c>
      <c r="H2730" s="10" t="s">
        <v>251</v>
      </c>
      <c r="I2730" s="10" t="s">
        <v>23</v>
      </c>
      <c r="J2730" s="11">
        <v>0.62</v>
      </c>
      <c r="K2730" s="12"/>
      <c r="L2730" s="12"/>
      <c r="M2730" s="12"/>
      <c r="N2730" s="12"/>
      <c r="O2730" s="12"/>
      <c r="P2730" s="12"/>
      <c r="Q2730" s="12"/>
      <c r="R2730" s="12"/>
      <c r="S2730" s="12"/>
    </row>
    <row r="2731" spans="1:19" ht="14.25" customHeight="1" x14ac:dyDescent="0.2">
      <c r="A2731" s="22" t="s">
        <v>19</v>
      </c>
      <c r="B2731" s="23">
        <v>46104.889166666668</v>
      </c>
      <c r="C2731" s="23">
        <v>46104.927141203705</v>
      </c>
      <c r="D2731" s="24">
        <v>46104</v>
      </c>
      <c r="E2731" s="25">
        <v>0.927141203705105</v>
      </c>
      <c r="F2731" s="22" t="s">
        <v>3022</v>
      </c>
      <c r="G2731" s="22" t="s">
        <v>21</v>
      </c>
      <c r="H2731" s="22" t="s">
        <v>39</v>
      </c>
      <c r="I2731" s="22" t="s">
        <v>583</v>
      </c>
      <c r="J2731" s="26">
        <v>1.77</v>
      </c>
      <c r="K2731" s="26"/>
      <c r="L2731" s="26"/>
      <c r="M2731" s="26"/>
      <c r="N2731" s="26"/>
      <c r="O2731" s="26"/>
      <c r="P2731" s="26"/>
      <c r="Q2731" s="26"/>
      <c r="R2731" s="26"/>
      <c r="S2731" s="26"/>
    </row>
    <row r="2732" spans="1:19" ht="14.25" customHeight="1" x14ac:dyDescent="0.2">
      <c r="A2732" s="1" t="s">
        <v>28</v>
      </c>
      <c r="B2732" s="7">
        <v>46104.914594907408</v>
      </c>
      <c r="C2732" s="7">
        <v>46104.929085648146</v>
      </c>
      <c r="D2732" s="8">
        <v>46104</v>
      </c>
      <c r="E2732" s="9">
        <v>0.92908564814570127</v>
      </c>
      <c r="F2732" s="10" t="s">
        <v>3023</v>
      </c>
      <c r="G2732" s="10" t="s">
        <v>21</v>
      </c>
      <c r="H2732" s="10" t="s">
        <v>22</v>
      </c>
      <c r="I2732" s="10" t="s">
        <v>23</v>
      </c>
      <c r="J2732" s="11">
        <v>0.83</v>
      </c>
      <c r="K2732" s="12"/>
      <c r="L2732" s="12"/>
      <c r="M2732" s="12"/>
      <c r="N2732" s="12"/>
      <c r="O2732" s="12"/>
      <c r="P2732" s="12"/>
      <c r="Q2732" s="12"/>
      <c r="R2732" s="12"/>
      <c r="S2732" s="12"/>
    </row>
    <row r="2733" spans="1:19" ht="14.25" customHeight="1" x14ac:dyDescent="0.2">
      <c r="A2733" s="1" t="s">
        <v>28</v>
      </c>
      <c r="B2733" s="7">
        <v>46104.916030092594</v>
      </c>
      <c r="C2733" s="7">
        <v>46104.929502314815</v>
      </c>
      <c r="D2733" s="8">
        <v>46104</v>
      </c>
      <c r="E2733" s="9">
        <v>0.92950231481518131</v>
      </c>
      <c r="F2733" s="10" t="s">
        <v>3024</v>
      </c>
      <c r="G2733" s="10" t="s">
        <v>21</v>
      </c>
      <c r="H2733" s="10" t="s">
        <v>1116</v>
      </c>
      <c r="I2733" s="10" t="s">
        <v>23</v>
      </c>
      <c r="J2733" s="11">
        <v>0.83</v>
      </c>
      <c r="K2733" s="12"/>
      <c r="L2733" s="12"/>
      <c r="M2733" s="12"/>
      <c r="N2733" s="12"/>
      <c r="O2733" s="12"/>
      <c r="P2733" s="12"/>
      <c r="Q2733" s="12"/>
      <c r="R2733" s="12"/>
      <c r="S2733" s="12"/>
    </row>
    <row r="2734" spans="1:19" ht="14.25" customHeight="1" x14ac:dyDescent="0.2">
      <c r="A2734" s="1" t="s">
        <v>19</v>
      </c>
      <c r="B2734" s="7">
        <v>46104.921087962961</v>
      </c>
      <c r="C2734" s="7">
        <v>46104.929699074077</v>
      </c>
      <c r="D2734" s="8">
        <v>46104</v>
      </c>
      <c r="E2734" s="9">
        <v>0.92969907407677965</v>
      </c>
      <c r="F2734" s="10" t="s">
        <v>3025</v>
      </c>
      <c r="G2734" s="10" t="s">
        <v>21</v>
      </c>
      <c r="H2734" s="10" t="s">
        <v>22</v>
      </c>
      <c r="I2734" s="10" t="s">
        <v>23</v>
      </c>
      <c r="J2734" s="11">
        <v>0.83</v>
      </c>
      <c r="K2734" s="12"/>
      <c r="L2734" s="12"/>
      <c r="M2734" s="12"/>
      <c r="N2734" s="12"/>
      <c r="O2734" s="12"/>
      <c r="P2734" s="12"/>
      <c r="Q2734" s="12"/>
      <c r="R2734" s="12"/>
      <c r="S2734" s="12"/>
    </row>
    <row r="2735" spans="1:19" ht="14.25" customHeight="1" x14ac:dyDescent="0.2">
      <c r="A2735" s="1" t="s">
        <v>19</v>
      </c>
      <c r="B2735" s="7">
        <v>46104.921099537038</v>
      </c>
      <c r="C2735" s="7">
        <v>46104.929942129631</v>
      </c>
      <c r="D2735" s="8">
        <v>46104</v>
      </c>
      <c r="E2735" s="9">
        <v>0.92994212963094469</v>
      </c>
      <c r="F2735" s="10" t="s">
        <v>3026</v>
      </c>
      <c r="G2735" s="10" t="s">
        <v>21</v>
      </c>
      <c r="H2735" s="10" t="s">
        <v>52</v>
      </c>
      <c r="I2735" s="10" t="s">
        <v>23</v>
      </c>
      <c r="J2735" s="11">
        <v>0.98</v>
      </c>
      <c r="K2735" s="12"/>
      <c r="L2735" s="12"/>
      <c r="M2735" s="12"/>
      <c r="N2735" s="12"/>
      <c r="O2735" s="12"/>
      <c r="P2735" s="12"/>
      <c r="Q2735" s="12"/>
      <c r="R2735" s="12"/>
      <c r="S2735" s="12"/>
    </row>
    <row r="2736" spans="1:19" ht="14.25" customHeight="1" x14ac:dyDescent="0.2">
      <c r="A2736" s="1" t="s">
        <v>42</v>
      </c>
      <c r="B2736" s="7">
        <v>46104.900752314818</v>
      </c>
      <c r="C2736" s="7">
        <v>46104.930543981478</v>
      </c>
      <c r="D2736" s="8">
        <v>46104</v>
      </c>
      <c r="E2736" s="9">
        <v>0.93054398147796746</v>
      </c>
      <c r="F2736" s="10" t="s">
        <v>3027</v>
      </c>
      <c r="G2736" s="10" t="s">
        <v>26</v>
      </c>
      <c r="H2736" s="10" t="s">
        <v>172</v>
      </c>
      <c r="I2736" s="10" t="s">
        <v>23</v>
      </c>
      <c r="J2736" s="11">
        <v>0.67</v>
      </c>
      <c r="K2736" s="12"/>
      <c r="L2736" s="12"/>
      <c r="M2736" s="12"/>
      <c r="N2736" s="12"/>
      <c r="O2736" s="12"/>
      <c r="P2736" s="12"/>
      <c r="Q2736" s="12"/>
      <c r="R2736" s="12"/>
      <c r="S2736" s="12"/>
    </row>
    <row r="2737" spans="1:19" ht="14.25" customHeight="1" x14ac:dyDescent="0.2">
      <c r="A2737" s="1" t="s">
        <v>33</v>
      </c>
      <c r="B2737" s="7">
        <v>46104.928807870368</v>
      </c>
      <c r="C2737" s="7">
        <v>46104.935219907406</v>
      </c>
      <c r="D2737" s="8">
        <v>46104</v>
      </c>
      <c r="E2737" s="9">
        <v>0.93521990740555339</v>
      </c>
      <c r="F2737" s="10" t="s">
        <v>3028</v>
      </c>
      <c r="G2737" s="10" t="s">
        <v>21</v>
      </c>
      <c r="H2737" s="10" t="s">
        <v>101</v>
      </c>
      <c r="I2737" s="10" t="s">
        <v>23</v>
      </c>
      <c r="J2737" s="11">
        <v>1.7</v>
      </c>
      <c r="K2737" s="12"/>
      <c r="L2737" s="12"/>
      <c r="M2737" s="12"/>
      <c r="N2737" s="12"/>
      <c r="O2737" s="12"/>
      <c r="P2737" s="12"/>
      <c r="Q2737" s="12"/>
      <c r="R2737" s="12"/>
      <c r="S2737" s="12"/>
    </row>
    <row r="2738" spans="1:19" ht="14.25" customHeight="1" x14ac:dyDescent="0.2">
      <c r="A2738" s="1" t="s">
        <v>24</v>
      </c>
      <c r="B2738" s="7">
        <v>46104.910995370374</v>
      </c>
      <c r="C2738" s="7">
        <v>46104.937847222223</v>
      </c>
      <c r="D2738" s="8">
        <v>46104</v>
      </c>
      <c r="E2738" s="9">
        <v>0.93784722222335404</v>
      </c>
      <c r="F2738" s="10" t="s">
        <v>3029</v>
      </c>
      <c r="G2738" s="10" t="s">
        <v>21</v>
      </c>
      <c r="H2738" s="10" t="s">
        <v>281</v>
      </c>
      <c r="I2738" s="10" t="s">
        <v>23</v>
      </c>
      <c r="J2738" s="11">
        <v>2.5</v>
      </c>
      <c r="K2738" s="12"/>
      <c r="L2738" s="12"/>
      <c r="M2738" s="12"/>
      <c r="N2738" s="12"/>
      <c r="O2738" s="12"/>
      <c r="P2738" s="12"/>
      <c r="Q2738" s="12"/>
      <c r="R2738" s="12"/>
      <c r="S2738" s="12"/>
    </row>
    <row r="2739" spans="1:19" ht="14.25" customHeight="1" x14ac:dyDescent="0.2">
      <c r="A2739" s="22" t="s">
        <v>33</v>
      </c>
      <c r="B2739" s="23">
        <v>46104.915289351855</v>
      </c>
      <c r="C2739" s="23">
        <v>46104.938101851854</v>
      </c>
      <c r="D2739" s="24">
        <v>46104</v>
      </c>
      <c r="E2739" s="25">
        <v>0.93810185185429873</v>
      </c>
      <c r="F2739" s="22" t="s">
        <v>3030</v>
      </c>
      <c r="G2739" s="22" t="s">
        <v>21</v>
      </c>
      <c r="H2739" s="22" t="s">
        <v>39</v>
      </c>
      <c r="I2739" s="22" t="s">
        <v>583</v>
      </c>
      <c r="J2739" s="26">
        <v>1.77</v>
      </c>
      <c r="K2739" s="26"/>
      <c r="L2739" s="26"/>
      <c r="M2739" s="26"/>
      <c r="N2739" s="26"/>
      <c r="O2739" s="26"/>
      <c r="P2739" s="26"/>
      <c r="Q2739" s="26"/>
      <c r="R2739" s="26"/>
      <c r="S2739" s="26"/>
    </row>
    <row r="2740" spans="1:19" ht="14.25" customHeight="1" x14ac:dyDescent="0.2">
      <c r="A2740" s="1" t="s">
        <v>24</v>
      </c>
      <c r="B2740" s="7">
        <v>46104.901898148149</v>
      </c>
      <c r="C2740" s="7">
        <v>46104.940034722225</v>
      </c>
      <c r="D2740" s="8">
        <v>46104</v>
      </c>
      <c r="E2740" s="9">
        <v>0.94003472222539131</v>
      </c>
      <c r="F2740" s="10" t="s">
        <v>3031</v>
      </c>
      <c r="G2740" s="10" t="s">
        <v>21</v>
      </c>
      <c r="H2740" s="10" t="s">
        <v>41</v>
      </c>
      <c r="I2740" s="10" t="s">
        <v>23</v>
      </c>
      <c r="J2740" s="11">
        <v>1.77</v>
      </c>
      <c r="K2740" s="12"/>
      <c r="L2740" s="12"/>
      <c r="M2740" s="12"/>
      <c r="N2740" s="12"/>
      <c r="O2740" s="12"/>
      <c r="P2740" s="12"/>
      <c r="Q2740" s="12"/>
      <c r="R2740" s="12"/>
      <c r="S2740" s="12"/>
    </row>
    <row r="2741" spans="1:19" ht="14.25" customHeight="1" x14ac:dyDescent="0.2">
      <c r="A2741" s="1" t="s">
        <v>148</v>
      </c>
      <c r="B2741" s="7">
        <v>46104.925034722219</v>
      </c>
      <c r="C2741" s="7">
        <v>46104.940486111111</v>
      </c>
      <c r="D2741" s="8">
        <v>46104</v>
      </c>
      <c r="E2741" s="9">
        <v>0.94048611111065838</v>
      </c>
      <c r="F2741" s="10" t="s">
        <v>3032</v>
      </c>
      <c r="G2741" s="10" t="s">
        <v>21</v>
      </c>
      <c r="H2741" s="10" t="s">
        <v>1834</v>
      </c>
      <c r="I2741" s="10" t="s">
        <v>23</v>
      </c>
      <c r="J2741" s="11">
        <v>1.7</v>
      </c>
      <c r="K2741" s="12"/>
      <c r="L2741" s="12"/>
      <c r="M2741" s="12"/>
      <c r="N2741" s="12"/>
      <c r="O2741" s="12"/>
      <c r="P2741" s="12"/>
      <c r="Q2741" s="12"/>
      <c r="R2741" s="12"/>
      <c r="S2741" s="12"/>
    </row>
    <row r="2742" spans="1:19" ht="14.25" customHeight="1" x14ac:dyDescent="0.2">
      <c r="A2742" s="1" t="s">
        <v>42</v>
      </c>
      <c r="B2742" s="7">
        <v>46104.914780092593</v>
      </c>
      <c r="C2742" s="7">
        <v>46104.944328703707</v>
      </c>
      <c r="D2742" s="8">
        <v>46104</v>
      </c>
      <c r="E2742" s="9">
        <v>0.94432870370656019</v>
      </c>
      <c r="F2742" s="10" t="s">
        <v>3033</v>
      </c>
      <c r="G2742" s="10" t="s">
        <v>26</v>
      </c>
      <c r="H2742" s="10" t="s">
        <v>56</v>
      </c>
      <c r="I2742" s="10" t="s">
        <v>23</v>
      </c>
      <c r="J2742" s="11">
        <v>0.73</v>
      </c>
      <c r="K2742" s="12"/>
      <c r="L2742" s="12"/>
      <c r="M2742" s="12"/>
      <c r="N2742" s="12"/>
      <c r="O2742" s="12"/>
      <c r="P2742" s="12"/>
      <c r="Q2742" s="12"/>
      <c r="R2742" s="12"/>
      <c r="S2742" s="12"/>
    </row>
    <row r="2743" spans="1:19" ht="14.25" customHeight="1" x14ac:dyDescent="0.2">
      <c r="A2743" s="1" t="s">
        <v>24</v>
      </c>
      <c r="B2743" s="7">
        <v>46104.921805555554</v>
      </c>
      <c r="C2743" s="7">
        <v>46104.947256944448</v>
      </c>
      <c r="D2743" s="8">
        <v>46104</v>
      </c>
      <c r="E2743" s="9">
        <v>0.94725694444787223</v>
      </c>
      <c r="F2743" s="10" t="s">
        <v>3034</v>
      </c>
      <c r="G2743" s="10" t="s">
        <v>21</v>
      </c>
      <c r="H2743" s="10" t="s">
        <v>22</v>
      </c>
      <c r="I2743" s="10" t="s">
        <v>23</v>
      </c>
      <c r="J2743" s="11">
        <v>0.83</v>
      </c>
      <c r="K2743" s="12"/>
      <c r="L2743" s="12"/>
      <c r="M2743" s="12"/>
      <c r="N2743" s="12"/>
      <c r="O2743" s="12"/>
      <c r="P2743" s="12"/>
      <c r="Q2743" s="12"/>
      <c r="R2743" s="12"/>
      <c r="S2743" s="12"/>
    </row>
    <row r="2744" spans="1:19" ht="14.25" customHeight="1" x14ac:dyDescent="0.2">
      <c r="A2744" s="1" t="s">
        <v>24</v>
      </c>
      <c r="B2744" s="7">
        <v>46104.921805555554</v>
      </c>
      <c r="C2744" s="7">
        <v>46104.948379629626</v>
      </c>
      <c r="D2744" s="8">
        <v>46104</v>
      </c>
      <c r="E2744" s="9">
        <v>0.94837962962628808</v>
      </c>
      <c r="F2744" s="10" t="s">
        <v>3035</v>
      </c>
      <c r="G2744" s="10" t="s">
        <v>21</v>
      </c>
      <c r="H2744" s="10" t="s">
        <v>39</v>
      </c>
      <c r="I2744" s="10" t="s">
        <v>23</v>
      </c>
      <c r="J2744" s="11">
        <v>1.77</v>
      </c>
      <c r="K2744" s="12"/>
      <c r="L2744" s="12"/>
      <c r="M2744" s="12"/>
      <c r="N2744" s="12"/>
      <c r="O2744" s="12"/>
      <c r="P2744" s="12"/>
      <c r="Q2744" s="12"/>
      <c r="R2744" s="12"/>
      <c r="S2744" s="12"/>
    </row>
    <row r="2745" spans="1:19" ht="14.25" customHeight="1" x14ac:dyDescent="0.2">
      <c r="A2745" s="1" t="s">
        <v>24</v>
      </c>
      <c r="B2745" s="7">
        <v>46104.921805555554</v>
      </c>
      <c r="C2745" s="7">
        <v>46104.948946759258</v>
      </c>
      <c r="D2745" s="8">
        <v>46104</v>
      </c>
      <c r="E2745" s="9">
        <v>0.94894675925752381</v>
      </c>
      <c r="F2745" s="10" t="s">
        <v>3036</v>
      </c>
      <c r="G2745" s="10" t="s">
        <v>21</v>
      </c>
      <c r="H2745" s="10" t="s">
        <v>41</v>
      </c>
      <c r="I2745" s="10" t="s">
        <v>23</v>
      </c>
      <c r="J2745" s="11">
        <v>1.77</v>
      </c>
      <c r="K2745" s="12"/>
      <c r="L2745" s="12"/>
      <c r="M2745" s="12"/>
      <c r="N2745" s="12"/>
      <c r="O2745" s="12"/>
      <c r="P2745" s="12"/>
      <c r="Q2745" s="12"/>
      <c r="R2745" s="12"/>
      <c r="S2745" s="12"/>
    </row>
    <row r="2746" spans="1:19" ht="14.25" customHeight="1" x14ac:dyDescent="0.2">
      <c r="A2746" s="1" t="s">
        <v>28</v>
      </c>
      <c r="B2746" s="7">
        <v>46104.938611111109</v>
      </c>
      <c r="C2746" s="7">
        <v>46104.949270833335</v>
      </c>
      <c r="D2746" s="8">
        <v>46104</v>
      </c>
      <c r="E2746" s="9">
        <v>0.9492708333345945</v>
      </c>
      <c r="F2746" s="10" t="s">
        <v>3037</v>
      </c>
      <c r="G2746" s="10" t="s">
        <v>21</v>
      </c>
      <c r="H2746" s="10" t="s">
        <v>41</v>
      </c>
      <c r="I2746" s="10" t="s">
        <v>23</v>
      </c>
      <c r="J2746" s="11">
        <v>1.77</v>
      </c>
      <c r="K2746" s="12"/>
      <c r="L2746" s="12"/>
      <c r="M2746" s="12"/>
      <c r="N2746" s="12"/>
      <c r="O2746" s="12"/>
      <c r="P2746" s="12"/>
      <c r="Q2746" s="12"/>
      <c r="R2746" s="12"/>
      <c r="S2746" s="12"/>
    </row>
    <row r="2747" spans="1:19" ht="14.25" customHeight="1" x14ac:dyDescent="0.2">
      <c r="A2747" s="22" t="s">
        <v>28</v>
      </c>
      <c r="B2747" s="23">
        <v>46104.927546296298</v>
      </c>
      <c r="C2747" s="23">
        <v>46104.949421296296</v>
      </c>
      <c r="D2747" s="24">
        <v>46104</v>
      </c>
      <c r="E2747" s="25">
        <v>0.94942129629635019</v>
      </c>
      <c r="F2747" s="22" t="s">
        <v>3038</v>
      </c>
      <c r="G2747" s="22" t="s">
        <v>21</v>
      </c>
      <c r="H2747" s="22" t="s">
        <v>1116</v>
      </c>
      <c r="I2747" s="22" t="s">
        <v>583</v>
      </c>
      <c r="J2747" s="26">
        <v>0.83</v>
      </c>
      <c r="K2747" s="26"/>
      <c r="L2747" s="26"/>
      <c r="M2747" s="26"/>
      <c r="N2747" s="26"/>
      <c r="O2747" s="26"/>
      <c r="P2747" s="26"/>
      <c r="Q2747" s="26"/>
      <c r="R2747" s="26"/>
      <c r="S2747" s="26"/>
    </row>
    <row r="2748" spans="1:19" ht="14.25" customHeight="1" x14ac:dyDescent="0.2">
      <c r="A2748" s="1" t="s">
        <v>57</v>
      </c>
      <c r="B2748" s="7">
        <v>46104.942858796298</v>
      </c>
      <c r="C2748" s="7">
        <v>46104.949837962966</v>
      </c>
      <c r="D2748" s="8">
        <v>46104</v>
      </c>
      <c r="E2748" s="9">
        <v>0.94983796296583023</v>
      </c>
      <c r="F2748" s="10" t="s">
        <v>3039</v>
      </c>
      <c r="G2748" s="10" t="s">
        <v>21</v>
      </c>
      <c r="H2748" s="10" t="s">
        <v>687</v>
      </c>
      <c r="I2748" s="10" t="s">
        <v>23</v>
      </c>
      <c r="J2748" s="11">
        <v>1.7</v>
      </c>
      <c r="K2748" s="12"/>
      <c r="L2748" s="12"/>
      <c r="M2748" s="12"/>
      <c r="N2748" s="12"/>
      <c r="O2748" s="12"/>
      <c r="P2748" s="12"/>
      <c r="Q2748" s="12"/>
      <c r="R2748" s="12"/>
      <c r="S2748" s="12"/>
    </row>
    <row r="2749" spans="1:19" ht="14.25" customHeight="1" x14ac:dyDescent="0.2">
      <c r="A2749" s="22" t="s">
        <v>28</v>
      </c>
      <c r="B2749" s="23">
        <v>46104.875555555554</v>
      </c>
      <c r="C2749" s="23">
        <v>46104.95140046296</v>
      </c>
      <c r="D2749" s="24">
        <v>46104</v>
      </c>
      <c r="E2749" s="25">
        <v>0.95140046296000946</v>
      </c>
      <c r="F2749" s="22" t="s">
        <v>3040</v>
      </c>
      <c r="G2749" s="22" t="s">
        <v>44</v>
      </c>
      <c r="H2749" s="22" t="s">
        <v>185</v>
      </c>
      <c r="I2749" s="22" t="s">
        <v>583</v>
      </c>
      <c r="J2749" s="26">
        <v>0.18</v>
      </c>
      <c r="K2749" s="26"/>
      <c r="L2749" s="26"/>
      <c r="M2749" s="26"/>
      <c r="N2749" s="26"/>
      <c r="O2749" s="26"/>
      <c r="P2749" s="26"/>
      <c r="Q2749" s="26"/>
      <c r="R2749" s="26"/>
      <c r="S2749" s="26"/>
    </row>
    <row r="2750" spans="1:19" ht="14.25" customHeight="1" x14ac:dyDescent="0.2">
      <c r="A2750" s="22" t="s">
        <v>19</v>
      </c>
      <c r="B2750" s="23">
        <v>46104.929872685185</v>
      </c>
      <c r="C2750" s="23">
        <v>46104.953252314815</v>
      </c>
      <c r="D2750" s="24">
        <v>46104</v>
      </c>
      <c r="E2750" s="25">
        <v>0.95325231481547235</v>
      </c>
      <c r="F2750" s="22" t="s">
        <v>3041</v>
      </c>
      <c r="G2750" s="22" t="s">
        <v>44</v>
      </c>
      <c r="H2750" s="22" t="s">
        <v>185</v>
      </c>
      <c r="I2750" s="22" t="s">
        <v>583</v>
      </c>
      <c r="J2750" s="26">
        <v>0.18</v>
      </c>
      <c r="K2750" s="26"/>
      <c r="L2750" s="26"/>
      <c r="M2750" s="26"/>
      <c r="N2750" s="26"/>
      <c r="O2750" s="26"/>
      <c r="P2750" s="26"/>
      <c r="Q2750" s="26"/>
      <c r="R2750" s="26"/>
      <c r="S2750" s="26"/>
    </row>
    <row r="2751" spans="1:19" ht="14.25" customHeight="1" x14ac:dyDescent="0.2">
      <c r="A2751" s="1" t="s">
        <v>24</v>
      </c>
      <c r="B2751" s="7">
        <v>46104.934942129628</v>
      </c>
      <c r="C2751" s="7">
        <v>46104.953865740739</v>
      </c>
      <c r="D2751" s="8">
        <v>46104</v>
      </c>
      <c r="E2751" s="9">
        <v>0.95386574073927477</v>
      </c>
      <c r="F2751" s="10" t="s">
        <v>3042</v>
      </c>
      <c r="G2751" s="10" t="s">
        <v>26</v>
      </c>
      <c r="H2751" s="10" t="s">
        <v>650</v>
      </c>
      <c r="I2751" s="10" t="s">
        <v>23</v>
      </c>
      <c r="J2751" s="11">
        <v>0.44</v>
      </c>
      <c r="K2751" s="12"/>
      <c r="L2751" s="12"/>
      <c r="M2751" s="12"/>
      <c r="N2751" s="12"/>
      <c r="O2751" s="12"/>
      <c r="P2751" s="12"/>
      <c r="Q2751" s="12"/>
      <c r="R2751" s="12"/>
      <c r="S2751" s="12"/>
    </row>
    <row r="2752" spans="1:19" ht="14.25" customHeight="1" x14ac:dyDescent="0.2">
      <c r="A2752" s="1" t="s">
        <v>33</v>
      </c>
      <c r="B2752" s="7">
        <v>46104.942476851851</v>
      </c>
      <c r="C2752" s="7">
        <v>46104.954340277778</v>
      </c>
      <c r="D2752" s="8">
        <v>46104</v>
      </c>
      <c r="E2752" s="9">
        <v>0.95434027777810115</v>
      </c>
      <c r="F2752" s="10" t="s">
        <v>3043</v>
      </c>
      <c r="G2752" s="10" t="s">
        <v>21</v>
      </c>
      <c r="H2752" s="10" t="s">
        <v>41</v>
      </c>
      <c r="I2752" s="10" t="s">
        <v>23</v>
      </c>
      <c r="J2752" s="11">
        <v>1.77</v>
      </c>
      <c r="K2752" s="12"/>
      <c r="L2752" s="12"/>
      <c r="M2752" s="12"/>
      <c r="N2752" s="12"/>
      <c r="O2752" s="12"/>
      <c r="P2752" s="12"/>
      <c r="Q2752" s="12"/>
      <c r="R2752" s="12"/>
      <c r="S2752" s="12"/>
    </row>
    <row r="2753" spans="1:19" ht="14.25" customHeight="1" x14ac:dyDescent="0.2">
      <c r="A2753" s="1" t="s">
        <v>19</v>
      </c>
      <c r="B2753" s="7">
        <v>46104.936562499999</v>
      </c>
      <c r="C2753" s="7">
        <v>46104.955300925925</v>
      </c>
      <c r="D2753" s="8">
        <v>46104</v>
      </c>
      <c r="E2753" s="9">
        <v>0.95530092592525762</v>
      </c>
      <c r="F2753" s="10" t="s">
        <v>3044</v>
      </c>
      <c r="G2753" s="10" t="s">
        <v>21</v>
      </c>
      <c r="H2753" s="10" t="s">
        <v>101</v>
      </c>
      <c r="I2753" s="10" t="s">
        <v>23</v>
      </c>
      <c r="J2753" s="11">
        <v>1.7</v>
      </c>
      <c r="K2753" s="12"/>
      <c r="L2753" s="12"/>
      <c r="M2753" s="12"/>
      <c r="N2753" s="12"/>
      <c r="O2753" s="12"/>
      <c r="P2753" s="12"/>
      <c r="Q2753" s="12"/>
      <c r="R2753" s="12"/>
      <c r="S2753" s="12"/>
    </row>
    <row r="2754" spans="1:19" ht="14.25" customHeight="1" x14ac:dyDescent="0.2">
      <c r="A2754" s="1" t="s">
        <v>42</v>
      </c>
      <c r="B2754" s="7">
        <v>46104.932870370372</v>
      </c>
      <c r="C2754" s="7">
        <v>46104.955555555556</v>
      </c>
      <c r="D2754" s="8">
        <v>46104</v>
      </c>
      <c r="E2754" s="9">
        <v>0.95555555555620231</v>
      </c>
      <c r="F2754" s="10" t="s">
        <v>3045</v>
      </c>
      <c r="G2754" s="10" t="s">
        <v>26</v>
      </c>
      <c r="H2754" s="10" t="s">
        <v>76</v>
      </c>
      <c r="I2754" s="10" t="s">
        <v>23</v>
      </c>
      <c r="J2754" s="11">
        <v>0.75</v>
      </c>
      <c r="K2754" s="12"/>
      <c r="L2754" s="12"/>
      <c r="M2754" s="12"/>
      <c r="N2754" s="12"/>
      <c r="O2754" s="12"/>
      <c r="P2754" s="12"/>
      <c r="Q2754" s="12"/>
      <c r="R2754" s="12"/>
      <c r="S2754" s="12"/>
    </row>
    <row r="2755" spans="1:19" ht="14.25" customHeight="1" x14ac:dyDescent="0.2">
      <c r="A2755" s="1" t="s">
        <v>42</v>
      </c>
      <c r="B2755" s="7">
        <v>46104.929780092592</v>
      </c>
      <c r="C2755" s="7">
        <v>46104.955972222226</v>
      </c>
      <c r="D2755" s="8">
        <v>46104</v>
      </c>
      <c r="E2755" s="9">
        <v>0.95597222222568234</v>
      </c>
      <c r="F2755" s="10" t="s">
        <v>3046</v>
      </c>
      <c r="G2755" s="10" t="s">
        <v>26</v>
      </c>
      <c r="H2755" s="10" t="s">
        <v>172</v>
      </c>
      <c r="I2755" s="10" t="s">
        <v>23</v>
      </c>
      <c r="J2755" s="11">
        <v>0.67</v>
      </c>
      <c r="K2755" s="12"/>
      <c r="L2755" s="12"/>
      <c r="M2755" s="12"/>
      <c r="N2755" s="12"/>
      <c r="O2755" s="12"/>
      <c r="P2755" s="12"/>
      <c r="Q2755" s="12"/>
      <c r="R2755" s="12"/>
      <c r="S2755" s="12"/>
    </row>
    <row r="2756" spans="1:19" ht="14.25" customHeight="1" x14ac:dyDescent="0.2">
      <c r="A2756" s="22" t="s">
        <v>24</v>
      </c>
      <c r="B2756" s="23">
        <v>46104.931284722225</v>
      </c>
      <c r="C2756" s="23">
        <v>46104.962500000001</v>
      </c>
      <c r="D2756" s="24">
        <v>46104</v>
      </c>
      <c r="E2756" s="25">
        <v>0.96250000000145519</v>
      </c>
      <c r="F2756" s="22" t="s">
        <v>3047</v>
      </c>
      <c r="G2756" s="22" t="s">
        <v>21</v>
      </c>
      <c r="H2756" s="22" t="s">
        <v>39</v>
      </c>
      <c r="I2756" s="22" t="s">
        <v>583</v>
      </c>
      <c r="J2756" s="26">
        <v>1.77</v>
      </c>
      <c r="K2756" s="26"/>
      <c r="L2756" s="26">
        <f>SUM(J2756:J2777)</f>
        <v>26.049999999999994</v>
      </c>
      <c r="M2756" s="13">
        <f>L2756*65</f>
        <v>1693.2499999999995</v>
      </c>
      <c r="N2756" s="14">
        <f>MAX(500,M2756)</f>
        <v>1693.2499999999995</v>
      </c>
      <c r="O2756" s="26"/>
      <c r="P2756" s="26"/>
      <c r="Q2756" s="26"/>
      <c r="R2756" s="26"/>
      <c r="S2756" s="26"/>
    </row>
    <row r="2757" spans="1:19" ht="14.25" customHeight="1" x14ac:dyDescent="0.2">
      <c r="A2757" s="1" t="s">
        <v>24</v>
      </c>
      <c r="B2757" s="7">
        <v>46104.946388888886</v>
      </c>
      <c r="C2757" s="7">
        <v>46104.968831018516</v>
      </c>
      <c r="D2757" s="8">
        <v>46104</v>
      </c>
      <c r="E2757" s="9">
        <v>0.96883101851562969</v>
      </c>
      <c r="F2757" s="10" t="s">
        <v>3048</v>
      </c>
      <c r="G2757" s="10" t="s">
        <v>21</v>
      </c>
      <c r="H2757" s="10" t="s">
        <v>41</v>
      </c>
      <c r="I2757" s="10" t="s">
        <v>23</v>
      </c>
      <c r="J2757" s="11">
        <v>1.77</v>
      </c>
      <c r="K2757" s="12"/>
      <c r="L2757" s="12"/>
      <c r="M2757" s="12"/>
      <c r="N2757" s="12"/>
      <c r="O2757" s="12"/>
      <c r="P2757" s="12"/>
      <c r="Q2757" s="12"/>
      <c r="R2757" s="12"/>
      <c r="S2757" s="12"/>
    </row>
    <row r="2758" spans="1:19" ht="14.25" customHeight="1" x14ac:dyDescent="0.2">
      <c r="A2758" s="1" t="s">
        <v>28</v>
      </c>
      <c r="B2758" s="7">
        <v>46104.942349537036</v>
      </c>
      <c r="C2758" s="7">
        <v>46104.969212962962</v>
      </c>
      <c r="D2758" s="8">
        <v>46104</v>
      </c>
      <c r="E2758" s="9">
        <v>0.96921296296204673</v>
      </c>
      <c r="F2758" s="10" t="s">
        <v>3049</v>
      </c>
      <c r="G2758" s="10" t="s">
        <v>26</v>
      </c>
      <c r="H2758" s="10" t="s">
        <v>205</v>
      </c>
      <c r="I2758" s="10" t="s">
        <v>23</v>
      </c>
      <c r="J2758" s="11">
        <v>0.57999999999999996</v>
      </c>
      <c r="K2758" s="12"/>
      <c r="L2758" s="12"/>
      <c r="M2758" s="12"/>
      <c r="N2758" s="12"/>
      <c r="O2758" s="12"/>
      <c r="P2758" s="12"/>
      <c r="Q2758" s="12"/>
      <c r="R2758" s="12"/>
      <c r="S2758" s="12"/>
    </row>
    <row r="2759" spans="1:19" ht="14.25" customHeight="1" x14ac:dyDescent="0.2">
      <c r="A2759" s="1" t="s">
        <v>33</v>
      </c>
      <c r="B2759" s="7">
        <v>46104.956319444442</v>
      </c>
      <c r="C2759" s="7">
        <v>46104.969386574077</v>
      </c>
      <c r="D2759" s="8">
        <v>46104</v>
      </c>
      <c r="E2759" s="9">
        <v>0.96938657407736173</v>
      </c>
      <c r="F2759" s="10" t="s">
        <v>3050</v>
      </c>
      <c r="G2759" s="10" t="s">
        <v>21</v>
      </c>
      <c r="H2759" s="10" t="s">
        <v>22</v>
      </c>
      <c r="I2759" s="10" t="s">
        <v>23</v>
      </c>
      <c r="J2759" s="11">
        <v>0.83</v>
      </c>
      <c r="K2759" s="12"/>
      <c r="L2759" s="12"/>
      <c r="M2759" s="12"/>
      <c r="N2759" s="12"/>
      <c r="O2759" s="12"/>
      <c r="P2759" s="12"/>
      <c r="Q2759" s="12"/>
      <c r="R2759" s="12"/>
      <c r="S2759" s="12"/>
    </row>
    <row r="2760" spans="1:19" ht="14.25" customHeight="1" x14ac:dyDescent="0.2">
      <c r="A2760" s="1" t="s">
        <v>33</v>
      </c>
      <c r="B2760" s="7">
        <v>46104.956319444442</v>
      </c>
      <c r="C2760" s="7">
        <v>46104.969594907408</v>
      </c>
      <c r="D2760" s="8">
        <v>46104</v>
      </c>
      <c r="E2760" s="9">
        <v>0.96959490740846377</v>
      </c>
      <c r="F2760" s="10" t="s">
        <v>3051</v>
      </c>
      <c r="G2760" s="10" t="s">
        <v>21</v>
      </c>
      <c r="H2760" s="10" t="s">
        <v>52</v>
      </c>
      <c r="I2760" s="10" t="s">
        <v>23</v>
      </c>
      <c r="J2760" s="11">
        <v>0.98</v>
      </c>
      <c r="K2760" s="12"/>
      <c r="L2760" s="12"/>
      <c r="M2760" s="12"/>
      <c r="N2760" s="12"/>
      <c r="O2760" s="12"/>
      <c r="P2760" s="12"/>
      <c r="Q2760" s="12"/>
      <c r="R2760" s="12"/>
      <c r="S2760" s="12"/>
    </row>
    <row r="2761" spans="1:19" ht="14.25" customHeight="1" x14ac:dyDescent="0.2">
      <c r="A2761" s="1" t="s">
        <v>33</v>
      </c>
      <c r="B2761" s="7">
        <v>46104.956319444442</v>
      </c>
      <c r="C2761" s="7">
        <v>46104.969837962963</v>
      </c>
      <c r="D2761" s="8">
        <v>46104</v>
      </c>
      <c r="E2761" s="9">
        <v>0.96983796296262881</v>
      </c>
      <c r="F2761" s="10" t="s">
        <v>3052</v>
      </c>
      <c r="G2761" s="10" t="s">
        <v>21</v>
      </c>
      <c r="H2761" s="10" t="s">
        <v>142</v>
      </c>
      <c r="I2761" s="10" t="s">
        <v>23</v>
      </c>
      <c r="J2761" s="11">
        <v>0.83</v>
      </c>
      <c r="K2761" s="12"/>
      <c r="L2761" s="12"/>
      <c r="M2761" s="12"/>
      <c r="N2761" s="12"/>
      <c r="O2761" s="12"/>
      <c r="P2761" s="12"/>
      <c r="Q2761" s="12"/>
      <c r="R2761" s="12"/>
      <c r="S2761" s="12"/>
    </row>
    <row r="2762" spans="1:19" ht="14.25" customHeight="1" x14ac:dyDescent="0.2">
      <c r="A2762" s="1" t="s">
        <v>24</v>
      </c>
      <c r="B2762" s="7">
        <v>46104.952534722222</v>
      </c>
      <c r="C2762" s="7">
        <v>46104.970081018517</v>
      </c>
      <c r="D2762" s="8">
        <v>46104</v>
      </c>
      <c r="E2762" s="9">
        <v>0.97008101851679385</v>
      </c>
      <c r="F2762" s="10" t="s">
        <v>3053</v>
      </c>
      <c r="G2762" s="10" t="s">
        <v>26</v>
      </c>
      <c r="H2762" s="10" t="s">
        <v>1019</v>
      </c>
      <c r="I2762" s="10" t="s">
        <v>23</v>
      </c>
      <c r="J2762" s="11">
        <v>0.67</v>
      </c>
      <c r="K2762" s="12"/>
      <c r="L2762" s="12"/>
      <c r="M2762" s="12"/>
      <c r="N2762" s="12"/>
      <c r="O2762" s="12"/>
      <c r="P2762" s="12"/>
      <c r="Q2762" s="12"/>
      <c r="R2762" s="12"/>
      <c r="S2762" s="12"/>
    </row>
    <row r="2763" spans="1:19" ht="14.25" customHeight="1" x14ac:dyDescent="0.2">
      <c r="A2763" s="1" t="s">
        <v>19</v>
      </c>
      <c r="B2763" s="7">
        <v>46104.948935185188</v>
      </c>
      <c r="C2763" s="7">
        <v>46104.974224537036</v>
      </c>
      <c r="D2763" s="8">
        <v>46104</v>
      </c>
      <c r="E2763" s="9">
        <v>0.97422453703620704</v>
      </c>
      <c r="F2763" s="10" t="s">
        <v>3054</v>
      </c>
      <c r="G2763" s="10" t="s">
        <v>44</v>
      </c>
      <c r="H2763" s="10" t="s">
        <v>185</v>
      </c>
      <c r="I2763" s="10" t="s">
        <v>23</v>
      </c>
      <c r="J2763" s="11">
        <v>0.18</v>
      </c>
      <c r="K2763" s="12"/>
      <c r="L2763" s="12"/>
      <c r="M2763" s="12"/>
      <c r="N2763" s="12"/>
      <c r="O2763" s="12"/>
      <c r="P2763" s="12"/>
      <c r="Q2763" s="12"/>
      <c r="R2763" s="12"/>
      <c r="S2763" s="12"/>
    </row>
    <row r="2764" spans="1:19" ht="14.25" customHeight="1" x14ac:dyDescent="0.2">
      <c r="A2764" s="1" t="s">
        <v>95</v>
      </c>
      <c r="B2764" s="7">
        <v>46104.959513888891</v>
      </c>
      <c r="C2764" s="7">
        <v>46104.978020833332</v>
      </c>
      <c r="D2764" s="8">
        <v>46104</v>
      </c>
      <c r="E2764" s="9">
        <v>0.97802083333226619</v>
      </c>
      <c r="F2764" s="10" t="s">
        <v>3055</v>
      </c>
      <c r="G2764" s="10" t="s">
        <v>21</v>
      </c>
      <c r="H2764" s="10" t="s">
        <v>108</v>
      </c>
      <c r="I2764" s="10" t="s">
        <v>23</v>
      </c>
      <c r="J2764" s="11">
        <v>1.7</v>
      </c>
      <c r="K2764" s="12"/>
      <c r="L2764" s="12"/>
      <c r="M2764" s="12"/>
      <c r="N2764" s="12"/>
      <c r="O2764" s="12"/>
      <c r="P2764" s="12"/>
      <c r="Q2764" s="12"/>
      <c r="R2764" s="12"/>
      <c r="S2764" s="12"/>
    </row>
    <row r="2765" spans="1:19" ht="14.25" customHeight="1" x14ac:dyDescent="0.2">
      <c r="A2765" s="1" t="s">
        <v>28</v>
      </c>
      <c r="B2765" s="7">
        <v>46104.967986111114</v>
      </c>
      <c r="C2765" s="7">
        <v>46104.978310185186</v>
      </c>
      <c r="D2765" s="8">
        <v>46104</v>
      </c>
      <c r="E2765" s="9">
        <v>0.97831018518627388</v>
      </c>
      <c r="F2765" s="10" t="s">
        <v>3056</v>
      </c>
      <c r="G2765" s="10" t="s">
        <v>21</v>
      </c>
      <c r="H2765" s="10" t="s">
        <v>101</v>
      </c>
      <c r="I2765" s="10" t="s">
        <v>23</v>
      </c>
      <c r="J2765" s="11">
        <v>1.7</v>
      </c>
      <c r="K2765" s="12"/>
      <c r="L2765" s="12"/>
      <c r="M2765" s="12"/>
      <c r="N2765" s="12"/>
      <c r="O2765" s="12"/>
      <c r="P2765" s="12"/>
      <c r="Q2765" s="12"/>
      <c r="R2765" s="12"/>
      <c r="S2765" s="12"/>
    </row>
    <row r="2766" spans="1:19" ht="14.25" customHeight="1" x14ac:dyDescent="0.2">
      <c r="A2766" s="1" t="s">
        <v>19</v>
      </c>
      <c r="B2766" s="7">
        <v>46104.947731481479</v>
      </c>
      <c r="C2766" s="7">
        <v>46104.978692129633</v>
      </c>
      <c r="D2766" s="8">
        <v>46104</v>
      </c>
      <c r="E2766" s="9">
        <v>0.97869212963269092</v>
      </c>
      <c r="F2766" s="10" t="s">
        <v>3057</v>
      </c>
      <c r="G2766" s="10" t="s">
        <v>21</v>
      </c>
      <c r="H2766" s="10" t="s">
        <v>281</v>
      </c>
      <c r="I2766" s="10" t="s">
        <v>23</v>
      </c>
      <c r="J2766" s="11">
        <v>2.5</v>
      </c>
      <c r="K2766" s="12"/>
      <c r="L2766" s="12"/>
      <c r="M2766" s="12"/>
      <c r="N2766" s="12"/>
      <c r="O2766" s="12"/>
      <c r="P2766" s="12"/>
      <c r="Q2766" s="12"/>
      <c r="R2766" s="12"/>
      <c r="S2766" s="12"/>
    </row>
    <row r="2767" spans="1:19" ht="14.25" customHeight="1" x14ac:dyDescent="0.2">
      <c r="A2767" s="1" t="s">
        <v>95</v>
      </c>
      <c r="B2767" s="7">
        <v>46104.966145833336</v>
      </c>
      <c r="C2767" s="7">
        <v>46104.979108796295</v>
      </c>
      <c r="D2767" s="8">
        <v>46104</v>
      </c>
      <c r="E2767" s="9">
        <v>0.979108796294895</v>
      </c>
      <c r="F2767" s="10" t="s">
        <v>3058</v>
      </c>
      <c r="G2767" s="10" t="s">
        <v>21</v>
      </c>
      <c r="H2767" s="10" t="s">
        <v>108</v>
      </c>
      <c r="I2767" s="10" t="s">
        <v>23</v>
      </c>
      <c r="J2767" s="11">
        <v>1.7</v>
      </c>
      <c r="K2767" s="12"/>
      <c r="L2767" s="12"/>
      <c r="M2767" s="12"/>
      <c r="N2767" s="12"/>
      <c r="O2767" s="12"/>
      <c r="P2767" s="12"/>
      <c r="Q2767" s="12"/>
      <c r="R2767" s="12"/>
      <c r="S2767" s="12"/>
    </row>
    <row r="2768" spans="1:19" ht="14.25" customHeight="1" x14ac:dyDescent="0.2">
      <c r="A2768" s="1" t="s">
        <v>95</v>
      </c>
      <c r="B2768" s="7">
        <v>46104.952152777776</v>
      </c>
      <c r="C2768" s="7">
        <v>46104.98</v>
      </c>
      <c r="D2768" s="8">
        <v>46104</v>
      </c>
      <c r="E2768" s="9">
        <v>0.98000000000320142</v>
      </c>
      <c r="F2768" s="10" t="s">
        <v>3059</v>
      </c>
      <c r="G2768" s="10" t="s">
        <v>44</v>
      </c>
      <c r="H2768" s="10" t="s">
        <v>45</v>
      </c>
      <c r="I2768" s="10" t="s">
        <v>23</v>
      </c>
      <c r="J2768" s="11">
        <v>0.18</v>
      </c>
      <c r="K2768" s="12"/>
      <c r="L2768" s="12"/>
      <c r="M2768" s="12"/>
      <c r="N2768" s="12"/>
      <c r="O2768" s="12"/>
      <c r="P2768" s="12"/>
      <c r="Q2768" s="12"/>
      <c r="R2768" s="12"/>
      <c r="S2768" s="12"/>
    </row>
    <row r="2769" spans="1:19" ht="14.25" customHeight="1" x14ac:dyDescent="0.2">
      <c r="A2769" s="1" t="s">
        <v>95</v>
      </c>
      <c r="B2769" s="7">
        <v>46104.951608796298</v>
      </c>
      <c r="C2769" s="7">
        <v>46104.988229166665</v>
      </c>
      <c r="D2769" s="8">
        <v>46104</v>
      </c>
      <c r="E2769" s="9">
        <v>0.9882291666654055</v>
      </c>
      <c r="F2769" s="10" t="s">
        <v>3060</v>
      </c>
      <c r="G2769" s="10" t="s">
        <v>21</v>
      </c>
      <c r="H2769" s="10" t="s">
        <v>97</v>
      </c>
      <c r="I2769" s="10" t="s">
        <v>23</v>
      </c>
      <c r="J2769" s="11">
        <v>1.77</v>
      </c>
      <c r="K2769" s="12"/>
      <c r="L2769" s="12"/>
      <c r="M2769" s="12"/>
      <c r="N2769" s="12"/>
      <c r="O2769" s="12"/>
      <c r="P2769" s="12"/>
      <c r="Q2769" s="12"/>
      <c r="R2769" s="12"/>
      <c r="S2769" s="12"/>
    </row>
    <row r="2770" spans="1:19" ht="14.25" customHeight="1" x14ac:dyDescent="0.2">
      <c r="A2770" s="1" t="s">
        <v>42</v>
      </c>
      <c r="B2770" s="7">
        <v>46104.972743055558</v>
      </c>
      <c r="C2770" s="7">
        <v>46104.988645833335</v>
      </c>
      <c r="D2770" s="8">
        <v>46104</v>
      </c>
      <c r="E2770" s="9">
        <v>0.98864583333488554</v>
      </c>
      <c r="F2770" s="10" t="s">
        <v>3061</v>
      </c>
      <c r="G2770" s="10" t="s">
        <v>21</v>
      </c>
      <c r="H2770" s="10" t="s">
        <v>108</v>
      </c>
      <c r="I2770" s="10" t="s">
        <v>23</v>
      </c>
      <c r="J2770" s="11">
        <v>1.7</v>
      </c>
      <c r="K2770" s="12"/>
      <c r="L2770" s="12"/>
      <c r="M2770" s="12"/>
      <c r="N2770" s="12"/>
      <c r="O2770" s="12"/>
      <c r="P2770" s="12"/>
      <c r="Q2770" s="12"/>
      <c r="R2770" s="12"/>
      <c r="S2770" s="12"/>
    </row>
    <row r="2771" spans="1:19" ht="14.25" customHeight="1" x14ac:dyDescent="0.2">
      <c r="A2771" s="1" t="s">
        <v>112</v>
      </c>
      <c r="B2771" s="7">
        <v>46104.969166666669</v>
      </c>
      <c r="C2771" s="7">
        <v>46104.991631944446</v>
      </c>
      <c r="D2771" s="8">
        <v>46104</v>
      </c>
      <c r="E2771" s="9">
        <v>0.99163194444554392</v>
      </c>
      <c r="F2771" s="10" t="s">
        <v>3062</v>
      </c>
      <c r="G2771" s="10" t="s">
        <v>21</v>
      </c>
      <c r="H2771" s="10" t="s">
        <v>266</v>
      </c>
      <c r="I2771" s="10" t="s">
        <v>23</v>
      </c>
      <c r="J2771" s="11">
        <v>1.77</v>
      </c>
      <c r="K2771" s="12"/>
      <c r="L2771" s="12"/>
      <c r="M2771" s="12"/>
      <c r="N2771" s="12"/>
      <c r="O2771" s="12"/>
      <c r="P2771" s="12"/>
      <c r="Q2771" s="12"/>
      <c r="R2771" s="12"/>
      <c r="S2771" s="12"/>
    </row>
    <row r="2772" spans="1:19" ht="14.25" customHeight="1" x14ac:dyDescent="0.2">
      <c r="A2772" s="1" t="s">
        <v>28</v>
      </c>
      <c r="B2772" s="7">
        <v>46104.972175925926</v>
      </c>
      <c r="C2772" s="7">
        <v>46104.991782407407</v>
      </c>
      <c r="D2772" s="8">
        <v>46104</v>
      </c>
      <c r="E2772" s="9">
        <v>0.99178240740729962</v>
      </c>
      <c r="F2772" s="10" t="s">
        <v>3063</v>
      </c>
      <c r="G2772" s="10" t="s">
        <v>21</v>
      </c>
      <c r="H2772" s="10" t="s">
        <v>22</v>
      </c>
      <c r="I2772" s="10" t="s">
        <v>23</v>
      </c>
      <c r="J2772" s="11">
        <v>0.83</v>
      </c>
      <c r="K2772" s="12"/>
      <c r="L2772" s="12"/>
      <c r="M2772" s="12"/>
      <c r="N2772" s="12"/>
      <c r="O2772" s="12"/>
      <c r="P2772" s="12"/>
      <c r="Q2772" s="12"/>
      <c r="R2772" s="12"/>
      <c r="S2772" s="12"/>
    </row>
    <row r="2773" spans="1:19" ht="14.25" customHeight="1" x14ac:dyDescent="0.2">
      <c r="A2773" s="1" t="s">
        <v>28</v>
      </c>
      <c r="B2773" s="7">
        <v>46104.974108796298</v>
      </c>
      <c r="C2773" s="7">
        <v>46104.992048611108</v>
      </c>
      <c r="D2773" s="8">
        <v>46104</v>
      </c>
      <c r="E2773" s="9">
        <v>0.992048611107748</v>
      </c>
      <c r="F2773" s="10" t="s">
        <v>3064</v>
      </c>
      <c r="G2773" s="10" t="s">
        <v>21</v>
      </c>
      <c r="H2773" s="10" t="s">
        <v>52</v>
      </c>
      <c r="I2773" s="10" t="s">
        <v>23</v>
      </c>
      <c r="J2773" s="11">
        <v>0.98</v>
      </c>
      <c r="K2773" s="12"/>
      <c r="L2773" s="12"/>
      <c r="M2773" s="12"/>
      <c r="N2773" s="12"/>
      <c r="O2773" s="12"/>
      <c r="P2773" s="12"/>
      <c r="Q2773" s="12"/>
      <c r="R2773" s="12"/>
      <c r="S2773" s="12"/>
    </row>
    <row r="2774" spans="1:19" ht="14.25" customHeight="1" x14ac:dyDescent="0.2">
      <c r="A2774" s="1" t="s">
        <v>28</v>
      </c>
      <c r="B2774" s="7">
        <v>46104.976597222223</v>
      </c>
      <c r="C2774" s="7">
        <v>46104.992303240739</v>
      </c>
      <c r="D2774" s="8">
        <v>46104</v>
      </c>
      <c r="E2774" s="9">
        <v>0.99230324073869269</v>
      </c>
      <c r="F2774" s="10" t="s">
        <v>3065</v>
      </c>
      <c r="G2774" s="10" t="s">
        <v>21</v>
      </c>
      <c r="H2774" s="10" t="s">
        <v>216</v>
      </c>
      <c r="I2774" s="10" t="s">
        <v>23</v>
      </c>
      <c r="J2774" s="11">
        <v>0.98</v>
      </c>
      <c r="K2774" s="12"/>
      <c r="L2774" s="12"/>
      <c r="M2774" s="12"/>
      <c r="N2774" s="12"/>
      <c r="O2774" s="12"/>
      <c r="P2774" s="12"/>
      <c r="Q2774" s="12"/>
      <c r="R2774" s="12"/>
      <c r="S2774" s="12"/>
    </row>
    <row r="2775" spans="1:19" ht="14.25" customHeight="1" x14ac:dyDescent="0.2">
      <c r="A2775" s="1" t="s">
        <v>24</v>
      </c>
      <c r="B2775" s="7">
        <v>46104.977673611109</v>
      </c>
      <c r="C2775" s="7">
        <v>46104.9925</v>
      </c>
      <c r="D2775" s="8">
        <v>46104</v>
      </c>
      <c r="E2775" s="9">
        <v>0.99250000000029104</v>
      </c>
      <c r="F2775" s="10" t="s">
        <v>3066</v>
      </c>
      <c r="G2775" s="10" t="s">
        <v>26</v>
      </c>
      <c r="H2775" s="10" t="s">
        <v>37</v>
      </c>
      <c r="I2775" s="10" t="s">
        <v>23</v>
      </c>
      <c r="J2775" s="11">
        <v>0.88</v>
      </c>
      <c r="K2775" s="12"/>
      <c r="L2775" s="12"/>
      <c r="M2775" s="12"/>
      <c r="N2775" s="12"/>
      <c r="O2775" s="12"/>
      <c r="P2775" s="12"/>
      <c r="Q2775" s="12"/>
      <c r="R2775" s="12"/>
      <c r="S2775" s="12"/>
    </row>
    <row r="2776" spans="1:19" ht="14.25" customHeight="1" x14ac:dyDescent="0.2">
      <c r="A2776" s="1" t="s">
        <v>19</v>
      </c>
      <c r="B2776" s="7">
        <v>46104.967245370368</v>
      </c>
      <c r="C2776" s="7">
        <v>46104.997523148151</v>
      </c>
      <c r="D2776" s="8">
        <v>46104</v>
      </c>
      <c r="E2776" s="9">
        <v>0.997523148151231</v>
      </c>
      <c r="F2776" s="10" t="s">
        <v>3067</v>
      </c>
      <c r="G2776" s="10" t="s">
        <v>26</v>
      </c>
      <c r="H2776" s="10" t="s">
        <v>251</v>
      </c>
      <c r="I2776" s="10" t="s">
        <v>23</v>
      </c>
      <c r="J2776" s="11">
        <v>0.62</v>
      </c>
      <c r="K2776" s="12"/>
      <c r="L2776" s="12"/>
      <c r="M2776" s="12"/>
      <c r="N2776" s="12"/>
      <c r="O2776" s="12"/>
      <c r="P2776" s="12"/>
      <c r="Q2776" s="12"/>
      <c r="R2776" s="12"/>
      <c r="S2776" s="12"/>
    </row>
    <row r="2777" spans="1:19" ht="14.25" customHeight="1" x14ac:dyDescent="0.2">
      <c r="A2777" s="1" t="s">
        <v>95</v>
      </c>
      <c r="B2777" s="7">
        <v>46104.951608796298</v>
      </c>
      <c r="C2777" s="7">
        <v>46104.998020833336</v>
      </c>
      <c r="D2777" s="8">
        <v>46104</v>
      </c>
      <c r="E2777" s="9">
        <v>0.99802083333634073</v>
      </c>
      <c r="F2777" s="10" t="s">
        <v>3068</v>
      </c>
      <c r="G2777" s="10" t="s">
        <v>21</v>
      </c>
      <c r="H2777" s="10" t="s">
        <v>435</v>
      </c>
      <c r="I2777" s="10" t="s">
        <v>23</v>
      </c>
      <c r="J2777" s="11">
        <v>1.1299999999999999</v>
      </c>
      <c r="K2777" s="12"/>
      <c r="L2777" s="12"/>
      <c r="M2777" s="12"/>
      <c r="N2777" s="12"/>
      <c r="O2777" s="12"/>
      <c r="P2777" s="12"/>
      <c r="Q2777" s="12"/>
      <c r="R2777" s="12"/>
      <c r="S2777" s="12"/>
    </row>
    <row r="2778" spans="1:19" ht="14.25" customHeight="1" x14ac:dyDescent="0.2">
      <c r="A2778" s="1" t="s">
        <v>28</v>
      </c>
      <c r="B2778" s="7">
        <v>46104.989803240744</v>
      </c>
      <c r="C2778" s="7">
        <v>46105.005555555559</v>
      </c>
      <c r="D2778" s="8">
        <v>46105</v>
      </c>
      <c r="E2778" s="9">
        <v>5.5555555591126904E-3</v>
      </c>
      <c r="F2778" s="10" t="s">
        <v>3069</v>
      </c>
      <c r="G2778" s="10" t="s">
        <v>21</v>
      </c>
      <c r="H2778" s="10" t="s">
        <v>101</v>
      </c>
      <c r="I2778" s="10" t="s">
        <v>23</v>
      </c>
      <c r="J2778" s="11">
        <v>1.7</v>
      </c>
      <c r="K2778" s="12"/>
      <c r="L2778" s="12">
        <f>SUM(J2778:J2799)</f>
        <v>27.699999999999996</v>
      </c>
      <c r="M2778" s="13">
        <f>L2778*65</f>
        <v>1800.4999999999998</v>
      </c>
      <c r="N2778" s="14">
        <f>MAX(500,M2778)</f>
        <v>1800.4999999999998</v>
      </c>
      <c r="O2778" s="12"/>
      <c r="P2778" s="12"/>
      <c r="Q2778" s="12"/>
      <c r="R2778" s="12"/>
      <c r="S2778" s="12"/>
    </row>
    <row r="2779" spans="1:19" ht="14.25" customHeight="1" x14ac:dyDescent="0.2">
      <c r="A2779" s="1" t="s">
        <v>24</v>
      </c>
      <c r="B2779" s="7">
        <v>46104.997604166667</v>
      </c>
      <c r="C2779" s="7">
        <v>46105.013067129628</v>
      </c>
      <c r="D2779" s="8">
        <v>46105</v>
      </c>
      <c r="E2779" s="9">
        <v>1.3067129628325347E-2</v>
      </c>
      <c r="F2779" s="10" t="s">
        <v>3070</v>
      </c>
      <c r="G2779" s="10" t="s">
        <v>26</v>
      </c>
      <c r="H2779" s="10" t="s">
        <v>315</v>
      </c>
      <c r="I2779" s="10" t="s">
        <v>23</v>
      </c>
      <c r="J2779" s="11">
        <v>0.88</v>
      </c>
      <c r="K2779" s="12"/>
      <c r="L2779" s="12"/>
      <c r="M2779" s="12"/>
      <c r="N2779" s="12"/>
      <c r="O2779" s="12"/>
      <c r="P2779" s="12"/>
      <c r="Q2779" s="12"/>
      <c r="R2779" s="12"/>
      <c r="S2779" s="12"/>
    </row>
    <row r="2780" spans="1:19" ht="14.25" customHeight="1" x14ac:dyDescent="0.2">
      <c r="A2780" s="1" t="s">
        <v>42</v>
      </c>
      <c r="B2780" s="7">
        <v>46104.975092592591</v>
      </c>
      <c r="C2780" s="7">
        <v>46105.014791666668</v>
      </c>
      <c r="D2780" s="8">
        <v>46105</v>
      </c>
      <c r="E2780" s="9">
        <v>1.4791666668315884E-2</v>
      </c>
      <c r="F2780" s="10" t="s">
        <v>3071</v>
      </c>
      <c r="G2780" s="10" t="s">
        <v>21</v>
      </c>
      <c r="H2780" s="10" t="s">
        <v>97</v>
      </c>
      <c r="I2780" s="10" t="s">
        <v>23</v>
      </c>
      <c r="J2780" s="11">
        <v>1.77</v>
      </c>
      <c r="K2780" s="12"/>
      <c r="L2780" s="12"/>
      <c r="M2780" s="12"/>
      <c r="N2780" s="12"/>
      <c r="O2780" s="12"/>
      <c r="P2780" s="12"/>
      <c r="Q2780" s="12"/>
      <c r="R2780" s="12"/>
      <c r="S2780" s="12"/>
    </row>
    <row r="2781" spans="1:19" ht="14.25" customHeight="1" x14ac:dyDescent="0.2">
      <c r="A2781" s="1" t="s">
        <v>28</v>
      </c>
      <c r="B2781" s="7">
        <v>46105.001307870371</v>
      </c>
      <c r="C2781" s="7">
        <v>46105.016273148147</v>
      </c>
      <c r="D2781" s="8">
        <v>46105</v>
      </c>
      <c r="E2781" s="9">
        <v>1.6273148146865424E-2</v>
      </c>
      <c r="F2781" s="10" t="s">
        <v>3072</v>
      </c>
      <c r="G2781" s="10" t="s">
        <v>21</v>
      </c>
      <c r="H2781" s="10" t="s">
        <v>101</v>
      </c>
      <c r="I2781" s="10" t="s">
        <v>23</v>
      </c>
      <c r="J2781" s="11">
        <v>1.7</v>
      </c>
      <c r="K2781" s="12"/>
      <c r="L2781" s="12"/>
      <c r="M2781" s="12"/>
      <c r="N2781" s="12"/>
      <c r="O2781" s="12"/>
      <c r="P2781" s="12"/>
      <c r="Q2781" s="12"/>
      <c r="R2781" s="12"/>
      <c r="S2781" s="12"/>
    </row>
    <row r="2782" spans="1:19" ht="14.25" customHeight="1" x14ac:dyDescent="0.2">
      <c r="A2782" s="1" t="s">
        <v>42</v>
      </c>
      <c r="B2782" s="7">
        <v>46105.005462962959</v>
      </c>
      <c r="C2782" s="7">
        <v>46105.016944444447</v>
      </c>
      <c r="D2782" s="8">
        <v>46105</v>
      </c>
      <c r="E2782" s="9">
        <v>1.6944444447290152E-2</v>
      </c>
      <c r="F2782" s="10" t="s">
        <v>3073</v>
      </c>
      <c r="G2782" s="10" t="s">
        <v>44</v>
      </c>
      <c r="H2782" s="10" t="s">
        <v>50</v>
      </c>
      <c r="I2782" s="10" t="s">
        <v>23</v>
      </c>
      <c r="J2782" s="11">
        <v>0.18</v>
      </c>
      <c r="K2782" s="12"/>
      <c r="L2782" s="12"/>
      <c r="M2782" s="12"/>
      <c r="N2782" s="12"/>
      <c r="O2782" s="12"/>
      <c r="P2782" s="12"/>
      <c r="Q2782" s="12"/>
      <c r="R2782" s="12"/>
      <c r="S2782" s="12"/>
    </row>
    <row r="2783" spans="1:19" ht="14.25" customHeight="1" x14ac:dyDescent="0.2">
      <c r="A2783" s="1" t="s">
        <v>57</v>
      </c>
      <c r="B2783" s="7">
        <v>46105.008599537039</v>
      </c>
      <c r="C2783" s="7">
        <v>46105.017280092594</v>
      </c>
      <c r="D2783" s="8">
        <v>46105</v>
      </c>
      <c r="E2783" s="9">
        <v>1.7280092593864538E-2</v>
      </c>
      <c r="F2783" s="10" t="s">
        <v>3074</v>
      </c>
      <c r="G2783" s="10" t="s">
        <v>21</v>
      </c>
      <c r="H2783" s="10" t="s">
        <v>59</v>
      </c>
      <c r="I2783" s="10" t="s">
        <v>23</v>
      </c>
      <c r="J2783" s="11">
        <v>0.83</v>
      </c>
      <c r="K2783" s="12"/>
      <c r="L2783" s="12"/>
      <c r="M2783" s="12"/>
      <c r="N2783" s="12"/>
      <c r="O2783" s="12"/>
      <c r="P2783" s="12"/>
      <c r="Q2783" s="12"/>
      <c r="R2783" s="12"/>
      <c r="S2783" s="12"/>
    </row>
    <row r="2784" spans="1:19" ht="14.25" customHeight="1" x14ac:dyDescent="0.2">
      <c r="A2784" s="1" t="s">
        <v>42</v>
      </c>
      <c r="B2784" s="7">
        <v>46105.001712962963</v>
      </c>
      <c r="C2784" s="7">
        <v>46105.01767361111</v>
      </c>
      <c r="D2784" s="8">
        <v>46105</v>
      </c>
      <c r="E2784" s="9">
        <v>1.767361110978527E-2</v>
      </c>
      <c r="F2784" s="10" t="s">
        <v>3075</v>
      </c>
      <c r="G2784" s="10" t="s">
        <v>44</v>
      </c>
      <c r="H2784" s="10" t="s">
        <v>50</v>
      </c>
      <c r="I2784" s="10" t="s">
        <v>23</v>
      </c>
      <c r="J2784" s="11">
        <v>0.18</v>
      </c>
      <c r="K2784" s="12"/>
      <c r="L2784" s="12"/>
      <c r="M2784" s="12"/>
      <c r="N2784" s="12"/>
      <c r="O2784" s="12"/>
      <c r="P2784" s="12"/>
      <c r="Q2784" s="12"/>
      <c r="R2784" s="12"/>
      <c r="S2784" s="12"/>
    </row>
    <row r="2785" spans="1:19" ht="14.25" customHeight="1" x14ac:dyDescent="0.2">
      <c r="A2785" s="1" t="s">
        <v>95</v>
      </c>
      <c r="B2785" s="7">
        <v>46105.006828703707</v>
      </c>
      <c r="C2785" s="7">
        <v>46105.021874999999</v>
      </c>
      <c r="D2785" s="8">
        <v>46105</v>
      </c>
      <c r="E2785" s="9">
        <v>2.1874999998544808E-2</v>
      </c>
      <c r="F2785" s="10" t="s">
        <v>3076</v>
      </c>
      <c r="G2785" s="10" t="s">
        <v>21</v>
      </c>
      <c r="H2785" s="10" t="s">
        <v>97</v>
      </c>
      <c r="I2785" s="10" t="s">
        <v>23</v>
      </c>
      <c r="J2785" s="11">
        <v>1.77</v>
      </c>
      <c r="K2785" s="12"/>
      <c r="L2785" s="12"/>
      <c r="M2785" s="12"/>
      <c r="N2785" s="12"/>
      <c r="O2785" s="12"/>
      <c r="P2785" s="12"/>
      <c r="Q2785" s="12"/>
      <c r="R2785" s="12"/>
      <c r="S2785" s="12"/>
    </row>
    <row r="2786" spans="1:19" ht="14.25" customHeight="1" x14ac:dyDescent="0.2">
      <c r="A2786" s="1" t="s">
        <v>19</v>
      </c>
      <c r="B2786" s="7">
        <v>46105.00408564815</v>
      </c>
      <c r="C2786" s="7">
        <v>46105.025173611109</v>
      </c>
      <c r="D2786" s="8">
        <v>46105</v>
      </c>
      <c r="E2786" s="9">
        <v>2.5173611109494232E-2</v>
      </c>
      <c r="F2786" s="10" t="s">
        <v>3077</v>
      </c>
      <c r="G2786" s="10" t="s">
        <v>21</v>
      </c>
      <c r="H2786" s="10" t="s">
        <v>39</v>
      </c>
      <c r="I2786" s="10" t="s">
        <v>23</v>
      </c>
      <c r="J2786" s="11">
        <v>1.77</v>
      </c>
      <c r="K2786" s="12"/>
      <c r="L2786" s="12"/>
      <c r="M2786" s="12"/>
      <c r="N2786" s="12"/>
      <c r="O2786" s="12"/>
      <c r="P2786" s="12"/>
      <c r="Q2786" s="12"/>
      <c r="R2786" s="12"/>
      <c r="S2786" s="12"/>
    </row>
    <row r="2787" spans="1:19" ht="14.25" customHeight="1" x14ac:dyDescent="0.2">
      <c r="A2787" s="1" t="s">
        <v>19</v>
      </c>
      <c r="B2787" s="7">
        <v>46104.988483796296</v>
      </c>
      <c r="C2787" s="7">
        <v>46105.025590277779</v>
      </c>
      <c r="D2787" s="8">
        <v>46105</v>
      </c>
      <c r="E2787" s="9">
        <v>2.5590277778974269E-2</v>
      </c>
      <c r="F2787" s="10" t="s">
        <v>3078</v>
      </c>
      <c r="G2787" s="10" t="s">
        <v>21</v>
      </c>
      <c r="H2787" s="10" t="s">
        <v>454</v>
      </c>
      <c r="I2787" s="10" t="s">
        <v>23</v>
      </c>
      <c r="J2787" s="11">
        <v>1.77</v>
      </c>
      <c r="K2787" s="12"/>
      <c r="L2787" s="12"/>
      <c r="M2787" s="12"/>
      <c r="N2787" s="12"/>
      <c r="O2787" s="12"/>
      <c r="P2787" s="12"/>
      <c r="Q2787" s="12"/>
      <c r="R2787" s="12"/>
      <c r="S2787" s="12"/>
    </row>
    <row r="2788" spans="1:19" ht="14.25" customHeight="1" x14ac:dyDescent="0.2">
      <c r="A2788" s="1" t="s">
        <v>24</v>
      </c>
      <c r="B2788" s="7">
        <v>46105.000659722224</v>
      </c>
      <c r="C2788" s="7">
        <v>46105.030428240738</v>
      </c>
      <c r="D2788" s="8">
        <v>46105</v>
      </c>
      <c r="E2788" s="9">
        <v>3.0428240737819578E-2</v>
      </c>
      <c r="F2788" s="10" t="s">
        <v>3079</v>
      </c>
      <c r="G2788" s="10" t="s">
        <v>21</v>
      </c>
      <c r="H2788" s="10" t="s">
        <v>22</v>
      </c>
      <c r="I2788" s="10" t="s">
        <v>23</v>
      </c>
      <c r="J2788" s="11">
        <v>0.83</v>
      </c>
      <c r="K2788" s="12"/>
      <c r="L2788" s="12"/>
      <c r="M2788" s="12"/>
      <c r="N2788" s="12"/>
      <c r="O2788" s="12"/>
      <c r="P2788" s="12"/>
      <c r="Q2788" s="12"/>
      <c r="R2788" s="12"/>
      <c r="S2788" s="12"/>
    </row>
    <row r="2789" spans="1:19" ht="14.25" customHeight="1" x14ac:dyDescent="0.2">
      <c r="A2789" s="1" t="s">
        <v>95</v>
      </c>
      <c r="B2789" s="7">
        <v>46104.973668981482</v>
      </c>
      <c r="C2789" s="7">
        <v>46105.030729166669</v>
      </c>
      <c r="D2789" s="8">
        <v>46105</v>
      </c>
      <c r="E2789" s="9">
        <v>3.0729166668606922E-2</v>
      </c>
      <c r="F2789" s="10" t="s">
        <v>3080</v>
      </c>
      <c r="G2789" s="10" t="s">
        <v>21</v>
      </c>
      <c r="H2789" s="10" t="s">
        <v>110</v>
      </c>
      <c r="I2789" s="10" t="s">
        <v>23</v>
      </c>
      <c r="J2789" s="11">
        <v>0.83</v>
      </c>
      <c r="K2789" s="12"/>
      <c r="L2789" s="12"/>
      <c r="M2789" s="12"/>
      <c r="N2789" s="12"/>
      <c r="O2789" s="12"/>
      <c r="P2789" s="12"/>
      <c r="Q2789" s="12"/>
      <c r="R2789" s="12"/>
      <c r="S2789" s="12"/>
    </row>
    <row r="2790" spans="1:19" ht="14.25" customHeight="1" x14ac:dyDescent="0.2">
      <c r="A2790" s="1" t="s">
        <v>24</v>
      </c>
      <c r="B2790" s="7">
        <v>46105.000659722224</v>
      </c>
      <c r="C2790" s="7">
        <v>46105.030960648146</v>
      </c>
      <c r="D2790" s="8">
        <v>46105</v>
      </c>
      <c r="E2790" s="9">
        <v>3.0960648145992309E-2</v>
      </c>
      <c r="F2790" s="10" t="s">
        <v>3081</v>
      </c>
      <c r="G2790" s="10" t="s">
        <v>21</v>
      </c>
      <c r="H2790" s="10" t="s">
        <v>52</v>
      </c>
      <c r="I2790" s="10" t="s">
        <v>23</v>
      </c>
      <c r="J2790" s="11">
        <v>0.98</v>
      </c>
      <c r="K2790" s="12"/>
      <c r="L2790" s="12"/>
      <c r="M2790" s="12"/>
      <c r="N2790" s="12"/>
      <c r="O2790" s="12"/>
      <c r="P2790" s="12"/>
      <c r="Q2790" s="12"/>
      <c r="R2790" s="12"/>
      <c r="S2790" s="12"/>
    </row>
    <row r="2791" spans="1:19" ht="14.25" customHeight="1" x14ac:dyDescent="0.2">
      <c r="A2791" s="1" t="s">
        <v>28</v>
      </c>
      <c r="B2791" s="7">
        <v>46105.013090277775</v>
      </c>
      <c r="C2791" s="7">
        <v>46105.031284722223</v>
      </c>
      <c r="D2791" s="8">
        <v>46105</v>
      </c>
      <c r="E2791" s="9">
        <v>3.1284722223063E-2</v>
      </c>
      <c r="F2791" s="10" t="s">
        <v>3082</v>
      </c>
      <c r="G2791" s="10" t="s">
        <v>21</v>
      </c>
      <c r="H2791" s="10" t="s">
        <v>41</v>
      </c>
      <c r="I2791" s="10" t="s">
        <v>23</v>
      </c>
      <c r="J2791" s="11">
        <v>1.77</v>
      </c>
      <c r="K2791" s="12"/>
      <c r="L2791" s="12"/>
      <c r="M2791" s="12"/>
      <c r="N2791" s="12"/>
      <c r="O2791" s="12"/>
      <c r="P2791" s="12"/>
      <c r="Q2791" s="12"/>
      <c r="R2791" s="12"/>
      <c r="S2791" s="12"/>
    </row>
    <row r="2792" spans="1:19" ht="14.25" customHeight="1" x14ac:dyDescent="0.2">
      <c r="A2792" s="1" t="s">
        <v>95</v>
      </c>
      <c r="B2792" s="7">
        <v>46105.017962962964</v>
      </c>
      <c r="C2792" s="7">
        <v>46105.032777777778</v>
      </c>
      <c r="D2792" s="8">
        <v>46105</v>
      </c>
      <c r="E2792" s="9">
        <v>3.2777777778392192E-2</v>
      </c>
      <c r="F2792" s="10" t="s">
        <v>3083</v>
      </c>
      <c r="G2792" s="10" t="s">
        <v>180</v>
      </c>
      <c r="H2792" s="10" t="s">
        <v>506</v>
      </c>
      <c r="I2792" s="10" t="s">
        <v>23</v>
      </c>
      <c r="J2792" s="11">
        <v>1.44</v>
      </c>
      <c r="K2792" s="12"/>
      <c r="L2792" s="12"/>
      <c r="M2792" s="12"/>
      <c r="N2792" s="12"/>
      <c r="O2792" s="12"/>
      <c r="P2792" s="12"/>
      <c r="Q2792" s="12"/>
      <c r="R2792" s="12"/>
      <c r="S2792" s="12"/>
    </row>
    <row r="2793" spans="1:19" ht="14.25" customHeight="1" x14ac:dyDescent="0.2">
      <c r="A2793" s="1" t="s">
        <v>33</v>
      </c>
      <c r="B2793" s="7">
        <v>46105.008101851854</v>
      </c>
      <c r="C2793" s="7">
        <v>46105.033043981479</v>
      </c>
      <c r="D2793" s="8">
        <v>46105</v>
      </c>
      <c r="E2793" s="9">
        <v>3.3043981478840578E-2</v>
      </c>
      <c r="F2793" s="10" t="s">
        <v>3084</v>
      </c>
      <c r="G2793" s="10" t="s">
        <v>21</v>
      </c>
      <c r="H2793" s="10" t="s">
        <v>22</v>
      </c>
      <c r="I2793" s="10" t="s">
        <v>23</v>
      </c>
      <c r="J2793" s="11">
        <v>0.83</v>
      </c>
      <c r="K2793" s="12"/>
      <c r="L2793" s="12"/>
      <c r="M2793" s="12"/>
      <c r="N2793" s="12"/>
      <c r="O2793" s="12"/>
      <c r="P2793" s="12"/>
      <c r="Q2793" s="12"/>
      <c r="R2793" s="12"/>
      <c r="S2793" s="12"/>
    </row>
    <row r="2794" spans="1:19" ht="14.25" customHeight="1" x14ac:dyDescent="0.2">
      <c r="A2794" s="1" t="s">
        <v>33</v>
      </c>
      <c r="B2794" s="7">
        <v>46105.008101851854</v>
      </c>
      <c r="C2794" s="7">
        <v>46105.033993055556</v>
      </c>
      <c r="D2794" s="8">
        <v>46105</v>
      </c>
      <c r="E2794" s="9">
        <v>3.3993055556493346E-2</v>
      </c>
      <c r="F2794" s="10" t="s">
        <v>3085</v>
      </c>
      <c r="G2794" s="10" t="s">
        <v>21</v>
      </c>
      <c r="H2794" s="10" t="s">
        <v>39</v>
      </c>
      <c r="I2794" s="10" t="s">
        <v>23</v>
      </c>
      <c r="J2794" s="11">
        <v>1.77</v>
      </c>
      <c r="K2794" s="12"/>
      <c r="L2794" s="12"/>
      <c r="M2794" s="12"/>
      <c r="N2794" s="12"/>
      <c r="O2794" s="12"/>
      <c r="P2794" s="12"/>
      <c r="Q2794" s="12"/>
      <c r="R2794" s="12"/>
      <c r="S2794" s="12"/>
    </row>
    <row r="2795" spans="1:19" ht="14.25" customHeight="1" x14ac:dyDescent="0.2">
      <c r="A2795" s="1" t="s">
        <v>95</v>
      </c>
      <c r="B2795" s="7">
        <v>46105.004560185182</v>
      </c>
      <c r="C2795" s="7">
        <v>46105.034259259257</v>
      </c>
      <c r="D2795" s="8">
        <v>46105</v>
      </c>
      <c r="E2795" s="9">
        <v>3.4259259256941732E-2</v>
      </c>
      <c r="F2795" s="10" t="s">
        <v>3086</v>
      </c>
      <c r="G2795" s="10" t="s">
        <v>21</v>
      </c>
      <c r="H2795" s="10" t="s">
        <v>110</v>
      </c>
      <c r="I2795" s="10" t="s">
        <v>23</v>
      </c>
      <c r="J2795" s="11">
        <v>0.83</v>
      </c>
      <c r="K2795" s="12"/>
      <c r="L2795" s="12"/>
      <c r="M2795" s="12"/>
      <c r="N2795" s="12"/>
      <c r="O2795" s="12"/>
      <c r="P2795" s="12"/>
      <c r="Q2795" s="12"/>
      <c r="R2795" s="12"/>
      <c r="S2795" s="12"/>
    </row>
    <row r="2796" spans="1:19" ht="14.25" customHeight="1" x14ac:dyDescent="0.2">
      <c r="A2796" s="1" t="s">
        <v>33</v>
      </c>
      <c r="B2796" s="7">
        <v>46105.008101851854</v>
      </c>
      <c r="C2796" s="7">
        <v>46105.03533564815</v>
      </c>
      <c r="D2796" s="8">
        <v>46105</v>
      </c>
      <c r="E2796" s="9">
        <v>3.5335648150066845E-2</v>
      </c>
      <c r="F2796" s="10" t="s">
        <v>3087</v>
      </c>
      <c r="G2796" s="10" t="s">
        <v>21</v>
      </c>
      <c r="H2796" s="10" t="s">
        <v>41</v>
      </c>
      <c r="I2796" s="10" t="s">
        <v>23</v>
      </c>
      <c r="J2796" s="11">
        <v>1.77</v>
      </c>
      <c r="K2796" s="12"/>
      <c r="L2796" s="12"/>
      <c r="M2796" s="12"/>
      <c r="N2796" s="12"/>
      <c r="O2796" s="12"/>
      <c r="P2796" s="12"/>
      <c r="Q2796" s="12"/>
      <c r="R2796" s="12"/>
      <c r="S2796" s="12"/>
    </row>
    <row r="2797" spans="1:19" ht="14.25" customHeight="1" x14ac:dyDescent="0.2">
      <c r="A2797" s="1" t="s">
        <v>42</v>
      </c>
      <c r="B2797" s="7">
        <v>46105.006354166668</v>
      </c>
      <c r="C2797" s="7">
        <v>46105.036030092589</v>
      </c>
      <c r="D2797" s="8">
        <v>46105</v>
      </c>
      <c r="E2797" s="9">
        <v>3.6030092589498963E-2</v>
      </c>
      <c r="F2797" s="10" t="s">
        <v>3088</v>
      </c>
      <c r="G2797" s="10" t="s">
        <v>26</v>
      </c>
      <c r="H2797" s="10" t="s">
        <v>125</v>
      </c>
      <c r="I2797" s="10" t="s">
        <v>23</v>
      </c>
      <c r="J2797" s="11">
        <v>0.63</v>
      </c>
      <c r="K2797" s="12"/>
      <c r="L2797" s="12"/>
      <c r="M2797" s="12"/>
      <c r="N2797" s="12"/>
      <c r="O2797" s="12"/>
      <c r="P2797" s="12"/>
      <c r="Q2797" s="12"/>
      <c r="R2797" s="12"/>
      <c r="S2797" s="12"/>
    </row>
    <row r="2798" spans="1:19" ht="14.25" customHeight="1" x14ac:dyDescent="0.2">
      <c r="A2798" s="1" t="s">
        <v>19</v>
      </c>
      <c r="B2798" s="7">
        <v>46105.012141203704</v>
      </c>
      <c r="C2798" s="7">
        <v>46105.040682870371</v>
      </c>
      <c r="D2798" s="8">
        <v>46105</v>
      </c>
      <c r="E2798" s="9">
        <v>4.0682870370801538E-2</v>
      </c>
      <c r="F2798" s="10" t="s">
        <v>3089</v>
      </c>
      <c r="G2798" s="10" t="s">
        <v>21</v>
      </c>
      <c r="H2798" s="10" t="s">
        <v>101</v>
      </c>
      <c r="I2798" s="10" t="s">
        <v>23</v>
      </c>
      <c r="J2798" s="11">
        <v>1.7</v>
      </c>
      <c r="K2798" s="12"/>
      <c r="L2798" s="12"/>
      <c r="M2798" s="12"/>
      <c r="N2798" s="12"/>
      <c r="O2798" s="12"/>
      <c r="P2798" s="12"/>
      <c r="Q2798" s="12"/>
      <c r="R2798" s="12"/>
      <c r="S2798" s="12"/>
    </row>
    <row r="2799" spans="1:19" ht="14.25" customHeight="1" x14ac:dyDescent="0.2">
      <c r="A2799" s="1" t="s">
        <v>57</v>
      </c>
      <c r="B2799" s="7">
        <v>46105.033750000002</v>
      </c>
      <c r="C2799" s="7">
        <v>46105.04105324074</v>
      </c>
      <c r="D2799" s="8">
        <v>46105</v>
      </c>
      <c r="E2799" s="9">
        <v>4.1053240740438923E-2</v>
      </c>
      <c r="F2799" s="10" t="s">
        <v>3090</v>
      </c>
      <c r="G2799" s="10" t="s">
        <v>21</v>
      </c>
      <c r="H2799" s="10" t="s">
        <v>303</v>
      </c>
      <c r="I2799" s="10" t="s">
        <v>23</v>
      </c>
      <c r="J2799" s="11">
        <v>1.77</v>
      </c>
      <c r="K2799" s="12"/>
      <c r="L2799" s="12"/>
      <c r="M2799" s="12"/>
      <c r="N2799" s="12"/>
      <c r="O2799" s="12"/>
      <c r="P2799" s="12"/>
      <c r="Q2799" s="12"/>
      <c r="R2799" s="12"/>
      <c r="S2799" s="12"/>
    </row>
    <row r="2800" spans="1:19" ht="14.25" customHeight="1" x14ac:dyDescent="0.2">
      <c r="A2800" s="1" t="s">
        <v>24</v>
      </c>
      <c r="B2800" s="7">
        <v>46105.025810185187</v>
      </c>
      <c r="C2800" s="7">
        <v>46105.042812500003</v>
      </c>
      <c r="D2800" s="8">
        <v>46105</v>
      </c>
      <c r="E2800" s="9">
        <v>4.281250000349246E-2</v>
      </c>
      <c r="F2800" s="10" t="s">
        <v>3091</v>
      </c>
      <c r="G2800" s="10" t="s">
        <v>21</v>
      </c>
      <c r="H2800" s="10" t="s">
        <v>41</v>
      </c>
      <c r="I2800" s="10" t="s">
        <v>23</v>
      </c>
      <c r="J2800" s="11">
        <v>1.77</v>
      </c>
      <c r="K2800" s="12"/>
      <c r="L2800" s="12">
        <f>SUM(J2800:J2818)</f>
        <v>24.03</v>
      </c>
      <c r="M2800" s="13">
        <f>L2800*65</f>
        <v>1561.95</v>
      </c>
      <c r="N2800" s="14">
        <f>MAX(500,M2800)</f>
        <v>1561.95</v>
      </c>
      <c r="O2800" s="12"/>
      <c r="P2800" s="12"/>
      <c r="Q2800" s="12"/>
      <c r="R2800" s="12"/>
      <c r="S2800" s="12"/>
    </row>
    <row r="2801" spans="1:19" ht="14.25" customHeight="1" x14ac:dyDescent="0.2">
      <c r="A2801" s="1" t="s">
        <v>95</v>
      </c>
      <c r="B2801" s="7">
        <v>46105.033009259256</v>
      </c>
      <c r="C2801" s="7">
        <v>46105.044618055559</v>
      </c>
      <c r="D2801" s="8">
        <v>46105</v>
      </c>
      <c r="E2801" s="9">
        <v>4.461805555911269E-2</v>
      </c>
      <c r="F2801" s="10" t="s">
        <v>3092</v>
      </c>
      <c r="G2801" s="10" t="s">
        <v>21</v>
      </c>
      <c r="H2801" s="10" t="s">
        <v>108</v>
      </c>
      <c r="I2801" s="10" t="s">
        <v>23</v>
      </c>
      <c r="J2801" s="11">
        <v>1.7</v>
      </c>
      <c r="K2801" s="12"/>
      <c r="L2801" s="12"/>
      <c r="M2801" s="12"/>
      <c r="N2801" s="12"/>
      <c r="O2801" s="12"/>
      <c r="P2801" s="12"/>
      <c r="Q2801" s="12"/>
      <c r="R2801" s="12"/>
      <c r="S2801" s="12"/>
    </row>
    <row r="2802" spans="1:19" ht="14.25" customHeight="1" x14ac:dyDescent="0.2">
      <c r="A2802" s="1" t="s">
        <v>95</v>
      </c>
      <c r="B2802" s="7">
        <v>46105.017962962964</v>
      </c>
      <c r="C2802" s="7">
        <v>46105.046458333331</v>
      </c>
      <c r="D2802" s="8">
        <v>46105</v>
      </c>
      <c r="E2802" s="9">
        <v>4.6458333330519963E-2</v>
      </c>
      <c r="F2802" s="10" t="s">
        <v>3093</v>
      </c>
      <c r="G2802" s="10" t="s">
        <v>180</v>
      </c>
      <c r="H2802" s="10" t="s">
        <v>504</v>
      </c>
      <c r="I2802" s="10" t="s">
        <v>23</v>
      </c>
      <c r="J2802" s="11">
        <v>1.44</v>
      </c>
      <c r="K2802" s="12"/>
      <c r="L2802" s="12"/>
      <c r="M2802" s="12"/>
      <c r="N2802" s="12"/>
      <c r="O2802" s="12"/>
      <c r="P2802" s="12"/>
      <c r="Q2802" s="12"/>
      <c r="R2802" s="12"/>
      <c r="S2802" s="12"/>
    </row>
    <row r="2803" spans="1:19" ht="14.25" customHeight="1" x14ac:dyDescent="0.2">
      <c r="A2803" s="1" t="s">
        <v>24</v>
      </c>
      <c r="B2803" s="7">
        <v>46105.012037037035</v>
      </c>
      <c r="C2803" s="7">
        <v>46105.04828703704</v>
      </c>
      <c r="D2803" s="8">
        <v>46105</v>
      </c>
      <c r="E2803" s="9">
        <v>4.8287037039699499E-2</v>
      </c>
      <c r="F2803" s="10" t="s">
        <v>3094</v>
      </c>
      <c r="G2803" s="10" t="s">
        <v>21</v>
      </c>
      <c r="H2803" s="10" t="s">
        <v>440</v>
      </c>
      <c r="I2803" s="10" t="s">
        <v>23</v>
      </c>
      <c r="J2803" s="11">
        <v>2.34</v>
      </c>
      <c r="K2803" s="12"/>
      <c r="L2803" s="12"/>
      <c r="M2803" s="12"/>
      <c r="N2803" s="12"/>
      <c r="O2803" s="12"/>
      <c r="P2803" s="12"/>
      <c r="Q2803" s="12"/>
      <c r="R2803" s="12"/>
      <c r="S2803" s="12"/>
    </row>
    <row r="2804" spans="1:19" ht="14.25" customHeight="1" x14ac:dyDescent="0.2">
      <c r="A2804" s="1" t="s">
        <v>19</v>
      </c>
      <c r="B2804" s="7">
        <v>46105.032465277778</v>
      </c>
      <c r="C2804" s="7">
        <v>46105.048738425925</v>
      </c>
      <c r="D2804" s="8">
        <v>46105</v>
      </c>
      <c r="E2804" s="9">
        <v>4.8738425924966577E-2</v>
      </c>
      <c r="F2804" s="10" t="s">
        <v>3095</v>
      </c>
      <c r="G2804" s="10" t="s">
        <v>21</v>
      </c>
      <c r="H2804" s="10" t="s">
        <v>101</v>
      </c>
      <c r="I2804" s="10" t="s">
        <v>23</v>
      </c>
      <c r="J2804" s="11">
        <v>1.7</v>
      </c>
      <c r="K2804" s="12"/>
      <c r="L2804" s="12"/>
      <c r="M2804" s="12"/>
      <c r="N2804" s="12"/>
      <c r="O2804" s="12"/>
      <c r="P2804" s="12"/>
      <c r="Q2804" s="12"/>
      <c r="R2804" s="12"/>
      <c r="S2804" s="12"/>
    </row>
    <row r="2805" spans="1:19" ht="14.25" customHeight="1" x14ac:dyDescent="0.2">
      <c r="A2805" s="1" t="s">
        <v>95</v>
      </c>
      <c r="B2805" s="7">
        <v>46104.990416666667</v>
      </c>
      <c r="C2805" s="7">
        <v>46105.050370370373</v>
      </c>
      <c r="D2805" s="8">
        <v>46105</v>
      </c>
      <c r="E2805" s="9">
        <v>5.0370370372547768E-2</v>
      </c>
      <c r="F2805" s="10" t="s">
        <v>3096</v>
      </c>
      <c r="G2805" s="10" t="s">
        <v>26</v>
      </c>
      <c r="H2805" s="10" t="s">
        <v>56</v>
      </c>
      <c r="I2805" s="10" t="s">
        <v>23</v>
      </c>
      <c r="J2805" s="11">
        <v>0.73</v>
      </c>
      <c r="K2805" s="12"/>
      <c r="L2805" s="12"/>
      <c r="M2805" s="12"/>
      <c r="N2805" s="12"/>
      <c r="O2805" s="12"/>
      <c r="P2805" s="12"/>
      <c r="Q2805" s="12"/>
      <c r="R2805" s="12"/>
      <c r="S2805" s="12"/>
    </row>
    <row r="2806" spans="1:19" ht="14.25" customHeight="1" x14ac:dyDescent="0.2">
      <c r="A2806" s="1" t="s">
        <v>24</v>
      </c>
      <c r="B2806" s="7">
        <v>46105.026631944442</v>
      </c>
      <c r="C2806" s="7">
        <v>46105.050868055558</v>
      </c>
      <c r="D2806" s="8">
        <v>46105</v>
      </c>
      <c r="E2806" s="9">
        <v>5.0868055557657499E-2</v>
      </c>
      <c r="F2806" s="10" t="s">
        <v>3097</v>
      </c>
      <c r="G2806" s="10" t="s">
        <v>26</v>
      </c>
      <c r="H2806" s="10" t="s">
        <v>1367</v>
      </c>
      <c r="I2806" s="10" t="s">
        <v>23</v>
      </c>
      <c r="J2806" s="11">
        <v>0.49</v>
      </c>
      <c r="K2806" s="12"/>
      <c r="L2806" s="12"/>
      <c r="M2806" s="12"/>
      <c r="N2806" s="12"/>
      <c r="O2806" s="12"/>
      <c r="P2806" s="12"/>
      <c r="Q2806" s="12"/>
      <c r="R2806" s="12"/>
      <c r="S2806" s="12"/>
    </row>
    <row r="2807" spans="1:19" ht="14.25" customHeight="1" x14ac:dyDescent="0.2">
      <c r="A2807" s="1" t="s">
        <v>19</v>
      </c>
      <c r="B2807" s="7">
        <v>46105.040416666663</v>
      </c>
      <c r="C2807" s="7">
        <v>46105.054143518515</v>
      </c>
      <c r="D2807" s="8">
        <v>46105</v>
      </c>
      <c r="E2807" s="9">
        <v>5.4143518515047617E-2</v>
      </c>
      <c r="F2807" s="10" t="s">
        <v>3098</v>
      </c>
      <c r="G2807" s="10" t="s">
        <v>21</v>
      </c>
      <c r="H2807" s="10" t="s">
        <v>620</v>
      </c>
      <c r="I2807" s="10" t="s">
        <v>23</v>
      </c>
      <c r="J2807" s="11">
        <v>1.06</v>
      </c>
      <c r="K2807" s="12"/>
      <c r="L2807" s="12"/>
      <c r="M2807" s="12"/>
      <c r="N2807" s="12"/>
      <c r="O2807" s="12"/>
      <c r="P2807" s="12"/>
      <c r="Q2807" s="12"/>
      <c r="R2807" s="12"/>
      <c r="S2807" s="12"/>
    </row>
    <row r="2808" spans="1:19" ht="14.25" customHeight="1" x14ac:dyDescent="0.2">
      <c r="A2808" s="1" t="s">
        <v>28</v>
      </c>
      <c r="B2808" s="7">
        <v>46105.043506944443</v>
      </c>
      <c r="C2808" s="7">
        <v>46105.055138888885</v>
      </c>
      <c r="D2808" s="8">
        <v>46105</v>
      </c>
      <c r="E2808" s="9">
        <v>5.5138888885267079E-2</v>
      </c>
      <c r="F2808" s="10" t="s">
        <v>3099</v>
      </c>
      <c r="G2808" s="10" t="s">
        <v>21</v>
      </c>
      <c r="H2808" s="10" t="s">
        <v>41</v>
      </c>
      <c r="I2808" s="10" t="s">
        <v>23</v>
      </c>
      <c r="J2808" s="11">
        <v>1.77</v>
      </c>
      <c r="K2808" s="12"/>
      <c r="L2808" s="12"/>
      <c r="M2808" s="12"/>
      <c r="N2808" s="12"/>
      <c r="O2808" s="12"/>
      <c r="P2808" s="12"/>
      <c r="Q2808" s="12"/>
      <c r="R2808" s="12"/>
      <c r="S2808" s="12"/>
    </row>
    <row r="2809" spans="1:19" ht="14.25" customHeight="1" x14ac:dyDescent="0.2">
      <c r="A2809" s="1" t="s">
        <v>95</v>
      </c>
      <c r="B2809" s="7">
        <v>46105.030312499999</v>
      </c>
      <c r="C2809" s="7">
        <v>46105.058252314811</v>
      </c>
      <c r="D2809" s="8">
        <v>46105</v>
      </c>
      <c r="E2809" s="9">
        <v>5.825231481139781E-2</v>
      </c>
      <c r="F2809" s="10" t="s">
        <v>3100</v>
      </c>
      <c r="G2809" s="10" t="s">
        <v>21</v>
      </c>
      <c r="H2809" s="10" t="s">
        <v>52</v>
      </c>
      <c r="I2809" s="10" t="s">
        <v>23</v>
      </c>
      <c r="J2809" s="11">
        <v>0.98</v>
      </c>
      <c r="K2809" s="12"/>
      <c r="L2809" s="12"/>
      <c r="M2809" s="12"/>
      <c r="N2809" s="12"/>
      <c r="O2809" s="12"/>
      <c r="P2809" s="12"/>
      <c r="Q2809" s="12"/>
      <c r="R2809" s="12"/>
      <c r="S2809" s="12"/>
    </row>
    <row r="2810" spans="1:19" ht="14.25" customHeight="1" x14ac:dyDescent="0.2">
      <c r="A2810" s="1" t="s">
        <v>24</v>
      </c>
      <c r="B2810" s="7">
        <v>46105.04891203704</v>
      </c>
      <c r="C2810" s="7">
        <v>46105.067696759259</v>
      </c>
      <c r="D2810" s="8">
        <v>46105</v>
      </c>
      <c r="E2810" s="9">
        <v>6.7696759258979E-2</v>
      </c>
      <c r="F2810" s="10" t="s">
        <v>3101</v>
      </c>
      <c r="G2810" s="10" t="s">
        <v>26</v>
      </c>
      <c r="H2810" s="10" t="s">
        <v>251</v>
      </c>
      <c r="I2810" s="10" t="s">
        <v>23</v>
      </c>
      <c r="J2810" s="11">
        <v>0.62</v>
      </c>
      <c r="K2810" s="12"/>
      <c r="L2810" s="12"/>
      <c r="M2810" s="12"/>
      <c r="N2810" s="12"/>
      <c r="O2810" s="12"/>
      <c r="P2810" s="12"/>
      <c r="Q2810" s="12"/>
      <c r="R2810" s="12"/>
      <c r="S2810" s="12"/>
    </row>
    <row r="2811" spans="1:19" ht="14.25" customHeight="1" x14ac:dyDescent="0.2">
      <c r="A2811" s="1" t="s">
        <v>24</v>
      </c>
      <c r="B2811" s="7">
        <v>46105.051215277781</v>
      </c>
      <c r="C2811" s="7">
        <v>46105.068182870367</v>
      </c>
      <c r="D2811" s="8">
        <v>46105</v>
      </c>
      <c r="E2811" s="9">
        <v>6.8182870367309079E-2</v>
      </c>
      <c r="F2811" s="10" t="s">
        <v>3102</v>
      </c>
      <c r="G2811" s="10" t="s">
        <v>21</v>
      </c>
      <c r="H2811" s="10" t="s">
        <v>101</v>
      </c>
      <c r="I2811" s="10" t="s">
        <v>23</v>
      </c>
      <c r="J2811" s="11">
        <v>1.7</v>
      </c>
      <c r="K2811" s="12"/>
      <c r="L2811" s="12"/>
      <c r="M2811" s="12"/>
      <c r="N2811" s="12"/>
      <c r="O2811" s="12"/>
      <c r="P2811" s="12"/>
      <c r="Q2811" s="12"/>
      <c r="R2811" s="12"/>
      <c r="S2811" s="12"/>
    </row>
    <row r="2812" spans="1:19" ht="14.25" customHeight="1" x14ac:dyDescent="0.2">
      <c r="A2812" s="1" t="s">
        <v>42</v>
      </c>
      <c r="B2812" s="7">
        <v>46105.043888888889</v>
      </c>
      <c r="C2812" s="7">
        <v>46105.069004629629</v>
      </c>
      <c r="D2812" s="8">
        <v>46105</v>
      </c>
      <c r="E2812" s="9">
        <v>6.90046296294895E-2</v>
      </c>
      <c r="F2812" s="10" t="s">
        <v>3103</v>
      </c>
      <c r="G2812" s="10" t="s">
        <v>26</v>
      </c>
      <c r="H2812" s="10" t="s">
        <v>3104</v>
      </c>
      <c r="I2812" s="10" t="s">
        <v>23</v>
      </c>
      <c r="J2812" s="11">
        <v>1.34</v>
      </c>
      <c r="K2812" s="12"/>
      <c r="L2812" s="12"/>
      <c r="M2812" s="12"/>
      <c r="N2812" s="12"/>
      <c r="O2812" s="12"/>
      <c r="P2812" s="12"/>
      <c r="Q2812" s="12"/>
      <c r="R2812" s="12"/>
      <c r="S2812" s="12"/>
    </row>
    <row r="2813" spans="1:19" ht="14.25" customHeight="1" x14ac:dyDescent="0.2">
      <c r="A2813" s="1" t="s">
        <v>42</v>
      </c>
      <c r="B2813" s="7">
        <v>46105.04619212963</v>
      </c>
      <c r="C2813" s="7">
        <v>46105.069502314815</v>
      </c>
      <c r="D2813" s="8">
        <v>46105</v>
      </c>
      <c r="E2813" s="9">
        <v>6.9502314814599231E-2</v>
      </c>
      <c r="F2813" s="10" t="s">
        <v>3105</v>
      </c>
      <c r="G2813" s="10" t="s">
        <v>26</v>
      </c>
      <c r="H2813" s="10" t="s">
        <v>125</v>
      </c>
      <c r="I2813" s="10" t="s">
        <v>23</v>
      </c>
      <c r="J2813" s="11">
        <v>0.63</v>
      </c>
      <c r="K2813" s="12"/>
      <c r="L2813" s="12"/>
      <c r="M2813" s="12"/>
      <c r="N2813" s="12"/>
      <c r="O2813" s="12"/>
      <c r="P2813" s="12"/>
      <c r="Q2813" s="12"/>
      <c r="R2813" s="12"/>
      <c r="S2813" s="12"/>
    </row>
    <row r="2814" spans="1:19" ht="14.25" customHeight="1" x14ac:dyDescent="0.2">
      <c r="A2814" s="1" t="s">
        <v>95</v>
      </c>
      <c r="B2814" s="7">
        <v>46105.034745370373</v>
      </c>
      <c r="C2814" s="7">
        <v>46105.076006944444</v>
      </c>
      <c r="D2814" s="8">
        <v>46105</v>
      </c>
      <c r="E2814" s="9">
        <v>7.6006944444088731E-2</v>
      </c>
      <c r="F2814" s="10" t="s">
        <v>3106</v>
      </c>
      <c r="G2814" s="10" t="s">
        <v>21</v>
      </c>
      <c r="H2814" s="10" t="s">
        <v>216</v>
      </c>
      <c r="I2814" s="10" t="s">
        <v>23</v>
      </c>
      <c r="J2814" s="11">
        <v>0.98</v>
      </c>
      <c r="K2814" s="12"/>
      <c r="L2814" s="12"/>
      <c r="M2814" s="12"/>
      <c r="N2814" s="12"/>
      <c r="O2814" s="12"/>
      <c r="P2814" s="12"/>
      <c r="Q2814" s="12"/>
      <c r="R2814" s="12"/>
      <c r="S2814" s="12"/>
    </row>
    <row r="2815" spans="1:19" ht="14.25" customHeight="1" x14ac:dyDescent="0.2">
      <c r="A2815" s="1" t="s">
        <v>95</v>
      </c>
      <c r="B2815" s="7">
        <v>46105.034745370373</v>
      </c>
      <c r="C2815" s="7">
        <v>46105.076296296298</v>
      </c>
      <c r="D2815" s="8">
        <v>46105</v>
      </c>
      <c r="E2815" s="9">
        <v>7.6296296298096422E-2</v>
      </c>
      <c r="F2815" s="10" t="s">
        <v>3107</v>
      </c>
      <c r="G2815" s="10" t="s">
        <v>21</v>
      </c>
      <c r="H2815" s="10" t="s">
        <v>598</v>
      </c>
      <c r="I2815" s="10" t="s">
        <v>23</v>
      </c>
      <c r="J2815" s="11">
        <v>0.98</v>
      </c>
      <c r="K2815" s="12"/>
      <c r="L2815" s="12"/>
      <c r="M2815" s="12"/>
      <c r="N2815" s="12"/>
      <c r="O2815" s="12"/>
      <c r="P2815" s="12"/>
      <c r="Q2815" s="12"/>
      <c r="R2815" s="12"/>
      <c r="S2815" s="12"/>
    </row>
    <row r="2816" spans="1:19" ht="14.25" customHeight="1" x14ac:dyDescent="0.2">
      <c r="A2816" s="1" t="s">
        <v>24</v>
      </c>
      <c r="B2816" s="7">
        <v>46105.05773148148</v>
      </c>
      <c r="C2816" s="7">
        <v>46105.081921296296</v>
      </c>
      <c r="D2816" s="8">
        <v>46105</v>
      </c>
      <c r="E2816" s="9">
        <v>8.1921296296059154E-2</v>
      </c>
      <c r="F2816" s="10" t="s">
        <v>3108</v>
      </c>
      <c r="G2816" s="10" t="s">
        <v>21</v>
      </c>
      <c r="H2816" s="10" t="s">
        <v>41</v>
      </c>
      <c r="I2816" s="10" t="s">
        <v>23</v>
      </c>
      <c r="J2816" s="11">
        <v>1.77</v>
      </c>
      <c r="K2816" s="12"/>
      <c r="L2816" s="12"/>
      <c r="M2816" s="12"/>
      <c r="N2816" s="12"/>
      <c r="O2816" s="12"/>
      <c r="P2816" s="12"/>
      <c r="Q2816" s="12"/>
      <c r="R2816" s="12"/>
      <c r="S2816" s="12"/>
    </row>
    <row r="2817" spans="1:19" ht="14.25" customHeight="1" x14ac:dyDescent="0.2">
      <c r="A2817" s="1" t="s">
        <v>57</v>
      </c>
      <c r="B2817" s="7">
        <v>46105.065497685187</v>
      </c>
      <c r="C2817" s="7">
        <v>46105.082974537036</v>
      </c>
      <c r="D2817" s="8">
        <v>46105</v>
      </c>
      <c r="E2817" s="9">
        <v>8.2974537035624962E-2</v>
      </c>
      <c r="F2817" s="10" t="s">
        <v>3109</v>
      </c>
      <c r="G2817" s="10" t="s">
        <v>21</v>
      </c>
      <c r="H2817" s="10" t="s">
        <v>2791</v>
      </c>
      <c r="I2817" s="10" t="s">
        <v>23</v>
      </c>
      <c r="J2817" s="11">
        <v>1.05</v>
      </c>
      <c r="K2817" s="12"/>
      <c r="L2817" s="12"/>
      <c r="M2817" s="12"/>
      <c r="N2817" s="12"/>
      <c r="O2817" s="12"/>
      <c r="P2817" s="12"/>
      <c r="Q2817" s="12"/>
      <c r="R2817" s="12"/>
      <c r="S2817" s="12"/>
    </row>
    <row r="2818" spans="1:19" ht="14.25" customHeight="1" x14ac:dyDescent="0.2">
      <c r="A2818" s="1" t="s">
        <v>95</v>
      </c>
      <c r="B2818" s="7">
        <v>46105.067928240744</v>
      </c>
      <c r="C2818" s="7">
        <v>46105.083310185182</v>
      </c>
      <c r="D2818" s="8">
        <v>46105</v>
      </c>
      <c r="E2818" s="9">
        <v>8.3310185182199348E-2</v>
      </c>
      <c r="F2818" s="10" t="s">
        <v>3110</v>
      </c>
      <c r="G2818" s="10" t="s">
        <v>21</v>
      </c>
      <c r="H2818" s="10" t="s">
        <v>52</v>
      </c>
      <c r="I2818" s="10" t="s">
        <v>23</v>
      </c>
      <c r="J2818" s="11">
        <v>0.98</v>
      </c>
      <c r="K2818" s="12"/>
      <c r="L2818" s="12"/>
      <c r="M2818" s="12"/>
      <c r="N2818" s="12"/>
      <c r="O2818" s="12"/>
      <c r="P2818" s="12"/>
      <c r="Q2818" s="12"/>
      <c r="R2818" s="12"/>
      <c r="S2818" s="12"/>
    </row>
    <row r="2819" spans="1:19" ht="14.25" customHeight="1" x14ac:dyDescent="0.2">
      <c r="A2819" s="1" t="s">
        <v>24</v>
      </c>
      <c r="B2819" s="7">
        <v>46105.070671296293</v>
      </c>
      <c r="C2819" s="7">
        <v>46105.083958333336</v>
      </c>
      <c r="D2819" s="8">
        <v>46105</v>
      </c>
      <c r="E2819" s="9">
        <v>8.3958333336340729E-2</v>
      </c>
      <c r="F2819" s="10" t="s">
        <v>3111</v>
      </c>
      <c r="G2819" s="10" t="s">
        <v>21</v>
      </c>
      <c r="H2819" s="10" t="s">
        <v>41</v>
      </c>
      <c r="I2819" s="10" t="s">
        <v>23</v>
      </c>
      <c r="J2819" s="11">
        <v>1.77</v>
      </c>
      <c r="K2819" s="12"/>
      <c r="L2819" s="12">
        <f>SUM(J2819:J2828)</f>
        <v>16.010000000000002</v>
      </c>
      <c r="M2819" s="13">
        <f>L2819*65</f>
        <v>1040.6500000000001</v>
      </c>
      <c r="N2819" s="14">
        <f>MAX(500,M2819)</f>
        <v>1040.6500000000001</v>
      </c>
      <c r="O2819" s="12"/>
      <c r="P2819" s="12"/>
      <c r="Q2819" s="12"/>
      <c r="R2819" s="12"/>
      <c r="S2819" s="12"/>
    </row>
    <row r="2820" spans="1:19" ht="14.25" customHeight="1" x14ac:dyDescent="0.2">
      <c r="A2820" s="1" t="s">
        <v>28</v>
      </c>
      <c r="B2820" s="7">
        <v>46105.072094907409</v>
      </c>
      <c r="C2820" s="7">
        <v>46105.084328703706</v>
      </c>
      <c r="D2820" s="8">
        <v>46105</v>
      </c>
      <c r="E2820" s="9">
        <v>8.4328703705978114E-2</v>
      </c>
      <c r="F2820" s="10" t="s">
        <v>3112</v>
      </c>
      <c r="G2820" s="10" t="s">
        <v>21</v>
      </c>
      <c r="H2820" s="10" t="s">
        <v>41</v>
      </c>
      <c r="I2820" s="10" t="s">
        <v>23</v>
      </c>
      <c r="J2820" s="11">
        <v>1.77</v>
      </c>
      <c r="K2820" s="12"/>
      <c r="L2820" s="12"/>
      <c r="M2820" s="12"/>
      <c r="N2820" s="12"/>
      <c r="O2820" s="12"/>
      <c r="P2820" s="12"/>
      <c r="Q2820" s="12"/>
      <c r="R2820" s="12"/>
      <c r="S2820" s="12"/>
    </row>
    <row r="2821" spans="1:19" ht="14.25" customHeight="1" x14ac:dyDescent="0.2">
      <c r="A2821" s="1" t="s">
        <v>33</v>
      </c>
      <c r="B2821" s="7">
        <v>46105.078518518516</v>
      </c>
      <c r="C2821" s="7">
        <v>46105.097557870373</v>
      </c>
      <c r="D2821" s="8">
        <v>46105</v>
      </c>
      <c r="E2821" s="9">
        <v>9.7557870372838806E-2</v>
      </c>
      <c r="F2821" s="10" t="s">
        <v>3113</v>
      </c>
      <c r="G2821" s="10" t="s">
        <v>21</v>
      </c>
      <c r="H2821" s="10" t="s">
        <v>41</v>
      </c>
      <c r="I2821" s="10" t="s">
        <v>23</v>
      </c>
      <c r="J2821" s="11">
        <v>1.77</v>
      </c>
      <c r="K2821" s="12"/>
      <c r="L2821" s="12"/>
      <c r="M2821" s="12"/>
      <c r="N2821" s="12"/>
      <c r="O2821" s="12"/>
      <c r="P2821" s="12"/>
      <c r="Q2821" s="12"/>
      <c r="R2821" s="12"/>
      <c r="S2821" s="12"/>
    </row>
    <row r="2822" spans="1:19" ht="14.25" customHeight="1" x14ac:dyDescent="0.2">
      <c r="A2822" s="1" t="s">
        <v>24</v>
      </c>
      <c r="B2822" s="7">
        <v>46105.083449074074</v>
      </c>
      <c r="C2822" s="7">
        <v>46105.102824074071</v>
      </c>
      <c r="D2822" s="8">
        <v>46105</v>
      </c>
      <c r="E2822" s="9">
        <v>0.10282407407066785</v>
      </c>
      <c r="F2822" s="10" t="s">
        <v>3114</v>
      </c>
      <c r="G2822" s="10" t="s">
        <v>21</v>
      </c>
      <c r="H2822" s="10" t="s">
        <v>39</v>
      </c>
      <c r="I2822" s="10" t="s">
        <v>23</v>
      </c>
      <c r="J2822" s="11">
        <v>1.77</v>
      </c>
      <c r="K2822" s="12"/>
      <c r="L2822" s="12"/>
      <c r="M2822" s="12"/>
      <c r="N2822" s="12"/>
      <c r="O2822" s="12"/>
      <c r="P2822" s="12"/>
      <c r="Q2822" s="12"/>
      <c r="R2822" s="12"/>
      <c r="S2822" s="12"/>
    </row>
    <row r="2823" spans="1:19" ht="14.25" customHeight="1" x14ac:dyDescent="0.2">
      <c r="A2823" s="1" t="s">
        <v>95</v>
      </c>
      <c r="B2823" s="7">
        <v>46105.08258101852</v>
      </c>
      <c r="C2823" s="7">
        <v>46105.106134259258</v>
      </c>
      <c r="D2823" s="8">
        <v>46105</v>
      </c>
      <c r="E2823" s="9">
        <v>0.10613425925839692</v>
      </c>
      <c r="F2823" s="10" t="s">
        <v>3115</v>
      </c>
      <c r="G2823" s="10" t="s">
        <v>21</v>
      </c>
      <c r="H2823" s="10" t="s">
        <v>1610</v>
      </c>
      <c r="I2823" s="10" t="s">
        <v>23</v>
      </c>
      <c r="J2823" s="11">
        <v>0.83</v>
      </c>
      <c r="K2823" s="12"/>
      <c r="L2823" s="12"/>
      <c r="M2823" s="12"/>
      <c r="N2823" s="12"/>
      <c r="O2823" s="12"/>
      <c r="P2823" s="12"/>
      <c r="Q2823" s="12"/>
      <c r="R2823" s="12"/>
      <c r="S2823" s="12"/>
    </row>
    <row r="2824" spans="1:19" ht="14.25" customHeight="1" x14ac:dyDescent="0.2">
      <c r="A2824" s="1" t="s">
        <v>95</v>
      </c>
      <c r="B2824" s="7">
        <v>46105.058993055558</v>
      </c>
      <c r="C2824" s="7">
        <v>46105.106539351851</v>
      </c>
      <c r="D2824" s="8">
        <v>46105</v>
      </c>
      <c r="E2824" s="9">
        <v>0.10653935185109731</v>
      </c>
      <c r="F2824" s="10" t="s">
        <v>3116</v>
      </c>
      <c r="G2824" s="10" t="s">
        <v>21</v>
      </c>
      <c r="H2824" s="10" t="s">
        <v>154</v>
      </c>
      <c r="I2824" s="10" t="s">
        <v>23</v>
      </c>
      <c r="J2824" s="11">
        <v>1.77</v>
      </c>
      <c r="K2824" s="12"/>
      <c r="L2824" s="12"/>
      <c r="M2824" s="12"/>
      <c r="N2824" s="12"/>
      <c r="O2824" s="12"/>
      <c r="P2824" s="12"/>
      <c r="Q2824" s="12"/>
      <c r="R2824" s="12"/>
      <c r="S2824" s="12"/>
    </row>
    <row r="2825" spans="1:19" ht="14.25" customHeight="1" x14ac:dyDescent="0.2">
      <c r="A2825" s="1" t="s">
        <v>95</v>
      </c>
      <c r="B2825" s="7">
        <v>46105.050393518519</v>
      </c>
      <c r="C2825" s="7">
        <v>46105.109675925924</v>
      </c>
      <c r="D2825" s="8">
        <v>46105</v>
      </c>
      <c r="E2825" s="9">
        <v>0.10967592592351139</v>
      </c>
      <c r="F2825" s="10" t="s">
        <v>3117</v>
      </c>
      <c r="G2825" s="10" t="s">
        <v>21</v>
      </c>
      <c r="H2825" s="10" t="s">
        <v>154</v>
      </c>
      <c r="I2825" s="10" t="s">
        <v>23</v>
      </c>
      <c r="J2825" s="11">
        <v>1.77</v>
      </c>
      <c r="K2825" s="12"/>
      <c r="L2825" s="12"/>
      <c r="M2825" s="12"/>
      <c r="N2825" s="12"/>
      <c r="O2825" s="12"/>
      <c r="P2825" s="12"/>
      <c r="Q2825" s="12"/>
      <c r="R2825" s="12"/>
      <c r="S2825" s="12"/>
    </row>
    <row r="2826" spans="1:19" ht="14.25" customHeight="1" x14ac:dyDescent="0.2">
      <c r="A2826" s="1" t="s">
        <v>24</v>
      </c>
      <c r="B2826" s="7">
        <v>46105.064768518518</v>
      </c>
      <c r="C2826" s="7">
        <v>46105.110937500001</v>
      </c>
      <c r="D2826" s="8">
        <v>46105</v>
      </c>
      <c r="E2826" s="9">
        <v>0.11093750000145519</v>
      </c>
      <c r="F2826" s="10" t="s">
        <v>3118</v>
      </c>
      <c r="G2826" s="10" t="s">
        <v>21</v>
      </c>
      <c r="H2826" s="10" t="s">
        <v>523</v>
      </c>
      <c r="I2826" s="10" t="s">
        <v>23</v>
      </c>
      <c r="J2826" s="11">
        <v>1.96</v>
      </c>
      <c r="K2826" s="12"/>
      <c r="L2826" s="12"/>
      <c r="M2826" s="12"/>
      <c r="N2826" s="12"/>
      <c r="O2826" s="12"/>
      <c r="P2826" s="12"/>
      <c r="Q2826" s="12"/>
      <c r="R2826" s="12"/>
      <c r="S2826" s="12"/>
    </row>
    <row r="2827" spans="1:19" ht="14.25" customHeight="1" x14ac:dyDescent="0.2">
      <c r="A2827" s="1" t="s">
        <v>24</v>
      </c>
      <c r="B2827" s="7">
        <v>46105.107476851852</v>
      </c>
      <c r="C2827" s="7">
        <v>46105.122581018521</v>
      </c>
      <c r="D2827" s="8">
        <v>46105</v>
      </c>
      <c r="E2827" s="9">
        <v>0.12258101852057735</v>
      </c>
      <c r="F2827" s="10" t="s">
        <v>3119</v>
      </c>
      <c r="G2827" s="10" t="s">
        <v>21</v>
      </c>
      <c r="H2827" s="10" t="s">
        <v>22</v>
      </c>
      <c r="I2827" s="10" t="s">
        <v>23</v>
      </c>
      <c r="J2827" s="11">
        <v>0.83</v>
      </c>
      <c r="K2827" s="12"/>
      <c r="L2827" s="12"/>
      <c r="M2827" s="12"/>
      <c r="N2827" s="12"/>
      <c r="O2827" s="12"/>
      <c r="P2827" s="12"/>
      <c r="Q2827" s="12"/>
      <c r="R2827" s="12"/>
      <c r="S2827" s="12"/>
    </row>
    <row r="2828" spans="1:19" ht="14.25" customHeight="1" x14ac:dyDescent="0.2">
      <c r="A2828" s="1" t="s">
        <v>95</v>
      </c>
      <c r="B2828" s="7">
        <v>46105.116724537038</v>
      </c>
      <c r="C2828" s="7">
        <v>46105.12295138889</v>
      </c>
      <c r="D2828" s="8">
        <v>46105</v>
      </c>
      <c r="E2828" s="9">
        <v>0.12295138889021473</v>
      </c>
      <c r="F2828" s="10" t="s">
        <v>3120</v>
      </c>
      <c r="G2828" s="10" t="s">
        <v>21</v>
      </c>
      <c r="H2828" s="10" t="s">
        <v>97</v>
      </c>
      <c r="I2828" s="10" t="s">
        <v>23</v>
      </c>
      <c r="J2828" s="11">
        <v>1.77</v>
      </c>
      <c r="K2828" s="12"/>
      <c r="L2828" s="12"/>
      <c r="M2828" s="12"/>
      <c r="N2828" s="12"/>
      <c r="O2828" s="12"/>
      <c r="P2828" s="12"/>
      <c r="Q2828" s="12"/>
      <c r="R2828" s="12"/>
      <c r="S2828" s="12"/>
    </row>
    <row r="2829" spans="1:19" ht="14.25" customHeight="1" x14ac:dyDescent="0.2">
      <c r="A2829" s="1" t="s">
        <v>19</v>
      </c>
      <c r="B2829" s="7">
        <v>46105.084849537037</v>
      </c>
      <c r="C2829" s="7">
        <v>46105.145335648151</v>
      </c>
      <c r="D2829" s="8">
        <v>46105</v>
      </c>
      <c r="E2829" s="9">
        <v>0.14533564815064892</v>
      </c>
      <c r="F2829" s="10" t="s">
        <v>3121</v>
      </c>
      <c r="G2829" s="10" t="s">
        <v>21</v>
      </c>
      <c r="H2829" s="10" t="s">
        <v>39</v>
      </c>
      <c r="I2829" s="10" t="s">
        <v>23</v>
      </c>
      <c r="J2829" s="11">
        <v>1.77</v>
      </c>
      <c r="K2829" s="12">
        <f>SUM(J2829:J2844)</f>
        <v>19.989999999999995</v>
      </c>
      <c r="L2829" s="12">
        <f>SUM(J2829:J2831)</f>
        <v>4.5999999999999996</v>
      </c>
      <c r="M2829" s="13">
        <f>L2829*65</f>
        <v>299</v>
      </c>
      <c r="N2829" s="14">
        <f>MAX(500,M2829)</f>
        <v>500</v>
      </c>
      <c r="O2829" s="12"/>
      <c r="P2829" s="12"/>
      <c r="Q2829" s="12"/>
      <c r="R2829" s="12"/>
      <c r="S2829" s="12"/>
    </row>
    <row r="2830" spans="1:19" ht="14.25" customHeight="1" x14ac:dyDescent="0.2">
      <c r="A2830" s="1" t="s">
        <v>95</v>
      </c>
      <c r="B2830" s="7">
        <v>46105.127372685187</v>
      </c>
      <c r="C2830" s="7">
        <v>46105.151574074072</v>
      </c>
      <c r="D2830" s="8">
        <v>46105</v>
      </c>
      <c r="E2830" s="9">
        <v>0.15157407407241408</v>
      </c>
      <c r="F2830" s="10" t="s">
        <v>3122</v>
      </c>
      <c r="G2830" s="10" t="s">
        <v>21</v>
      </c>
      <c r="H2830" s="10" t="s">
        <v>551</v>
      </c>
      <c r="I2830" s="10" t="s">
        <v>23</v>
      </c>
      <c r="J2830" s="11">
        <v>1.06</v>
      </c>
      <c r="K2830" s="12"/>
      <c r="L2830" s="12"/>
      <c r="M2830" s="12"/>
      <c r="N2830" s="12"/>
      <c r="O2830" s="12"/>
      <c r="P2830" s="12"/>
      <c r="Q2830" s="12"/>
      <c r="R2830" s="12"/>
      <c r="S2830" s="12"/>
    </row>
    <row r="2831" spans="1:19" ht="14.25" customHeight="1" x14ac:dyDescent="0.2">
      <c r="A2831" s="1" t="s">
        <v>95</v>
      </c>
      <c r="B2831" s="7">
        <v>46105.122893518521</v>
      </c>
      <c r="C2831" s="7">
        <v>46105.159317129626</v>
      </c>
      <c r="D2831" s="8">
        <v>46105</v>
      </c>
      <c r="E2831" s="9">
        <v>0.15931712962628808</v>
      </c>
      <c r="F2831" s="10" t="s">
        <v>3123</v>
      </c>
      <c r="G2831" s="10" t="s">
        <v>21</v>
      </c>
      <c r="H2831" s="10" t="s">
        <v>154</v>
      </c>
      <c r="I2831" s="10" t="s">
        <v>23</v>
      </c>
      <c r="J2831" s="11">
        <v>1.77</v>
      </c>
      <c r="K2831" s="12"/>
      <c r="L2831" s="12"/>
      <c r="M2831" s="12"/>
      <c r="N2831" s="12"/>
      <c r="O2831" s="12"/>
      <c r="P2831" s="12"/>
      <c r="Q2831" s="12"/>
      <c r="R2831" s="12"/>
      <c r="S2831" s="12"/>
    </row>
    <row r="2832" spans="1:19" ht="14.25" customHeight="1" x14ac:dyDescent="0.2">
      <c r="A2832" s="1" t="s">
        <v>28</v>
      </c>
      <c r="B2832" s="7">
        <v>46105.155277777776</v>
      </c>
      <c r="C2832" s="7">
        <v>46105.168437499997</v>
      </c>
      <c r="D2832" s="8">
        <v>46105</v>
      </c>
      <c r="E2832" s="9">
        <v>0.16843749999679858</v>
      </c>
      <c r="F2832" s="10" t="s">
        <v>3124</v>
      </c>
      <c r="G2832" s="10" t="s">
        <v>21</v>
      </c>
      <c r="H2832" s="10" t="s">
        <v>41</v>
      </c>
      <c r="I2832" s="10" t="s">
        <v>23</v>
      </c>
      <c r="J2832" s="11">
        <v>1.77</v>
      </c>
      <c r="K2832" s="12"/>
      <c r="L2832" s="12">
        <f>SUM(J2832:J2836)</f>
        <v>7.0200000000000005</v>
      </c>
      <c r="M2832" s="13">
        <f>L2832*65</f>
        <v>456.3</v>
      </c>
      <c r="N2832" s="14">
        <f>MAX(500,M2832)</f>
        <v>500</v>
      </c>
      <c r="O2832" s="12"/>
      <c r="P2832" s="12"/>
      <c r="Q2832" s="12"/>
      <c r="R2832" s="12"/>
      <c r="S2832" s="12"/>
    </row>
    <row r="2833" spans="1:19" ht="14.25" customHeight="1" x14ac:dyDescent="0.2">
      <c r="A2833" s="1" t="s">
        <v>24</v>
      </c>
      <c r="B2833" s="7">
        <v>46105.171770833331</v>
      </c>
      <c r="C2833" s="7">
        <v>46105.182662037034</v>
      </c>
      <c r="D2833" s="8">
        <v>46105</v>
      </c>
      <c r="E2833" s="9">
        <v>0.18266203703387873</v>
      </c>
      <c r="F2833" s="10" t="s">
        <v>3125</v>
      </c>
      <c r="G2833" s="10" t="s">
        <v>21</v>
      </c>
      <c r="H2833" s="10" t="s">
        <v>22</v>
      </c>
      <c r="I2833" s="10" t="s">
        <v>23</v>
      </c>
      <c r="J2833" s="11">
        <v>0.83</v>
      </c>
      <c r="K2833" s="12"/>
      <c r="L2833" s="12"/>
      <c r="M2833" s="12"/>
      <c r="N2833" s="12"/>
      <c r="O2833" s="12"/>
      <c r="P2833" s="12"/>
      <c r="Q2833" s="12"/>
      <c r="R2833" s="12"/>
      <c r="S2833" s="12"/>
    </row>
    <row r="2834" spans="1:19" ht="14.25" customHeight="1" x14ac:dyDescent="0.2">
      <c r="A2834" s="1" t="s">
        <v>95</v>
      </c>
      <c r="B2834" s="7">
        <v>46105.178136574075</v>
      </c>
      <c r="C2834" s="7">
        <v>46105.197013888886</v>
      </c>
      <c r="D2834" s="8">
        <v>46105</v>
      </c>
      <c r="E2834" s="9">
        <v>0.19701388888643123</v>
      </c>
      <c r="F2834" s="10" t="s">
        <v>3126</v>
      </c>
      <c r="G2834" s="10" t="s">
        <v>21</v>
      </c>
      <c r="H2834" s="10" t="s">
        <v>97</v>
      </c>
      <c r="I2834" s="10" t="s">
        <v>23</v>
      </c>
      <c r="J2834" s="11">
        <v>1.77</v>
      </c>
      <c r="K2834" s="12"/>
      <c r="L2834" s="12"/>
      <c r="M2834" s="12"/>
      <c r="N2834" s="12"/>
      <c r="O2834" s="12"/>
      <c r="P2834" s="12"/>
      <c r="Q2834" s="12"/>
      <c r="R2834" s="12"/>
      <c r="S2834" s="12"/>
    </row>
    <row r="2835" spans="1:19" ht="14.25" customHeight="1" x14ac:dyDescent="0.2">
      <c r="A2835" s="1" t="s">
        <v>57</v>
      </c>
      <c r="B2835" s="7">
        <v>46105.185983796298</v>
      </c>
      <c r="C2835" s="7">
        <v>46105.197847222225</v>
      </c>
      <c r="D2835" s="8">
        <v>46105</v>
      </c>
      <c r="E2835" s="9">
        <v>0.19784722222539131</v>
      </c>
      <c r="F2835" s="10" t="s">
        <v>3127</v>
      </c>
      <c r="G2835" s="10" t="s">
        <v>21</v>
      </c>
      <c r="H2835" s="10" t="s">
        <v>303</v>
      </c>
      <c r="I2835" s="10" t="s">
        <v>23</v>
      </c>
      <c r="J2835" s="11">
        <v>1.77</v>
      </c>
      <c r="K2835" s="12"/>
      <c r="L2835" s="12"/>
      <c r="M2835" s="12"/>
      <c r="N2835" s="12"/>
      <c r="O2835" s="12"/>
      <c r="P2835" s="12"/>
      <c r="Q2835" s="12"/>
      <c r="R2835" s="12"/>
      <c r="S2835" s="12"/>
    </row>
    <row r="2836" spans="1:19" ht="14.25" customHeight="1" x14ac:dyDescent="0.2">
      <c r="A2836" s="1" t="s">
        <v>19</v>
      </c>
      <c r="B2836" s="7">
        <v>46105.184467592589</v>
      </c>
      <c r="C2836" s="7">
        <v>46105.205659722225</v>
      </c>
      <c r="D2836" s="8">
        <v>46105</v>
      </c>
      <c r="E2836" s="9">
        <v>0.20565972222539131</v>
      </c>
      <c r="F2836" s="10" t="s">
        <v>3128</v>
      </c>
      <c r="G2836" s="10" t="s">
        <v>26</v>
      </c>
      <c r="H2836" s="10" t="s">
        <v>37</v>
      </c>
      <c r="I2836" s="10" t="s">
        <v>23</v>
      </c>
      <c r="J2836" s="11">
        <v>0.88</v>
      </c>
      <c r="K2836" s="12"/>
      <c r="L2836" s="12"/>
      <c r="M2836" s="12"/>
      <c r="N2836" s="12"/>
      <c r="O2836" s="12"/>
      <c r="P2836" s="12"/>
      <c r="Q2836" s="12"/>
      <c r="R2836" s="12"/>
      <c r="S2836" s="12"/>
    </row>
    <row r="2837" spans="1:19" ht="14.25" customHeight="1" x14ac:dyDescent="0.2">
      <c r="A2837" s="1" t="s">
        <v>57</v>
      </c>
      <c r="B2837" s="7">
        <v>46105.201701388891</v>
      </c>
      <c r="C2837" s="7">
        <v>46105.213935185187</v>
      </c>
      <c r="D2837" s="8">
        <v>46105</v>
      </c>
      <c r="E2837" s="9">
        <v>0.21393518518743804</v>
      </c>
      <c r="F2837" s="10" t="s">
        <v>3129</v>
      </c>
      <c r="G2837" s="10" t="s">
        <v>21</v>
      </c>
      <c r="H2837" s="10" t="s">
        <v>59</v>
      </c>
      <c r="I2837" s="10" t="s">
        <v>23</v>
      </c>
      <c r="J2837" s="11">
        <v>0.83</v>
      </c>
      <c r="K2837" s="12"/>
      <c r="L2837" s="12">
        <f>SUM(J2837:J2844)</f>
        <v>8.3699999999999992</v>
      </c>
      <c r="M2837" s="13">
        <f>L2837*65</f>
        <v>544.04999999999995</v>
      </c>
      <c r="N2837" s="14">
        <f>MAX(500,M2837)</f>
        <v>544.04999999999995</v>
      </c>
      <c r="O2837" s="12"/>
      <c r="P2837" s="12"/>
      <c r="Q2837" s="12"/>
      <c r="R2837" s="12"/>
      <c r="S2837" s="12"/>
    </row>
    <row r="2838" spans="1:19" ht="14.25" customHeight="1" x14ac:dyDescent="0.2">
      <c r="A2838" s="1" t="s">
        <v>19</v>
      </c>
      <c r="B2838" s="7">
        <v>46105.188831018517</v>
      </c>
      <c r="C2838" s="7">
        <v>46105.214814814812</v>
      </c>
      <c r="D2838" s="8">
        <v>46105</v>
      </c>
      <c r="E2838" s="9">
        <v>0.21481481481168885</v>
      </c>
      <c r="F2838" s="10" t="s">
        <v>3130</v>
      </c>
      <c r="G2838" s="10" t="s">
        <v>21</v>
      </c>
      <c r="H2838" s="10" t="s">
        <v>22</v>
      </c>
      <c r="I2838" s="10" t="s">
        <v>23</v>
      </c>
      <c r="J2838" s="11">
        <v>0.83</v>
      </c>
      <c r="K2838" s="12"/>
      <c r="L2838" s="12"/>
      <c r="M2838" s="12"/>
      <c r="N2838" s="12"/>
      <c r="O2838" s="12"/>
      <c r="P2838" s="12"/>
      <c r="Q2838" s="12"/>
      <c r="R2838" s="12"/>
      <c r="S2838" s="12"/>
    </row>
    <row r="2839" spans="1:19" ht="14.25" customHeight="1" x14ac:dyDescent="0.2">
      <c r="A2839" s="1" t="s">
        <v>33</v>
      </c>
      <c r="B2839" s="7">
        <v>46105.21365740741</v>
      </c>
      <c r="C2839" s="7">
        <v>46105.236539351848</v>
      </c>
      <c r="D2839" s="8">
        <v>46105</v>
      </c>
      <c r="E2839" s="9">
        <v>0.23653935184847796</v>
      </c>
      <c r="F2839" s="10" t="s">
        <v>3131</v>
      </c>
      <c r="G2839" s="10" t="s">
        <v>180</v>
      </c>
      <c r="H2839" s="10" t="s">
        <v>181</v>
      </c>
      <c r="I2839" s="10" t="s">
        <v>23</v>
      </c>
      <c r="J2839" s="11">
        <v>2.23</v>
      </c>
      <c r="K2839" s="12"/>
      <c r="L2839" s="12"/>
      <c r="M2839" s="12"/>
      <c r="N2839" s="12"/>
      <c r="O2839" s="12"/>
      <c r="P2839" s="12"/>
      <c r="Q2839" s="12"/>
      <c r="R2839" s="12"/>
      <c r="S2839" s="12"/>
    </row>
    <row r="2840" spans="1:19" ht="14.25" customHeight="1" x14ac:dyDescent="0.2">
      <c r="A2840" s="1" t="s">
        <v>19</v>
      </c>
      <c r="B2840" s="7">
        <v>46105.204675925925</v>
      </c>
      <c r="C2840" s="7">
        <v>46105.236759259256</v>
      </c>
      <c r="D2840" s="8">
        <v>46105</v>
      </c>
      <c r="E2840" s="9">
        <v>0.23675925925635966</v>
      </c>
      <c r="F2840" s="10" t="s">
        <v>3132</v>
      </c>
      <c r="G2840" s="10" t="s">
        <v>26</v>
      </c>
      <c r="H2840" s="10" t="s">
        <v>650</v>
      </c>
      <c r="I2840" s="10" t="s">
        <v>23</v>
      </c>
      <c r="J2840" s="11">
        <v>0.44</v>
      </c>
      <c r="K2840" s="12"/>
      <c r="L2840" s="12"/>
      <c r="M2840" s="12"/>
      <c r="N2840" s="12"/>
      <c r="O2840" s="12"/>
      <c r="P2840" s="12"/>
      <c r="Q2840" s="12"/>
      <c r="R2840" s="12"/>
      <c r="S2840" s="12"/>
    </row>
    <row r="2841" spans="1:19" ht="14.25" customHeight="1" x14ac:dyDescent="0.2">
      <c r="A2841" s="1" t="s">
        <v>19</v>
      </c>
      <c r="B2841" s="7">
        <v>46105.220034722224</v>
      </c>
      <c r="C2841" s="7">
        <v>46105.237523148149</v>
      </c>
      <c r="D2841" s="8">
        <v>46105</v>
      </c>
      <c r="E2841" s="9">
        <v>0.23752314814919373</v>
      </c>
      <c r="F2841" s="10" t="s">
        <v>3133</v>
      </c>
      <c r="G2841" s="10" t="s">
        <v>21</v>
      </c>
      <c r="H2841" s="10" t="s">
        <v>101</v>
      </c>
      <c r="I2841" s="10" t="s">
        <v>23</v>
      </c>
      <c r="J2841" s="11">
        <v>1.7</v>
      </c>
      <c r="K2841" s="12"/>
      <c r="L2841" s="12"/>
      <c r="M2841" s="12"/>
      <c r="N2841" s="12"/>
      <c r="O2841" s="12"/>
      <c r="P2841" s="12"/>
      <c r="Q2841" s="12"/>
      <c r="R2841" s="12"/>
      <c r="S2841" s="12"/>
    </row>
    <row r="2842" spans="1:19" ht="14.25" customHeight="1" x14ac:dyDescent="0.2">
      <c r="A2842" s="1" t="s">
        <v>42</v>
      </c>
      <c r="B2842" s="7">
        <v>46105.21025462963</v>
      </c>
      <c r="C2842" s="7">
        <v>46105.238969907405</v>
      </c>
      <c r="D2842" s="8">
        <v>46105</v>
      </c>
      <c r="E2842" s="9">
        <v>0.23896990740468027</v>
      </c>
      <c r="F2842" s="10" t="s">
        <v>3134</v>
      </c>
      <c r="G2842" s="10" t="s">
        <v>26</v>
      </c>
      <c r="H2842" s="10" t="s">
        <v>125</v>
      </c>
      <c r="I2842" s="10" t="s">
        <v>23</v>
      </c>
      <c r="J2842" s="11">
        <v>0.63</v>
      </c>
      <c r="K2842" s="12"/>
      <c r="L2842" s="12"/>
      <c r="M2842" s="12"/>
      <c r="N2842" s="12"/>
      <c r="O2842" s="12"/>
      <c r="P2842" s="12"/>
      <c r="Q2842" s="12"/>
      <c r="R2842" s="12"/>
      <c r="S2842" s="12"/>
    </row>
    <row r="2843" spans="1:19" ht="14.25" customHeight="1" x14ac:dyDescent="0.2">
      <c r="A2843" s="1" t="s">
        <v>33</v>
      </c>
      <c r="B2843" s="7">
        <v>46105.204687500001</v>
      </c>
      <c r="C2843" s="7">
        <v>46105.241666666669</v>
      </c>
      <c r="D2843" s="8">
        <v>46105</v>
      </c>
      <c r="E2843" s="9">
        <v>0.24166666666860692</v>
      </c>
      <c r="F2843" s="10" t="s">
        <v>3135</v>
      </c>
      <c r="G2843" s="10" t="s">
        <v>26</v>
      </c>
      <c r="H2843" s="10" t="s">
        <v>315</v>
      </c>
      <c r="I2843" s="10" t="s">
        <v>23</v>
      </c>
      <c r="J2843" s="11">
        <v>0.88</v>
      </c>
      <c r="K2843" s="12"/>
      <c r="L2843" s="12"/>
      <c r="M2843" s="12"/>
      <c r="N2843" s="12"/>
      <c r="O2843" s="12"/>
      <c r="P2843" s="12"/>
      <c r="Q2843" s="12"/>
      <c r="R2843" s="12"/>
      <c r="S2843" s="12"/>
    </row>
    <row r="2844" spans="1:19" ht="14.25" customHeight="1" x14ac:dyDescent="0.2">
      <c r="A2844" s="1" t="s">
        <v>24</v>
      </c>
      <c r="B2844" s="7">
        <v>46105.230624999997</v>
      </c>
      <c r="C2844" s="7">
        <v>46105.250613425924</v>
      </c>
      <c r="D2844" s="8">
        <v>46105</v>
      </c>
      <c r="E2844" s="9">
        <v>0.25061342592380242</v>
      </c>
      <c r="F2844" s="10" t="s">
        <v>3136</v>
      </c>
      <c r="G2844" s="10" t="s">
        <v>21</v>
      </c>
      <c r="H2844" s="10" t="s">
        <v>22</v>
      </c>
      <c r="I2844" s="10" t="s">
        <v>23</v>
      </c>
      <c r="J2844" s="11">
        <v>0.83</v>
      </c>
      <c r="K2844" s="12"/>
      <c r="L2844" s="12"/>
      <c r="M2844" s="12"/>
      <c r="N2844" s="12"/>
      <c r="O2844" s="12"/>
      <c r="P2844" s="12"/>
      <c r="Q2844" s="12"/>
      <c r="R2844" s="12"/>
      <c r="S2844" s="12"/>
    </row>
    <row r="2845" spans="1:19" ht="14.25" customHeight="1" x14ac:dyDescent="0.2">
      <c r="A2845" s="1" t="s">
        <v>33</v>
      </c>
      <c r="B2845" s="7">
        <v>46105.866099537037</v>
      </c>
      <c r="C2845" s="7">
        <v>46105.880416666667</v>
      </c>
      <c r="D2845" s="8">
        <v>46105</v>
      </c>
      <c r="E2845" s="9">
        <v>0.88041666666686069</v>
      </c>
      <c r="F2845" s="10" t="s">
        <v>3137</v>
      </c>
      <c r="G2845" s="10" t="s">
        <v>21</v>
      </c>
      <c r="H2845" s="10" t="s">
        <v>101</v>
      </c>
      <c r="I2845" s="10" t="s">
        <v>23</v>
      </c>
      <c r="J2845" s="11">
        <v>1.7</v>
      </c>
      <c r="K2845" s="12">
        <f>SUM(J2845:J2846,J2848:J2854,J2858:J2862,J2864:J2865,J2867,J2868,J2869,J2871,J2872,J2873:J2878,J2882:J2885,J2887,J2891,J2894:J2953)</f>
        <v>113.25999999999998</v>
      </c>
      <c r="L2845" s="12">
        <f>SUM(J2845:J2868)</f>
        <v>25.919999999999998</v>
      </c>
      <c r="M2845" s="13">
        <f>L2845*65</f>
        <v>1684.8</v>
      </c>
      <c r="N2845" s="14">
        <f>MAX(500,M2845)</f>
        <v>1684.8</v>
      </c>
      <c r="O2845" s="12"/>
      <c r="P2845" s="12"/>
      <c r="Q2845" s="12"/>
      <c r="R2845" s="12"/>
      <c r="S2845" s="12"/>
    </row>
    <row r="2846" spans="1:19" ht="14.25" customHeight="1" x14ac:dyDescent="0.2">
      <c r="A2846" s="1" t="s">
        <v>33</v>
      </c>
      <c r="B2846" s="7">
        <v>46105.874201388891</v>
      </c>
      <c r="C2846" s="7">
        <v>46105.88071759259</v>
      </c>
      <c r="D2846" s="8">
        <v>46105</v>
      </c>
      <c r="E2846" s="9">
        <v>0.88071759259037208</v>
      </c>
      <c r="F2846" s="10" t="s">
        <v>3138</v>
      </c>
      <c r="G2846" s="10" t="s">
        <v>21</v>
      </c>
      <c r="H2846" s="10" t="s">
        <v>22</v>
      </c>
      <c r="I2846" s="10" t="s">
        <v>23</v>
      </c>
      <c r="J2846" s="11">
        <v>0.83</v>
      </c>
      <c r="K2846" s="12"/>
      <c r="L2846" s="12"/>
      <c r="M2846" s="12"/>
      <c r="N2846" s="12"/>
      <c r="O2846" s="12"/>
      <c r="P2846" s="12"/>
      <c r="Q2846" s="12"/>
      <c r="R2846" s="12"/>
      <c r="S2846" s="12"/>
    </row>
    <row r="2847" spans="1:19" ht="14.25" customHeight="1" x14ac:dyDescent="0.2">
      <c r="A2847" s="22" t="s">
        <v>19</v>
      </c>
      <c r="B2847" s="23">
        <v>46105.831238425926</v>
      </c>
      <c r="C2847" s="23">
        <v>46105.883715277778</v>
      </c>
      <c r="D2847" s="24">
        <v>46105</v>
      </c>
      <c r="E2847" s="25">
        <v>0.88371527777781012</v>
      </c>
      <c r="F2847" s="22" t="s">
        <v>3139</v>
      </c>
      <c r="G2847" s="22" t="s">
        <v>21</v>
      </c>
      <c r="H2847" s="22" t="s">
        <v>41</v>
      </c>
      <c r="I2847" s="22" t="s">
        <v>583</v>
      </c>
      <c r="J2847" s="26">
        <v>1.77</v>
      </c>
      <c r="K2847" s="26"/>
      <c r="L2847" s="26"/>
      <c r="M2847" s="26"/>
      <c r="N2847" s="26"/>
      <c r="O2847" s="26"/>
      <c r="P2847" s="26"/>
      <c r="Q2847" s="26"/>
      <c r="R2847" s="26"/>
      <c r="S2847" s="26"/>
    </row>
    <row r="2848" spans="1:19" ht="14.25" customHeight="1" x14ac:dyDescent="0.2">
      <c r="A2848" s="1" t="s">
        <v>33</v>
      </c>
      <c r="B2848" s="7">
        <v>46105.791921296295</v>
      </c>
      <c r="C2848" s="7">
        <v>46105.883842592593</v>
      </c>
      <c r="D2848" s="8">
        <v>46105</v>
      </c>
      <c r="E2848" s="9">
        <v>0.88384259259328246</v>
      </c>
      <c r="F2848" s="10" t="s">
        <v>3140</v>
      </c>
      <c r="G2848" s="10" t="s">
        <v>26</v>
      </c>
      <c r="H2848" s="10" t="s">
        <v>1347</v>
      </c>
      <c r="I2848" s="10" t="s">
        <v>23</v>
      </c>
      <c r="J2848" s="11">
        <v>0.44</v>
      </c>
      <c r="K2848" s="12"/>
      <c r="L2848" s="12"/>
      <c r="M2848" s="12"/>
      <c r="N2848" s="12"/>
      <c r="O2848" s="12"/>
      <c r="P2848" s="12"/>
      <c r="Q2848" s="12"/>
      <c r="R2848" s="12"/>
      <c r="S2848" s="12"/>
    </row>
    <row r="2849" spans="1:19" ht="14.25" customHeight="1" x14ac:dyDescent="0.2">
      <c r="A2849" s="1" t="s">
        <v>19</v>
      </c>
      <c r="B2849" s="7">
        <v>46105.878136574072</v>
      </c>
      <c r="C2849" s="7">
        <v>46105.886932870373</v>
      </c>
      <c r="D2849" s="8">
        <v>46105</v>
      </c>
      <c r="E2849" s="9">
        <v>0.88693287037312984</v>
      </c>
      <c r="F2849" s="10" t="s">
        <v>3141</v>
      </c>
      <c r="G2849" s="10" t="s">
        <v>21</v>
      </c>
      <c r="H2849" s="10" t="s">
        <v>41</v>
      </c>
      <c r="I2849" s="10" t="s">
        <v>23</v>
      </c>
      <c r="J2849" s="11">
        <v>1.77</v>
      </c>
      <c r="K2849" s="12"/>
      <c r="L2849" s="12"/>
      <c r="M2849" s="12"/>
      <c r="N2849" s="12"/>
      <c r="O2849" s="12"/>
      <c r="P2849" s="12"/>
      <c r="Q2849" s="12"/>
      <c r="R2849" s="12"/>
      <c r="S2849" s="12"/>
    </row>
    <row r="2850" spans="1:19" ht="14.25" customHeight="1" x14ac:dyDescent="0.2">
      <c r="A2850" s="1" t="s">
        <v>19</v>
      </c>
      <c r="B2850" s="7">
        <v>46105.848194444443</v>
      </c>
      <c r="C2850" s="7">
        <v>46105.887465277781</v>
      </c>
      <c r="D2850" s="8">
        <v>46105</v>
      </c>
      <c r="E2850" s="9">
        <v>0.88746527778130258</v>
      </c>
      <c r="F2850" s="10" t="s">
        <v>3142</v>
      </c>
      <c r="G2850" s="10" t="s">
        <v>21</v>
      </c>
      <c r="H2850" s="10" t="s">
        <v>71</v>
      </c>
      <c r="I2850" s="10" t="s">
        <v>23</v>
      </c>
      <c r="J2850" s="11">
        <v>1.05</v>
      </c>
      <c r="K2850" s="12"/>
      <c r="L2850" s="12"/>
      <c r="M2850" s="12"/>
      <c r="N2850" s="12"/>
      <c r="O2850" s="12"/>
      <c r="P2850" s="12"/>
      <c r="Q2850" s="12"/>
      <c r="R2850" s="12"/>
      <c r="S2850" s="12"/>
    </row>
    <row r="2851" spans="1:19" ht="14.25" customHeight="1" x14ac:dyDescent="0.2">
      <c r="A2851" s="1" t="s">
        <v>19</v>
      </c>
      <c r="B2851" s="7">
        <v>46105.852893518517</v>
      </c>
      <c r="C2851" s="7">
        <v>46105.889374999999</v>
      </c>
      <c r="D2851" s="8">
        <v>46105</v>
      </c>
      <c r="E2851" s="9">
        <v>0.88937499999883585</v>
      </c>
      <c r="F2851" s="10" t="s">
        <v>3143</v>
      </c>
      <c r="G2851" s="10" t="s">
        <v>21</v>
      </c>
      <c r="H2851" s="10" t="s">
        <v>454</v>
      </c>
      <c r="I2851" s="10" t="s">
        <v>23</v>
      </c>
      <c r="J2851" s="11">
        <v>1.77</v>
      </c>
      <c r="K2851" s="12"/>
      <c r="L2851" s="12"/>
      <c r="M2851" s="12"/>
      <c r="N2851" s="12"/>
      <c r="O2851" s="12"/>
      <c r="P2851" s="12"/>
      <c r="Q2851" s="12"/>
      <c r="R2851" s="12"/>
      <c r="S2851" s="12"/>
    </row>
    <row r="2852" spans="1:19" ht="14.25" customHeight="1" x14ac:dyDescent="0.2">
      <c r="A2852" s="1" t="s">
        <v>42</v>
      </c>
      <c r="B2852" s="7">
        <v>46105.856180555558</v>
      </c>
      <c r="C2852" s="7">
        <v>46105.891469907408</v>
      </c>
      <c r="D2852" s="8">
        <v>46105</v>
      </c>
      <c r="E2852" s="9">
        <v>0.89146990740846377</v>
      </c>
      <c r="F2852" s="10" t="s">
        <v>3144</v>
      </c>
      <c r="G2852" s="10" t="s">
        <v>26</v>
      </c>
      <c r="H2852" s="10" t="s">
        <v>172</v>
      </c>
      <c r="I2852" s="10" t="s">
        <v>23</v>
      </c>
      <c r="J2852" s="11">
        <v>0.67</v>
      </c>
      <c r="K2852" s="12"/>
      <c r="L2852" s="12"/>
      <c r="M2852" s="12"/>
      <c r="N2852" s="12"/>
      <c r="O2852" s="12"/>
      <c r="P2852" s="12"/>
      <c r="Q2852" s="12"/>
      <c r="R2852" s="12"/>
      <c r="S2852" s="12"/>
    </row>
    <row r="2853" spans="1:19" ht="14.25" customHeight="1" x14ac:dyDescent="0.2">
      <c r="A2853" s="1" t="s">
        <v>33</v>
      </c>
      <c r="B2853" s="7">
        <v>46105.839166666665</v>
      </c>
      <c r="C2853" s="7">
        <v>46105.89203703704</v>
      </c>
      <c r="D2853" s="8">
        <v>46105</v>
      </c>
      <c r="E2853" s="9">
        <v>0.8920370370396995</v>
      </c>
      <c r="F2853" s="10" t="s">
        <v>3145</v>
      </c>
      <c r="G2853" s="10" t="s">
        <v>26</v>
      </c>
      <c r="H2853" s="10" t="s">
        <v>315</v>
      </c>
      <c r="I2853" s="10" t="s">
        <v>23</v>
      </c>
      <c r="J2853" s="11">
        <v>0.88</v>
      </c>
      <c r="K2853" s="12"/>
      <c r="L2853" s="12"/>
      <c r="M2853" s="12"/>
      <c r="N2853" s="12"/>
      <c r="O2853" s="12"/>
      <c r="P2853" s="12"/>
      <c r="Q2853" s="12"/>
      <c r="R2853" s="12"/>
      <c r="S2853" s="12"/>
    </row>
    <row r="2854" spans="1:19" ht="14.25" customHeight="1" x14ac:dyDescent="0.2">
      <c r="A2854" s="1" t="s">
        <v>24</v>
      </c>
      <c r="B2854" s="7">
        <v>46105.877256944441</v>
      </c>
      <c r="C2854" s="7">
        <v>46105.892569444448</v>
      </c>
      <c r="D2854" s="8">
        <v>46105</v>
      </c>
      <c r="E2854" s="9">
        <v>0.89256944444787223</v>
      </c>
      <c r="F2854" s="10" t="s">
        <v>3146</v>
      </c>
      <c r="G2854" s="10" t="s">
        <v>26</v>
      </c>
      <c r="H2854" s="10" t="s">
        <v>37</v>
      </c>
      <c r="I2854" s="10" t="s">
        <v>23</v>
      </c>
      <c r="J2854" s="11">
        <v>0.88</v>
      </c>
      <c r="K2854" s="12"/>
      <c r="L2854" s="12"/>
      <c r="M2854" s="12"/>
      <c r="N2854" s="12"/>
      <c r="O2854" s="12"/>
      <c r="P2854" s="12"/>
      <c r="Q2854" s="12"/>
      <c r="R2854" s="12"/>
      <c r="S2854" s="12"/>
    </row>
    <row r="2855" spans="1:19" ht="14.25" customHeight="1" x14ac:dyDescent="0.2">
      <c r="A2855" s="22" t="s">
        <v>19</v>
      </c>
      <c r="B2855" s="23">
        <v>46105.863483796296</v>
      </c>
      <c r="C2855" s="23">
        <v>46105.895266203705</v>
      </c>
      <c r="D2855" s="24">
        <v>46105</v>
      </c>
      <c r="E2855" s="25">
        <v>0.89526620370452292</v>
      </c>
      <c r="F2855" s="22" t="s">
        <v>3147</v>
      </c>
      <c r="G2855" s="22" t="s">
        <v>21</v>
      </c>
      <c r="H2855" s="22" t="s">
        <v>41</v>
      </c>
      <c r="I2855" s="22" t="s">
        <v>583</v>
      </c>
      <c r="J2855" s="26">
        <v>1.77</v>
      </c>
      <c r="K2855" s="26"/>
      <c r="L2855" s="26"/>
      <c r="M2855" s="26"/>
      <c r="N2855" s="26"/>
      <c r="O2855" s="26"/>
      <c r="P2855" s="26"/>
      <c r="Q2855" s="26"/>
      <c r="R2855" s="26"/>
      <c r="S2855" s="26"/>
    </row>
    <row r="2856" spans="1:19" ht="14.25" customHeight="1" x14ac:dyDescent="0.2">
      <c r="A2856" s="22" t="s">
        <v>19</v>
      </c>
      <c r="B2856" s="23">
        <v>46105.81722222222</v>
      </c>
      <c r="C2856" s="23">
        <v>46105.896736111114</v>
      </c>
      <c r="D2856" s="24">
        <v>46105</v>
      </c>
      <c r="E2856" s="25">
        <v>0.89673611111356877</v>
      </c>
      <c r="F2856" s="22" t="s">
        <v>3148</v>
      </c>
      <c r="G2856" s="22" t="s">
        <v>44</v>
      </c>
      <c r="H2856" s="22" t="s">
        <v>185</v>
      </c>
      <c r="I2856" s="22" t="s">
        <v>583</v>
      </c>
      <c r="J2856" s="26">
        <v>0.18</v>
      </c>
      <c r="K2856" s="26"/>
      <c r="L2856" s="26"/>
      <c r="M2856" s="26"/>
      <c r="N2856" s="26"/>
      <c r="O2856" s="26"/>
      <c r="P2856" s="26"/>
      <c r="Q2856" s="26"/>
      <c r="R2856" s="26"/>
      <c r="S2856" s="26"/>
    </row>
    <row r="2857" spans="1:19" ht="14.25" customHeight="1" x14ac:dyDescent="0.2">
      <c r="A2857" s="22" t="s">
        <v>19</v>
      </c>
      <c r="B2857" s="23">
        <v>46105.832719907405</v>
      </c>
      <c r="C2857" s="23">
        <v>46105.898379629631</v>
      </c>
      <c r="D2857" s="24">
        <v>46105</v>
      </c>
      <c r="E2857" s="25">
        <v>0.89837962963065365</v>
      </c>
      <c r="F2857" s="22" t="s">
        <v>3149</v>
      </c>
      <c r="G2857" s="22" t="s">
        <v>44</v>
      </c>
      <c r="H2857" s="22" t="s">
        <v>185</v>
      </c>
      <c r="I2857" s="22" t="s">
        <v>583</v>
      </c>
      <c r="J2857" s="26">
        <v>0.18</v>
      </c>
      <c r="K2857" s="26"/>
      <c r="L2857" s="26"/>
      <c r="M2857" s="26"/>
      <c r="N2857" s="26"/>
      <c r="O2857" s="26"/>
      <c r="P2857" s="26"/>
      <c r="Q2857" s="26"/>
      <c r="R2857" s="26"/>
      <c r="S2857" s="26"/>
    </row>
    <row r="2858" spans="1:19" ht="14.25" customHeight="1" x14ac:dyDescent="0.2">
      <c r="A2858" s="1" t="s">
        <v>33</v>
      </c>
      <c r="B2858" s="7">
        <v>46105.890902777777</v>
      </c>
      <c r="C2858" s="7">
        <v>46105.900023148148</v>
      </c>
      <c r="D2858" s="8">
        <v>46105</v>
      </c>
      <c r="E2858" s="9">
        <v>0.90002314814773854</v>
      </c>
      <c r="F2858" s="10" t="s">
        <v>3150</v>
      </c>
      <c r="G2858" s="10" t="s">
        <v>44</v>
      </c>
      <c r="H2858" s="10" t="s">
        <v>185</v>
      </c>
      <c r="I2858" s="10" t="s">
        <v>23</v>
      </c>
      <c r="J2858" s="11">
        <v>0.18</v>
      </c>
      <c r="K2858" s="12"/>
      <c r="L2858" s="12"/>
      <c r="M2858" s="12"/>
      <c r="N2858" s="12"/>
      <c r="O2858" s="12"/>
      <c r="P2858" s="12"/>
      <c r="Q2858" s="12"/>
      <c r="R2858" s="12"/>
      <c r="S2858" s="12"/>
    </row>
    <row r="2859" spans="1:19" ht="14.25" customHeight="1" x14ac:dyDescent="0.2">
      <c r="A2859" s="1" t="s">
        <v>28</v>
      </c>
      <c r="B2859" s="7">
        <v>46105.876331018517</v>
      </c>
      <c r="C2859" s="7">
        <v>46105.900509259256</v>
      </c>
      <c r="D2859" s="8">
        <v>46105</v>
      </c>
      <c r="E2859" s="9">
        <v>0.90050925925606862</v>
      </c>
      <c r="F2859" s="10" t="s">
        <v>3151</v>
      </c>
      <c r="G2859" s="10" t="s">
        <v>26</v>
      </c>
      <c r="H2859" s="10" t="s">
        <v>251</v>
      </c>
      <c r="I2859" s="10" t="s">
        <v>23</v>
      </c>
      <c r="J2859" s="11">
        <v>0.62</v>
      </c>
      <c r="K2859" s="12"/>
      <c r="L2859" s="12"/>
      <c r="M2859" s="12"/>
      <c r="N2859" s="12"/>
      <c r="O2859" s="12"/>
      <c r="P2859" s="12"/>
      <c r="Q2859" s="12"/>
      <c r="R2859" s="12"/>
      <c r="S2859" s="12"/>
    </row>
    <row r="2860" spans="1:19" ht="14.25" customHeight="1" x14ac:dyDescent="0.2">
      <c r="A2860" s="1" t="s">
        <v>19</v>
      </c>
      <c r="B2860" s="7">
        <v>46105.877858796295</v>
      </c>
      <c r="C2860" s="7">
        <v>46105.901053240741</v>
      </c>
      <c r="D2860" s="8">
        <v>46105</v>
      </c>
      <c r="E2860" s="9">
        <v>0.901053240741021</v>
      </c>
      <c r="F2860" s="10" t="s">
        <v>3152</v>
      </c>
      <c r="G2860" s="10" t="s">
        <v>21</v>
      </c>
      <c r="H2860" s="10" t="s">
        <v>409</v>
      </c>
      <c r="I2860" s="10" t="s">
        <v>23</v>
      </c>
      <c r="J2860" s="11">
        <v>2.9</v>
      </c>
      <c r="K2860" s="12"/>
      <c r="L2860" s="12"/>
      <c r="M2860" s="12"/>
      <c r="N2860" s="12"/>
      <c r="O2860" s="12"/>
      <c r="P2860" s="12"/>
      <c r="Q2860" s="12"/>
      <c r="R2860" s="12"/>
      <c r="S2860" s="12"/>
    </row>
    <row r="2861" spans="1:19" ht="14.25" customHeight="1" x14ac:dyDescent="0.2">
      <c r="A2861" s="1" t="s">
        <v>33</v>
      </c>
      <c r="B2861" s="7">
        <v>46105.890092592592</v>
      </c>
      <c r="C2861" s="7">
        <v>46105.903495370374</v>
      </c>
      <c r="D2861" s="8">
        <v>46105</v>
      </c>
      <c r="E2861" s="9">
        <v>0.90349537037400296</v>
      </c>
      <c r="F2861" s="10" t="s">
        <v>3153</v>
      </c>
      <c r="G2861" s="10" t="s">
        <v>21</v>
      </c>
      <c r="H2861" s="10" t="s">
        <v>268</v>
      </c>
      <c r="I2861" s="10" t="s">
        <v>23</v>
      </c>
      <c r="J2861" s="11">
        <v>1.35</v>
      </c>
      <c r="K2861" s="12"/>
      <c r="L2861" s="12"/>
      <c r="M2861" s="12"/>
      <c r="N2861" s="12"/>
      <c r="O2861" s="12"/>
      <c r="P2861" s="12"/>
      <c r="Q2861" s="12"/>
      <c r="R2861" s="12"/>
      <c r="S2861" s="12"/>
    </row>
    <row r="2862" spans="1:19" ht="14.25" customHeight="1" x14ac:dyDescent="0.2">
      <c r="A2862" s="1" t="s">
        <v>33</v>
      </c>
      <c r="B2862" s="7">
        <v>46105.890092592592</v>
      </c>
      <c r="C2862" s="7">
        <v>46105.903784722221</v>
      </c>
      <c r="D2862" s="8">
        <v>46105</v>
      </c>
      <c r="E2862" s="9">
        <v>0.90378472222073469</v>
      </c>
      <c r="F2862" s="10" t="s">
        <v>3154</v>
      </c>
      <c r="G2862" s="10" t="s">
        <v>21</v>
      </c>
      <c r="H2862" s="10" t="s">
        <v>435</v>
      </c>
      <c r="I2862" s="10" t="s">
        <v>23</v>
      </c>
      <c r="J2862" s="11">
        <v>1.1299999999999999</v>
      </c>
      <c r="K2862" s="12"/>
      <c r="L2862" s="12"/>
      <c r="M2862" s="12"/>
      <c r="N2862" s="12"/>
      <c r="O2862" s="12"/>
      <c r="P2862" s="12"/>
      <c r="Q2862" s="12"/>
      <c r="R2862" s="12"/>
      <c r="S2862" s="12"/>
    </row>
    <row r="2863" spans="1:19" ht="14.25" customHeight="1" x14ac:dyDescent="0.2">
      <c r="A2863" s="22" t="s">
        <v>19</v>
      </c>
      <c r="B2863" s="23">
        <v>46105.877858796295</v>
      </c>
      <c r="C2863" s="23">
        <v>46105.90425925926</v>
      </c>
      <c r="D2863" s="24">
        <v>46105</v>
      </c>
      <c r="E2863" s="25">
        <v>0.90425925925956108</v>
      </c>
      <c r="F2863" s="22" t="s">
        <v>3155</v>
      </c>
      <c r="G2863" s="22" t="s">
        <v>21</v>
      </c>
      <c r="H2863" s="22" t="s">
        <v>52</v>
      </c>
      <c r="I2863" s="22" t="s">
        <v>583</v>
      </c>
      <c r="J2863" s="26">
        <v>0.98</v>
      </c>
      <c r="K2863" s="26"/>
      <c r="L2863" s="26"/>
      <c r="M2863" s="26"/>
      <c r="N2863" s="26"/>
      <c r="O2863" s="26"/>
      <c r="P2863" s="26"/>
      <c r="Q2863" s="26"/>
      <c r="R2863" s="26"/>
      <c r="S2863" s="26"/>
    </row>
    <row r="2864" spans="1:19" ht="14.25" customHeight="1" x14ac:dyDescent="0.2">
      <c r="A2864" s="1" t="s">
        <v>24</v>
      </c>
      <c r="B2864" s="7">
        <v>46105.883032407408</v>
      </c>
      <c r="C2864" s="7">
        <v>46105.908148148148</v>
      </c>
      <c r="D2864" s="8">
        <v>46105</v>
      </c>
      <c r="E2864" s="9">
        <v>0.90814814814802958</v>
      </c>
      <c r="F2864" s="10" t="s">
        <v>3156</v>
      </c>
      <c r="G2864" s="10" t="s">
        <v>21</v>
      </c>
      <c r="H2864" s="10" t="s">
        <v>22</v>
      </c>
      <c r="I2864" s="10" t="s">
        <v>23</v>
      </c>
      <c r="J2864" s="11">
        <v>0.83</v>
      </c>
      <c r="K2864" s="12"/>
      <c r="L2864" s="12"/>
      <c r="M2864" s="12"/>
      <c r="N2864" s="12"/>
      <c r="O2864" s="12"/>
      <c r="P2864" s="12"/>
      <c r="Q2864" s="12"/>
      <c r="R2864" s="12"/>
      <c r="S2864" s="12"/>
    </row>
    <row r="2865" spans="1:19" ht="14.25" customHeight="1" x14ac:dyDescent="0.2">
      <c r="A2865" s="1" t="s">
        <v>24</v>
      </c>
      <c r="B2865" s="7">
        <v>46105.867789351854</v>
      </c>
      <c r="C2865" s="7">
        <v>46105.911585648151</v>
      </c>
      <c r="D2865" s="8">
        <v>46105</v>
      </c>
      <c r="E2865" s="9">
        <v>0.911585648151231</v>
      </c>
      <c r="F2865" s="10" t="s">
        <v>3157</v>
      </c>
      <c r="G2865" s="10" t="s">
        <v>21</v>
      </c>
      <c r="H2865" s="10" t="s">
        <v>22</v>
      </c>
      <c r="I2865" s="10" t="s">
        <v>23</v>
      </c>
      <c r="J2865" s="11">
        <v>0.83</v>
      </c>
      <c r="K2865" s="12"/>
      <c r="L2865" s="12"/>
      <c r="M2865" s="12"/>
      <c r="N2865" s="12"/>
      <c r="O2865" s="12"/>
      <c r="P2865" s="12"/>
      <c r="Q2865" s="12"/>
      <c r="R2865" s="12"/>
      <c r="S2865" s="12"/>
    </row>
    <row r="2866" spans="1:19" ht="14.25" customHeight="1" x14ac:dyDescent="0.2">
      <c r="A2866" s="22" t="s">
        <v>33</v>
      </c>
      <c r="B2866" s="23">
        <v>46105.887303240743</v>
      </c>
      <c r="C2866" s="23">
        <v>46105.911828703705</v>
      </c>
      <c r="D2866" s="24">
        <v>46105</v>
      </c>
      <c r="E2866" s="25">
        <v>0.91182870370539604</v>
      </c>
      <c r="F2866" s="22" t="s">
        <v>3158</v>
      </c>
      <c r="G2866" s="22" t="s">
        <v>21</v>
      </c>
      <c r="H2866" s="22" t="s">
        <v>268</v>
      </c>
      <c r="I2866" s="22" t="s">
        <v>583</v>
      </c>
      <c r="J2866" s="26">
        <v>1.35</v>
      </c>
      <c r="K2866" s="26"/>
      <c r="L2866" s="26"/>
      <c r="M2866" s="26"/>
      <c r="N2866" s="26"/>
      <c r="O2866" s="26"/>
      <c r="P2866" s="26"/>
      <c r="Q2866" s="26"/>
      <c r="R2866" s="26"/>
      <c r="S2866" s="26"/>
    </row>
    <row r="2867" spans="1:19" ht="14.25" customHeight="1" x14ac:dyDescent="0.2">
      <c r="A2867" s="1" t="s">
        <v>24</v>
      </c>
      <c r="B2867" s="7">
        <v>46105.867789351854</v>
      </c>
      <c r="C2867" s="7">
        <v>46105.916180555556</v>
      </c>
      <c r="D2867" s="8">
        <v>46105</v>
      </c>
      <c r="E2867" s="9">
        <v>0.91618055555591127</v>
      </c>
      <c r="F2867" s="10" t="s">
        <v>3159</v>
      </c>
      <c r="G2867" s="10" t="s">
        <v>21</v>
      </c>
      <c r="H2867" s="10" t="s">
        <v>52</v>
      </c>
      <c r="I2867" s="10" t="s">
        <v>23</v>
      </c>
      <c r="J2867" s="11">
        <v>0.98</v>
      </c>
      <c r="K2867" s="12"/>
      <c r="L2867" s="12"/>
      <c r="M2867" s="12"/>
      <c r="N2867" s="12"/>
      <c r="O2867" s="12"/>
      <c r="P2867" s="12"/>
      <c r="Q2867" s="12"/>
      <c r="R2867" s="12"/>
      <c r="S2867" s="12"/>
    </row>
    <row r="2868" spans="1:19" ht="14.25" customHeight="1" x14ac:dyDescent="0.2">
      <c r="A2868" s="1" t="s">
        <v>24</v>
      </c>
      <c r="B2868" s="7">
        <v>46105.895115740743</v>
      </c>
      <c r="C2868" s="7">
        <v>46105.916388888887</v>
      </c>
      <c r="D2868" s="8">
        <v>46105</v>
      </c>
      <c r="E2868" s="9">
        <v>0.91638888888701331</v>
      </c>
      <c r="F2868" s="10" t="s">
        <v>3160</v>
      </c>
      <c r="G2868" s="10" t="s">
        <v>26</v>
      </c>
      <c r="H2868" s="10" t="s">
        <v>315</v>
      </c>
      <c r="I2868" s="10" t="s">
        <v>23</v>
      </c>
      <c r="J2868" s="11">
        <v>0.88</v>
      </c>
      <c r="K2868" s="12"/>
      <c r="L2868" s="12"/>
      <c r="M2868" s="12"/>
      <c r="N2868" s="12"/>
      <c r="O2868" s="12"/>
      <c r="P2868" s="12"/>
      <c r="Q2868" s="12"/>
      <c r="R2868" s="12"/>
      <c r="S2868" s="12"/>
    </row>
    <row r="2869" spans="1:19" ht="14.25" customHeight="1" x14ac:dyDescent="0.2">
      <c r="A2869" s="1" t="s">
        <v>19</v>
      </c>
      <c r="B2869" s="7">
        <v>46105.877858796295</v>
      </c>
      <c r="C2869" s="7">
        <v>46105.918437499997</v>
      </c>
      <c r="D2869" s="8">
        <v>46105</v>
      </c>
      <c r="E2869" s="9">
        <v>0.91843749999679858</v>
      </c>
      <c r="F2869" s="10" t="s">
        <v>3161</v>
      </c>
      <c r="G2869" s="10" t="s">
        <v>21</v>
      </c>
      <c r="H2869" s="10" t="s">
        <v>22</v>
      </c>
      <c r="I2869" s="10" t="s">
        <v>23</v>
      </c>
      <c r="J2869" s="11">
        <v>0.83</v>
      </c>
      <c r="K2869" s="12"/>
      <c r="L2869" s="12">
        <f>SUM(J2869:J2892)</f>
        <v>23.619999999999997</v>
      </c>
      <c r="M2869" s="13">
        <f>L2869*65</f>
        <v>1535.2999999999997</v>
      </c>
      <c r="N2869" s="14">
        <f>MAX(500,M2869)</f>
        <v>1535.2999999999997</v>
      </c>
      <c r="O2869" s="12"/>
      <c r="P2869" s="12"/>
      <c r="Q2869" s="12"/>
      <c r="R2869" s="12"/>
      <c r="S2869" s="12"/>
    </row>
    <row r="2870" spans="1:19" ht="14.25" customHeight="1" x14ac:dyDescent="0.2">
      <c r="A2870" s="22" t="s">
        <v>24</v>
      </c>
      <c r="B2870" s="23">
        <v>46105.879259259258</v>
      </c>
      <c r="C2870" s="23">
        <v>46105.918865740743</v>
      </c>
      <c r="D2870" s="24">
        <v>46105</v>
      </c>
      <c r="E2870" s="25">
        <v>0.91886574074305827</v>
      </c>
      <c r="F2870" s="22" t="s">
        <v>3162</v>
      </c>
      <c r="G2870" s="22" t="s">
        <v>21</v>
      </c>
      <c r="H2870" s="22" t="s">
        <v>41</v>
      </c>
      <c r="I2870" s="22" t="s">
        <v>583</v>
      </c>
      <c r="J2870" s="26">
        <v>1.77</v>
      </c>
      <c r="K2870" s="26"/>
      <c r="L2870" s="26"/>
      <c r="M2870" s="26"/>
      <c r="N2870" s="26"/>
      <c r="O2870" s="26"/>
      <c r="P2870" s="26"/>
      <c r="Q2870" s="26"/>
      <c r="R2870" s="26"/>
      <c r="S2870" s="26"/>
    </row>
    <row r="2871" spans="1:19" ht="14.25" customHeight="1" x14ac:dyDescent="0.2">
      <c r="A2871" s="1" t="s">
        <v>24</v>
      </c>
      <c r="B2871" s="7">
        <v>46105.888680555552</v>
      </c>
      <c r="C2871" s="7">
        <v>46105.919039351851</v>
      </c>
      <c r="D2871" s="8">
        <v>46105</v>
      </c>
      <c r="E2871" s="9">
        <v>0.91903935185109731</v>
      </c>
      <c r="F2871" s="10" t="s">
        <v>3163</v>
      </c>
      <c r="G2871" s="10" t="s">
        <v>21</v>
      </c>
      <c r="H2871" s="10" t="s">
        <v>22</v>
      </c>
      <c r="I2871" s="10" t="s">
        <v>23</v>
      </c>
      <c r="J2871" s="11">
        <v>0.83</v>
      </c>
      <c r="K2871" s="12"/>
      <c r="L2871" s="12"/>
      <c r="M2871" s="12"/>
      <c r="N2871" s="12"/>
      <c r="O2871" s="12"/>
      <c r="P2871" s="12"/>
      <c r="Q2871" s="12"/>
      <c r="R2871" s="12"/>
      <c r="S2871" s="12"/>
    </row>
    <row r="2872" spans="1:19" ht="14.25" customHeight="1" x14ac:dyDescent="0.2">
      <c r="A2872" s="1" t="s">
        <v>24</v>
      </c>
      <c r="B2872" s="7">
        <v>46105.888680555552</v>
      </c>
      <c r="C2872" s="7">
        <v>46105.91988425926</v>
      </c>
      <c r="D2872" s="8">
        <v>46105</v>
      </c>
      <c r="E2872" s="9">
        <v>0.91988425925956108</v>
      </c>
      <c r="F2872" s="10" t="s">
        <v>3164</v>
      </c>
      <c r="G2872" s="10" t="s">
        <v>21</v>
      </c>
      <c r="H2872" s="10" t="s">
        <v>281</v>
      </c>
      <c r="I2872" s="10" t="s">
        <v>23</v>
      </c>
      <c r="J2872" s="11">
        <v>2.5</v>
      </c>
      <c r="K2872" s="12"/>
      <c r="L2872" s="12"/>
      <c r="M2872" s="12"/>
      <c r="N2872" s="12"/>
      <c r="O2872" s="12"/>
      <c r="P2872" s="12"/>
      <c r="Q2872" s="12"/>
      <c r="R2872" s="12"/>
      <c r="S2872" s="12"/>
    </row>
    <row r="2873" spans="1:19" ht="14.25" customHeight="1" x14ac:dyDescent="0.2">
      <c r="A2873" s="1" t="s">
        <v>57</v>
      </c>
      <c r="B2873" s="7">
        <v>46105.912951388891</v>
      </c>
      <c r="C2873" s="7">
        <v>46105.920046296298</v>
      </c>
      <c r="D2873" s="8">
        <v>46105</v>
      </c>
      <c r="E2873" s="9">
        <v>0.92004629629809642</v>
      </c>
      <c r="F2873" s="10" t="s">
        <v>3165</v>
      </c>
      <c r="G2873" s="10" t="s">
        <v>21</v>
      </c>
      <c r="H2873" s="10" t="s">
        <v>710</v>
      </c>
      <c r="I2873" s="10" t="s">
        <v>23</v>
      </c>
      <c r="J2873" s="11">
        <v>0.98</v>
      </c>
      <c r="K2873" s="12"/>
      <c r="L2873" s="12"/>
      <c r="M2873" s="12"/>
      <c r="N2873" s="12"/>
      <c r="O2873" s="12"/>
      <c r="P2873" s="12"/>
      <c r="Q2873" s="12"/>
      <c r="R2873" s="12"/>
      <c r="S2873" s="12"/>
    </row>
    <row r="2874" spans="1:19" ht="14.25" customHeight="1" x14ac:dyDescent="0.2">
      <c r="A2874" s="1" t="s">
        <v>57</v>
      </c>
      <c r="B2874" s="7">
        <v>46105.91165509259</v>
      </c>
      <c r="C2874" s="7">
        <v>46105.920185185183</v>
      </c>
      <c r="D2874" s="8">
        <v>46105</v>
      </c>
      <c r="E2874" s="9">
        <v>0.92018518518307246</v>
      </c>
      <c r="F2874" s="10" t="s">
        <v>3166</v>
      </c>
      <c r="G2874" s="10" t="s">
        <v>21</v>
      </c>
      <c r="H2874" s="10" t="s">
        <v>59</v>
      </c>
      <c r="I2874" s="10" t="s">
        <v>23</v>
      </c>
      <c r="J2874" s="11">
        <v>0.83</v>
      </c>
      <c r="K2874" s="12"/>
      <c r="L2874" s="12"/>
      <c r="M2874" s="12"/>
      <c r="N2874" s="12"/>
      <c r="O2874" s="12"/>
      <c r="P2874" s="12"/>
      <c r="Q2874" s="12"/>
      <c r="R2874" s="12"/>
      <c r="S2874" s="12"/>
    </row>
    <row r="2875" spans="1:19" ht="14.25" customHeight="1" x14ac:dyDescent="0.2">
      <c r="A2875" s="1" t="s">
        <v>24</v>
      </c>
      <c r="B2875" s="7">
        <v>46105.910057870373</v>
      </c>
      <c r="C2875" s="7">
        <v>46105.920416666668</v>
      </c>
      <c r="D2875" s="8">
        <v>46105</v>
      </c>
      <c r="E2875" s="9">
        <v>0.92041666666773381</v>
      </c>
      <c r="F2875" s="10" t="s">
        <v>3167</v>
      </c>
      <c r="G2875" s="10" t="s">
        <v>21</v>
      </c>
      <c r="H2875" s="10" t="s">
        <v>22</v>
      </c>
      <c r="I2875" s="10" t="s">
        <v>23</v>
      </c>
      <c r="J2875" s="11">
        <v>0.83</v>
      </c>
      <c r="K2875" s="12"/>
      <c r="L2875" s="12"/>
      <c r="M2875" s="12"/>
      <c r="N2875" s="12"/>
      <c r="O2875" s="12"/>
      <c r="P2875" s="12"/>
      <c r="Q2875" s="12"/>
      <c r="R2875" s="12"/>
      <c r="S2875" s="12"/>
    </row>
    <row r="2876" spans="1:19" ht="14.25" customHeight="1" x14ac:dyDescent="0.2">
      <c r="A2876" s="1" t="s">
        <v>24</v>
      </c>
      <c r="B2876" s="7">
        <v>46105.9059837963</v>
      </c>
      <c r="C2876" s="7">
        <v>46105.921053240738</v>
      </c>
      <c r="D2876" s="8">
        <v>46105</v>
      </c>
      <c r="E2876" s="9">
        <v>0.92105324073781958</v>
      </c>
      <c r="F2876" s="10" t="s">
        <v>3168</v>
      </c>
      <c r="G2876" s="10" t="s">
        <v>21</v>
      </c>
      <c r="H2876" s="10" t="s">
        <v>39</v>
      </c>
      <c r="I2876" s="10" t="s">
        <v>23</v>
      </c>
      <c r="J2876" s="11">
        <v>1.77</v>
      </c>
      <c r="K2876" s="12"/>
      <c r="L2876" s="12"/>
      <c r="M2876" s="12"/>
      <c r="N2876" s="12"/>
      <c r="O2876" s="12"/>
      <c r="P2876" s="12"/>
      <c r="Q2876" s="12"/>
      <c r="R2876" s="12"/>
      <c r="S2876" s="12"/>
    </row>
    <row r="2877" spans="1:19" ht="14.25" customHeight="1" x14ac:dyDescent="0.2">
      <c r="A2877" s="1" t="s">
        <v>63</v>
      </c>
      <c r="B2877" s="7">
        <v>46105.910416666666</v>
      </c>
      <c r="C2877" s="7">
        <v>46105.927708333336</v>
      </c>
      <c r="D2877" s="8">
        <v>46105</v>
      </c>
      <c r="E2877" s="9">
        <v>0.92770833333634073</v>
      </c>
      <c r="F2877" s="10" t="s">
        <v>3169</v>
      </c>
      <c r="G2877" s="10" t="s">
        <v>21</v>
      </c>
      <c r="H2877" s="10" t="s">
        <v>110</v>
      </c>
      <c r="I2877" s="10" t="s">
        <v>23</v>
      </c>
      <c r="J2877" s="11">
        <v>0.83</v>
      </c>
      <c r="K2877" s="12"/>
      <c r="L2877" s="12"/>
      <c r="M2877" s="12"/>
      <c r="N2877" s="12"/>
      <c r="O2877" s="12"/>
      <c r="P2877" s="12"/>
      <c r="Q2877" s="12"/>
      <c r="R2877" s="12"/>
      <c r="S2877" s="12"/>
    </row>
    <row r="2878" spans="1:19" ht="14.25" customHeight="1" x14ac:dyDescent="0.2">
      <c r="A2878" s="1" t="s">
        <v>24</v>
      </c>
      <c r="B2878" s="7">
        <v>46105.913437499999</v>
      </c>
      <c r="C2878" s="7">
        <v>46105.931956018518</v>
      </c>
      <c r="D2878" s="8">
        <v>46105</v>
      </c>
      <c r="E2878" s="9">
        <v>0.93195601851766696</v>
      </c>
      <c r="F2878" s="10" t="s">
        <v>3170</v>
      </c>
      <c r="G2878" s="10" t="s">
        <v>44</v>
      </c>
      <c r="H2878" s="10" t="s">
        <v>185</v>
      </c>
      <c r="I2878" s="10" t="s">
        <v>23</v>
      </c>
      <c r="J2878" s="11">
        <v>0.18</v>
      </c>
      <c r="K2878" s="12"/>
      <c r="L2878" s="12"/>
      <c r="M2878" s="12"/>
      <c r="N2878" s="12"/>
      <c r="O2878" s="12"/>
      <c r="P2878" s="12"/>
      <c r="Q2878" s="12"/>
      <c r="R2878" s="12"/>
      <c r="S2878" s="12"/>
    </row>
    <row r="2879" spans="1:19" ht="14.25" customHeight="1" x14ac:dyDescent="0.2">
      <c r="A2879" s="22" t="s">
        <v>24</v>
      </c>
      <c r="B2879" s="23">
        <v>46105.899537037039</v>
      </c>
      <c r="C2879" s="23">
        <v>46105.933125000003</v>
      </c>
      <c r="D2879" s="24">
        <v>46105</v>
      </c>
      <c r="E2879" s="25">
        <v>0.93312500000320142</v>
      </c>
      <c r="F2879" s="22" t="s">
        <v>3171</v>
      </c>
      <c r="G2879" s="22" t="s">
        <v>21</v>
      </c>
      <c r="H2879" s="22" t="s">
        <v>41</v>
      </c>
      <c r="I2879" s="22" t="s">
        <v>583</v>
      </c>
      <c r="J2879" s="26">
        <v>1.77</v>
      </c>
      <c r="K2879" s="26"/>
      <c r="L2879" s="26"/>
      <c r="M2879" s="26"/>
      <c r="N2879" s="26"/>
      <c r="O2879" s="26"/>
      <c r="P2879" s="26"/>
      <c r="Q2879" s="26"/>
      <c r="R2879" s="26"/>
      <c r="S2879" s="26"/>
    </row>
    <row r="2880" spans="1:19" ht="14.25" customHeight="1" x14ac:dyDescent="0.2">
      <c r="A2880" s="22" t="s">
        <v>19</v>
      </c>
      <c r="B2880" s="23">
        <v>46105.88480324074</v>
      </c>
      <c r="C2880" s="23">
        <v>46105.935046296298</v>
      </c>
      <c r="D2880" s="24">
        <v>46105</v>
      </c>
      <c r="E2880" s="25">
        <v>0.93504629629751435</v>
      </c>
      <c r="F2880" s="22" t="s">
        <v>3172</v>
      </c>
      <c r="G2880" s="22" t="s">
        <v>44</v>
      </c>
      <c r="H2880" s="22" t="s">
        <v>185</v>
      </c>
      <c r="I2880" s="22" t="s">
        <v>583</v>
      </c>
      <c r="J2880" s="26">
        <v>0.18</v>
      </c>
      <c r="K2880" s="26"/>
      <c r="L2880" s="26"/>
      <c r="M2880" s="26"/>
      <c r="N2880" s="26"/>
      <c r="O2880" s="26"/>
      <c r="P2880" s="26"/>
      <c r="Q2880" s="26"/>
      <c r="R2880" s="26"/>
      <c r="S2880" s="26"/>
    </row>
    <row r="2881" spans="1:19" ht="14.25" customHeight="1" x14ac:dyDescent="0.2">
      <c r="A2881" s="22" t="s">
        <v>19</v>
      </c>
      <c r="B2881" s="23">
        <v>46105.877870370372</v>
      </c>
      <c r="C2881" s="23">
        <v>46105.936550925922</v>
      </c>
      <c r="D2881" s="24">
        <v>46105</v>
      </c>
      <c r="E2881" s="25">
        <v>0.93655092592234723</v>
      </c>
      <c r="F2881" s="22" t="s">
        <v>3173</v>
      </c>
      <c r="G2881" s="22" t="s">
        <v>44</v>
      </c>
      <c r="H2881" s="22" t="s">
        <v>185</v>
      </c>
      <c r="I2881" s="22" t="s">
        <v>583</v>
      </c>
      <c r="J2881" s="26">
        <v>0.18</v>
      </c>
      <c r="K2881" s="26"/>
      <c r="L2881" s="26"/>
      <c r="M2881" s="26"/>
      <c r="N2881" s="26"/>
      <c r="O2881" s="26"/>
      <c r="P2881" s="26"/>
      <c r="Q2881" s="26"/>
      <c r="R2881" s="26"/>
      <c r="S2881" s="26"/>
    </row>
    <row r="2882" spans="1:19" ht="14.25" customHeight="1" x14ac:dyDescent="0.2">
      <c r="A2882" s="1" t="s">
        <v>24</v>
      </c>
      <c r="B2882" s="7">
        <v>46105.91170138889</v>
      </c>
      <c r="C2882" s="7">
        <v>46105.938530092593</v>
      </c>
      <c r="D2882" s="8">
        <v>46105</v>
      </c>
      <c r="E2882" s="9">
        <v>0.93853009259328246</v>
      </c>
      <c r="F2882" s="10" t="s">
        <v>3174</v>
      </c>
      <c r="G2882" s="10" t="s">
        <v>26</v>
      </c>
      <c r="H2882" s="10" t="s">
        <v>1019</v>
      </c>
      <c r="I2882" s="10" t="s">
        <v>23</v>
      </c>
      <c r="J2882" s="11">
        <v>0.67</v>
      </c>
      <c r="K2882" s="12"/>
      <c r="L2882" s="12"/>
      <c r="M2882" s="12"/>
      <c r="N2882" s="12"/>
      <c r="O2882" s="12"/>
      <c r="P2882" s="12"/>
      <c r="Q2882" s="12"/>
      <c r="R2882" s="12"/>
      <c r="S2882" s="12"/>
    </row>
    <row r="2883" spans="1:19" ht="14.25" customHeight="1" x14ac:dyDescent="0.2">
      <c r="A2883" s="1" t="s">
        <v>63</v>
      </c>
      <c r="B2883" s="7">
        <v>46105.924039351848</v>
      </c>
      <c r="C2883" s="7">
        <v>46105.943796296298</v>
      </c>
      <c r="D2883" s="8">
        <v>46105</v>
      </c>
      <c r="E2883" s="9">
        <v>0.94379629629838746</v>
      </c>
      <c r="F2883" s="10" t="s">
        <v>3175</v>
      </c>
      <c r="G2883" s="10" t="s">
        <v>21</v>
      </c>
      <c r="H2883" s="10" t="s">
        <v>110</v>
      </c>
      <c r="I2883" s="10" t="s">
        <v>23</v>
      </c>
      <c r="J2883" s="11">
        <v>0.83</v>
      </c>
      <c r="K2883" s="12"/>
      <c r="L2883" s="12"/>
      <c r="M2883" s="12"/>
      <c r="N2883" s="12"/>
      <c r="O2883" s="12"/>
      <c r="P2883" s="12"/>
      <c r="Q2883" s="12"/>
      <c r="R2883" s="12"/>
      <c r="S2883" s="12"/>
    </row>
    <row r="2884" spans="1:19" ht="14.25" customHeight="1" x14ac:dyDescent="0.2">
      <c r="A2884" s="1" t="s">
        <v>63</v>
      </c>
      <c r="B2884" s="7">
        <v>46105.925057870372</v>
      </c>
      <c r="C2884" s="7">
        <v>46105.944363425922</v>
      </c>
      <c r="D2884" s="8">
        <v>46105</v>
      </c>
      <c r="E2884" s="9">
        <v>0.94436342592234723</v>
      </c>
      <c r="F2884" s="10" t="s">
        <v>3176</v>
      </c>
      <c r="G2884" s="10" t="s">
        <v>21</v>
      </c>
      <c r="H2884" s="10" t="s">
        <v>52</v>
      </c>
      <c r="I2884" s="10" t="s">
        <v>23</v>
      </c>
      <c r="J2884" s="11">
        <v>0.98</v>
      </c>
      <c r="K2884" s="12"/>
      <c r="L2884" s="12"/>
      <c r="M2884" s="12"/>
      <c r="N2884" s="12"/>
      <c r="O2884" s="12"/>
      <c r="P2884" s="12"/>
      <c r="Q2884" s="12"/>
      <c r="R2884" s="12"/>
      <c r="S2884" s="12"/>
    </row>
    <row r="2885" spans="1:19" ht="14.25" customHeight="1" x14ac:dyDescent="0.2">
      <c r="A2885" s="1" t="s">
        <v>148</v>
      </c>
      <c r="B2885" s="7">
        <v>46105.915717592594</v>
      </c>
      <c r="C2885" s="7">
        <v>46105.944699074076</v>
      </c>
      <c r="D2885" s="8">
        <v>46105</v>
      </c>
      <c r="E2885" s="9">
        <v>0.94469907407619758</v>
      </c>
      <c r="F2885" s="10" t="s">
        <v>3177</v>
      </c>
      <c r="G2885" s="10" t="s">
        <v>21</v>
      </c>
      <c r="H2885" s="10" t="s">
        <v>258</v>
      </c>
      <c r="I2885" s="10" t="s">
        <v>23</v>
      </c>
      <c r="J2885" s="11">
        <v>0.83</v>
      </c>
      <c r="K2885" s="12"/>
      <c r="L2885" s="12"/>
      <c r="M2885" s="12"/>
      <c r="N2885" s="12"/>
      <c r="O2885" s="12"/>
      <c r="P2885" s="12"/>
      <c r="Q2885" s="12"/>
      <c r="R2885" s="12"/>
      <c r="S2885" s="12"/>
    </row>
    <row r="2886" spans="1:19" ht="14.25" customHeight="1" x14ac:dyDescent="0.2">
      <c r="A2886" s="22" t="s">
        <v>24</v>
      </c>
      <c r="B2886" s="23">
        <v>46105.926030092596</v>
      </c>
      <c r="C2886" s="23">
        <v>46105.944965277777</v>
      </c>
      <c r="D2886" s="24">
        <v>46105</v>
      </c>
      <c r="E2886" s="25">
        <v>0.94496527777664596</v>
      </c>
      <c r="F2886" s="22" t="s">
        <v>3178</v>
      </c>
      <c r="G2886" s="22" t="s">
        <v>21</v>
      </c>
      <c r="H2886" s="22" t="s">
        <v>41</v>
      </c>
      <c r="I2886" s="22" t="s">
        <v>583</v>
      </c>
      <c r="J2886" s="26">
        <v>1.77</v>
      </c>
      <c r="K2886" s="26"/>
      <c r="L2886" s="26"/>
      <c r="M2886" s="26"/>
      <c r="N2886" s="26"/>
      <c r="O2886" s="26"/>
      <c r="P2886" s="26"/>
      <c r="Q2886" s="26"/>
      <c r="R2886" s="26"/>
      <c r="S2886" s="26"/>
    </row>
    <row r="2887" spans="1:19" ht="14.25" customHeight="1" x14ac:dyDescent="0.2">
      <c r="A2887" s="1" t="s">
        <v>46</v>
      </c>
      <c r="B2887" s="7">
        <v>46105.923807870371</v>
      </c>
      <c r="C2887" s="7">
        <v>46105.945914351854</v>
      </c>
      <c r="D2887" s="8">
        <v>46105</v>
      </c>
      <c r="E2887" s="9">
        <v>0.94591435185429873</v>
      </c>
      <c r="F2887" s="10" t="s">
        <v>3179</v>
      </c>
      <c r="G2887" s="10" t="s">
        <v>21</v>
      </c>
      <c r="H2887" s="10" t="s">
        <v>41</v>
      </c>
      <c r="I2887" s="10" t="s">
        <v>23</v>
      </c>
      <c r="J2887" s="11">
        <v>1.77</v>
      </c>
      <c r="K2887" s="12"/>
      <c r="L2887" s="12"/>
      <c r="M2887" s="12"/>
      <c r="N2887" s="12"/>
      <c r="O2887" s="12"/>
      <c r="P2887" s="12"/>
      <c r="Q2887" s="12"/>
      <c r="R2887" s="12"/>
      <c r="S2887" s="12"/>
    </row>
    <row r="2888" spans="1:19" ht="14.25" customHeight="1" x14ac:dyDescent="0.2">
      <c r="A2888" s="22" t="s">
        <v>46</v>
      </c>
      <c r="B2888" s="23">
        <v>46105.931122685186</v>
      </c>
      <c r="C2888" s="23">
        <v>46105.952708333331</v>
      </c>
      <c r="D2888" s="24">
        <v>46105</v>
      </c>
      <c r="E2888" s="25">
        <v>0.95270833333051996</v>
      </c>
      <c r="F2888" s="22" t="s">
        <v>3180</v>
      </c>
      <c r="G2888" s="22" t="s">
        <v>21</v>
      </c>
      <c r="H2888" s="22" t="s">
        <v>101</v>
      </c>
      <c r="I2888" s="22" t="s">
        <v>583</v>
      </c>
      <c r="J2888" s="26">
        <v>1.7</v>
      </c>
      <c r="K2888" s="26"/>
      <c r="L2888" s="26"/>
      <c r="M2888" s="26"/>
      <c r="N2888" s="26"/>
      <c r="O2888" s="26"/>
      <c r="P2888" s="26"/>
      <c r="Q2888" s="26"/>
      <c r="R2888" s="26"/>
      <c r="S2888" s="26"/>
    </row>
    <row r="2889" spans="1:19" ht="14.25" customHeight="1" x14ac:dyDescent="0.2">
      <c r="A2889" s="22" t="s">
        <v>24</v>
      </c>
      <c r="B2889" s="23">
        <v>46105.890138888892</v>
      </c>
      <c r="C2889" s="23">
        <v>46105.95511574074</v>
      </c>
      <c r="D2889" s="24">
        <v>46105</v>
      </c>
      <c r="E2889" s="25">
        <v>0.95511574074043892</v>
      </c>
      <c r="F2889" s="22" t="s">
        <v>3181</v>
      </c>
      <c r="G2889" s="22" t="s">
        <v>44</v>
      </c>
      <c r="H2889" s="22" t="s">
        <v>185</v>
      </c>
      <c r="I2889" s="22" t="s">
        <v>583</v>
      </c>
      <c r="J2889" s="26">
        <v>0.18</v>
      </c>
      <c r="K2889" s="26"/>
      <c r="L2889" s="26"/>
      <c r="M2889" s="26"/>
      <c r="N2889" s="26"/>
      <c r="O2889" s="26"/>
      <c r="P2889" s="26"/>
      <c r="Q2889" s="26"/>
      <c r="R2889" s="26"/>
      <c r="S2889" s="26"/>
    </row>
    <row r="2890" spans="1:19" ht="14.25" customHeight="1" x14ac:dyDescent="0.2">
      <c r="A2890" s="22" t="s">
        <v>24</v>
      </c>
      <c r="B2890" s="23">
        <v>46105.879131944443</v>
      </c>
      <c r="C2890" s="23">
        <v>46105.956793981481</v>
      </c>
      <c r="D2890" s="24">
        <v>46105</v>
      </c>
      <c r="E2890" s="25">
        <v>0.95679398148058681</v>
      </c>
      <c r="F2890" s="22" t="s">
        <v>3182</v>
      </c>
      <c r="G2890" s="22" t="s">
        <v>44</v>
      </c>
      <c r="H2890" s="22" t="s">
        <v>185</v>
      </c>
      <c r="I2890" s="22" t="s">
        <v>583</v>
      </c>
      <c r="J2890" s="26">
        <v>0.18</v>
      </c>
      <c r="K2890" s="26"/>
      <c r="L2890" s="26"/>
      <c r="M2890" s="26"/>
      <c r="N2890" s="26"/>
      <c r="O2890" s="26"/>
      <c r="P2890" s="26"/>
      <c r="Q2890" s="26"/>
      <c r="R2890" s="26"/>
      <c r="S2890" s="26"/>
    </row>
    <row r="2891" spans="1:19" ht="14.25" customHeight="1" x14ac:dyDescent="0.2">
      <c r="A2891" s="1" t="s">
        <v>24</v>
      </c>
      <c r="B2891" s="7">
        <v>46105.940023148149</v>
      </c>
      <c r="C2891" s="7">
        <v>46105.957175925927</v>
      </c>
      <c r="D2891" s="8">
        <v>46105</v>
      </c>
      <c r="E2891" s="9">
        <v>0.95717592592700385</v>
      </c>
      <c r="F2891" s="10" t="s">
        <v>3183</v>
      </c>
      <c r="G2891" s="10" t="s">
        <v>21</v>
      </c>
      <c r="H2891" s="10" t="s">
        <v>620</v>
      </c>
      <c r="I2891" s="10" t="s">
        <v>23</v>
      </c>
      <c r="J2891" s="11">
        <v>1.06</v>
      </c>
      <c r="K2891" s="12"/>
      <c r="L2891" s="12"/>
      <c r="M2891" s="12"/>
      <c r="N2891" s="12"/>
      <c r="O2891" s="12"/>
      <c r="P2891" s="12"/>
      <c r="Q2891" s="12"/>
      <c r="R2891" s="12"/>
      <c r="S2891" s="12"/>
    </row>
    <row r="2892" spans="1:19" ht="14.25" customHeight="1" x14ac:dyDescent="0.2">
      <c r="A2892" s="22" t="s">
        <v>230</v>
      </c>
      <c r="B2892" s="23">
        <v>46105.903981481482</v>
      </c>
      <c r="C2892" s="23">
        <v>46105.957604166666</v>
      </c>
      <c r="D2892" s="24">
        <v>46105</v>
      </c>
      <c r="E2892" s="25">
        <v>0.95760416666598758</v>
      </c>
      <c r="F2892" s="22" t="s">
        <v>3184</v>
      </c>
      <c r="G2892" s="22" t="s">
        <v>44</v>
      </c>
      <c r="H2892" s="22" t="s">
        <v>2329</v>
      </c>
      <c r="I2892" s="22" t="s">
        <v>583</v>
      </c>
      <c r="J2892" s="26">
        <v>0.17</v>
      </c>
      <c r="K2892" s="26"/>
      <c r="L2892" s="26"/>
      <c r="M2892" s="26"/>
      <c r="N2892" s="26"/>
      <c r="O2892" s="26"/>
      <c r="P2892" s="26"/>
      <c r="Q2892" s="26"/>
      <c r="R2892" s="26"/>
      <c r="S2892" s="26"/>
    </row>
    <row r="2893" spans="1:19" ht="14.25" customHeight="1" x14ac:dyDescent="0.2">
      <c r="A2893" s="22" t="s">
        <v>28</v>
      </c>
      <c r="B2893" s="23">
        <v>46105.917604166665</v>
      </c>
      <c r="C2893" s="23">
        <v>46105.959583333337</v>
      </c>
      <c r="D2893" s="24">
        <v>46105</v>
      </c>
      <c r="E2893" s="25">
        <v>0.95958333333692281</v>
      </c>
      <c r="F2893" s="22" t="s">
        <v>3185</v>
      </c>
      <c r="G2893" s="22" t="s">
        <v>44</v>
      </c>
      <c r="H2893" s="22" t="s">
        <v>185</v>
      </c>
      <c r="I2893" s="22" t="s">
        <v>583</v>
      </c>
      <c r="J2893" s="26">
        <v>0.18</v>
      </c>
      <c r="K2893" s="26"/>
      <c r="L2893" s="26">
        <f>SUM(J2893:J2904)</f>
        <v>11.290000000000001</v>
      </c>
      <c r="M2893" s="13">
        <f>L2893*65</f>
        <v>733.85</v>
      </c>
      <c r="N2893" s="14">
        <f>MAX(500,M2893)</f>
        <v>733.85</v>
      </c>
      <c r="O2893" s="26"/>
      <c r="P2893" s="26"/>
      <c r="Q2893" s="26"/>
      <c r="R2893" s="26"/>
      <c r="S2893" s="26"/>
    </row>
    <row r="2894" spans="1:19" ht="14.25" customHeight="1" x14ac:dyDescent="0.2">
      <c r="A2894" s="1" t="s">
        <v>24</v>
      </c>
      <c r="B2894" s="7">
        <v>46105.930289351854</v>
      </c>
      <c r="C2894" s="7">
        <v>46105.959907407407</v>
      </c>
      <c r="D2894" s="8">
        <v>46105</v>
      </c>
      <c r="E2894" s="9">
        <v>0.95990740740671754</v>
      </c>
      <c r="F2894" s="10" t="s">
        <v>3186</v>
      </c>
      <c r="G2894" s="10" t="s">
        <v>21</v>
      </c>
      <c r="H2894" s="10" t="s">
        <v>142</v>
      </c>
      <c r="I2894" s="10" t="s">
        <v>23</v>
      </c>
      <c r="J2894" s="11">
        <v>0.83</v>
      </c>
      <c r="K2894" s="12"/>
      <c r="L2894" s="12"/>
      <c r="M2894" s="12"/>
      <c r="N2894" s="12"/>
      <c r="O2894" s="12"/>
      <c r="P2894" s="12"/>
      <c r="Q2894" s="12"/>
      <c r="R2894" s="12"/>
      <c r="S2894" s="12"/>
    </row>
    <row r="2895" spans="1:19" ht="14.25" customHeight="1" x14ac:dyDescent="0.2">
      <c r="A2895" s="1" t="s">
        <v>24</v>
      </c>
      <c r="B2895" s="7">
        <v>46105.955046296294</v>
      </c>
      <c r="C2895" s="7">
        <v>46105.965798611112</v>
      </c>
      <c r="D2895" s="8">
        <v>46105</v>
      </c>
      <c r="E2895" s="9">
        <v>0.96579861111240461</v>
      </c>
      <c r="F2895" s="10" t="s">
        <v>3187</v>
      </c>
      <c r="G2895" s="10" t="s">
        <v>21</v>
      </c>
      <c r="H2895" s="10" t="s">
        <v>22</v>
      </c>
      <c r="I2895" s="10" t="s">
        <v>23</v>
      </c>
      <c r="J2895" s="11">
        <v>0.83</v>
      </c>
      <c r="K2895" s="12"/>
      <c r="L2895" s="12"/>
      <c r="M2895" s="12"/>
      <c r="N2895" s="12"/>
      <c r="O2895" s="12"/>
      <c r="P2895" s="12"/>
      <c r="Q2895" s="12"/>
      <c r="R2895" s="12"/>
      <c r="S2895" s="12"/>
    </row>
    <row r="2896" spans="1:19" ht="14.25" customHeight="1" x14ac:dyDescent="0.2">
      <c r="A2896" s="1" t="s">
        <v>24</v>
      </c>
      <c r="B2896" s="7">
        <v>46105.945833333331</v>
      </c>
      <c r="C2896" s="7">
        <v>46105.966296296298</v>
      </c>
      <c r="D2896" s="8">
        <v>46105</v>
      </c>
      <c r="E2896" s="9">
        <v>0.96629629629751435</v>
      </c>
      <c r="F2896" s="10" t="s">
        <v>3188</v>
      </c>
      <c r="G2896" s="10" t="s">
        <v>21</v>
      </c>
      <c r="H2896" s="10" t="s">
        <v>39</v>
      </c>
      <c r="I2896" s="10" t="s">
        <v>23</v>
      </c>
      <c r="J2896" s="11">
        <v>1.77</v>
      </c>
      <c r="K2896" s="12"/>
      <c r="L2896" s="12"/>
      <c r="M2896" s="12"/>
      <c r="N2896" s="12"/>
      <c r="O2896" s="12"/>
      <c r="P2896" s="12"/>
      <c r="Q2896" s="12"/>
      <c r="R2896" s="12"/>
      <c r="S2896" s="12"/>
    </row>
    <row r="2897" spans="1:19" ht="14.25" customHeight="1" x14ac:dyDescent="0.2">
      <c r="A2897" s="1" t="s">
        <v>19</v>
      </c>
      <c r="B2897" s="7">
        <v>46105.957939814813</v>
      </c>
      <c r="C2897" s="7">
        <v>46105.973449074074</v>
      </c>
      <c r="D2897" s="8">
        <v>46105</v>
      </c>
      <c r="E2897" s="9">
        <v>0.97344907407386927</v>
      </c>
      <c r="F2897" s="10" t="s">
        <v>3189</v>
      </c>
      <c r="G2897" s="10" t="s">
        <v>21</v>
      </c>
      <c r="H2897" s="10" t="s">
        <v>41</v>
      </c>
      <c r="I2897" s="10" t="s">
        <v>23</v>
      </c>
      <c r="J2897" s="11">
        <v>1.77</v>
      </c>
      <c r="K2897" s="12"/>
      <c r="L2897" s="12"/>
      <c r="M2897" s="12"/>
      <c r="N2897" s="12"/>
      <c r="O2897" s="12"/>
      <c r="P2897" s="12"/>
      <c r="Q2897" s="12"/>
      <c r="R2897" s="12"/>
      <c r="S2897" s="12"/>
    </row>
    <row r="2898" spans="1:19" ht="14.25" customHeight="1" x14ac:dyDescent="0.2">
      <c r="A2898" s="1" t="s">
        <v>148</v>
      </c>
      <c r="B2898" s="7">
        <v>46105.957858796297</v>
      </c>
      <c r="C2898" s="7">
        <v>46105.97828703704</v>
      </c>
      <c r="D2898" s="8">
        <v>46105</v>
      </c>
      <c r="E2898" s="9">
        <v>0.97828703703999054</v>
      </c>
      <c r="F2898" s="10" t="s">
        <v>3190</v>
      </c>
      <c r="G2898" s="10" t="s">
        <v>21</v>
      </c>
      <c r="H2898" s="10" t="s">
        <v>258</v>
      </c>
      <c r="I2898" s="10" t="s">
        <v>23</v>
      </c>
      <c r="J2898" s="11">
        <v>0.83</v>
      </c>
      <c r="K2898" s="12"/>
      <c r="L2898" s="12"/>
      <c r="M2898" s="12"/>
      <c r="N2898" s="12"/>
      <c r="O2898" s="12"/>
      <c r="P2898" s="12"/>
      <c r="Q2898" s="12"/>
      <c r="R2898" s="12"/>
      <c r="S2898" s="12"/>
    </row>
    <row r="2899" spans="1:19" ht="14.25" customHeight="1" x14ac:dyDescent="0.2">
      <c r="A2899" s="1" t="s">
        <v>95</v>
      </c>
      <c r="B2899" s="7">
        <v>46105.952430555553</v>
      </c>
      <c r="C2899" s="7">
        <v>46105.97859953704</v>
      </c>
      <c r="D2899" s="8">
        <v>46105</v>
      </c>
      <c r="E2899" s="9">
        <v>0.97859953704028158</v>
      </c>
      <c r="F2899" s="10" t="s">
        <v>3191</v>
      </c>
      <c r="G2899" s="10" t="s">
        <v>21</v>
      </c>
      <c r="H2899" s="10" t="s">
        <v>52</v>
      </c>
      <c r="I2899" s="10" t="s">
        <v>23</v>
      </c>
      <c r="J2899" s="11">
        <v>0.98</v>
      </c>
      <c r="K2899" s="12"/>
      <c r="L2899" s="12"/>
      <c r="M2899" s="12"/>
      <c r="N2899" s="12"/>
      <c r="O2899" s="12"/>
      <c r="P2899" s="12"/>
      <c r="Q2899" s="12"/>
      <c r="R2899" s="12"/>
      <c r="S2899" s="12"/>
    </row>
    <row r="2900" spans="1:19" ht="14.25" customHeight="1" x14ac:dyDescent="0.2">
      <c r="A2900" s="1" t="s">
        <v>95</v>
      </c>
      <c r="B2900" s="7">
        <v>46105.952430555553</v>
      </c>
      <c r="C2900" s="7">
        <v>46105.979004629633</v>
      </c>
      <c r="D2900" s="8">
        <v>46105</v>
      </c>
      <c r="E2900" s="9">
        <v>0.97900462963298196</v>
      </c>
      <c r="F2900" s="10" t="s">
        <v>3192</v>
      </c>
      <c r="G2900" s="10" t="s">
        <v>21</v>
      </c>
      <c r="H2900" s="10" t="s">
        <v>189</v>
      </c>
      <c r="I2900" s="10" t="s">
        <v>23</v>
      </c>
      <c r="J2900" s="11">
        <v>0.83</v>
      </c>
      <c r="K2900" s="12"/>
      <c r="L2900" s="12"/>
      <c r="M2900" s="12"/>
      <c r="N2900" s="12"/>
      <c r="O2900" s="12"/>
      <c r="P2900" s="12"/>
      <c r="Q2900" s="12"/>
      <c r="R2900" s="12"/>
      <c r="S2900" s="12"/>
    </row>
    <row r="2901" spans="1:19" ht="14.25" customHeight="1" x14ac:dyDescent="0.2">
      <c r="A2901" s="1" t="s">
        <v>19</v>
      </c>
      <c r="B2901" s="7">
        <v>46105.967187499999</v>
      </c>
      <c r="C2901" s="7">
        <v>46105.984120370369</v>
      </c>
      <c r="D2901" s="8">
        <v>46105</v>
      </c>
      <c r="E2901" s="9">
        <v>0.98412037036905531</v>
      </c>
      <c r="F2901" s="10" t="s">
        <v>3193</v>
      </c>
      <c r="G2901" s="10" t="s">
        <v>21</v>
      </c>
      <c r="H2901" s="10" t="s">
        <v>22</v>
      </c>
      <c r="I2901" s="10" t="s">
        <v>23</v>
      </c>
      <c r="J2901" s="11">
        <v>0.83</v>
      </c>
      <c r="K2901" s="12"/>
      <c r="L2901" s="12"/>
      <c r="M2901" s="12"/>
      <c r="N2901" s="12"/>
      <c r="O2901" s="12"/>
      <c r="P2901" s="12"/>
      <c r="Q2901" s="12"/>
      <c r="R2901" s="12"/>
      <c r="S2901" s="12"/>
    </row>
    <row r="2902" spans="1:19" ht="14.25" customHeight="1" x14ac:dyDescent="0.2">
      <c r="A2902" s="1" t="s">
        <v>19</v>
      </c>
      <c r="B2902" s="7">
        <v>46105.967187499999</v>
      </c>
      <c r="C2902" s="7">
        <v>46105.984398148146</v>
      </c>
      <c r="D2902" s="8">
        <v>46105</v>
      </c>
      <c r="E2902" s="9">
        <v>0.98439814814628335</v>
      </c>
      <c r="F2902" s="10" t="s">
        <v>3194</v>
      </c>
      <c r="G2902" s="10" t="s">
        <v>21</v>
      </c>
      <c r="H2902" s="10" t="s">
        <v>52</v>
      </c>
      <c r="I2902" s="10" t="s">
        <v>23</v>
      </c>
      <c r="J2902" s="11">
        <v>0.98</v>
      </c>
      <c r="K2902" s="12"/>
      <c r="L2902" s="12"/>
      <c r="M2902" s="12"/>
      <c r="N2902" s="12"/>
      <c r="O2902" s="12"/>
      <c r="P2902" s="12"/>
      <c r="Q2902" s="12"/>
      <c r="R2902" s="12"/>
      <c r="S2902" s="12"/>
    </row>
    <row r="2903" spans="1:19" ht="14.25" customHeight="1" x14ac:dyDescent="0.2">
      <c r="A2903" s="1" t="s">
        <v>95</v>
      </c>
      <c r="B2903" s="7">
        <v>46105.990960648145</v>
      </c>
      <c r="C2903" s="7">
        <v>46105.997685185182</v>
      </c>
      <c r="D2903" s="8">
        <v>46105</v>
      </c>
      <c r="E2903" s="9">
        <v>0.99768518518249039</v>
      </c>
      <c r="F2903" s="10" t="s">
        <v>3195</v>
      </c>
      <c r="G2903" s="10" t="s">
        <v>21</v>
      </c>
      <c r="H2903" s="10" t="s">
        <v>110</v>
      </c>
      <c r="I2903" s="10" t="s">
        <v>23</v>
      </c>
      <c r="J2903" s="11">
        <v>0.83</v>
      </c>
      <c r="K2903" s="12"/>
      <c r="L2903" s="12"/>
      <c r="M2903" s="12"/>
      <c r="N2903" s="12"/>
      <c r="O2903" s="12"/>
      <c r="P2903" s="12"/>
      <c r="Q2903" s="12"/>
      <c r="R2903" s="12"/>
      <c r="S2903" s="12"/>
    </row>
    <row r="2904" spans="1:19" ht="14.25" customHeight="1" x14ac:dyDescent="0.2">
      <c r="A2904" s="1" t="s">
        <v>24</v>
      </c>
      <c r="B2904" s="7">
        <v>46105.95685185185</v>
      </c>
      <c r="C2904" s="7">
        <v>46105.999930555554</v>
      </c>
      <c r="D2904" s="8">
        <v>46105</v>
      </c>
      <c r="E2904" s="9">
        <v>0.999930555553874</v>
      </c>
      <c r="F2904" s="10" t="s">
        <v>3196</v>
      </c>
      <c r="G2904" s="10" t="s">
        <v>26</v>
      </c>
      <c r="H2904" s="10" t="s">
        <v>92</v>
      </c>
      <c r="I2904" s="10" t="s">
        <v>23</v>
      </c>
      <c r="J2904" s="11">
        <v>0.63</v>
      </c>
      <c r="K2904" s="12"/>
      <c r="L2904" s="12"/>
      <c r="M2904" s="12"/>
      <c r="N2904" s="12"/>
      <c r="O2904" s="12"/>
      <c r="P2904" s="12"/>
      <c r="Q2904" s="12"/>
      <c r="R2904" s="12"/>
      <c r="S2904" s="12"/>
    </row>
    <row r="2905" spans="1:19" ht="14.25" customHeight="1" x14ac:dyDescent="0.2">
      <c r="A2905" s="1" t="s">
        <v>95</v>
      </c>
      <c r="B2905" s="7">
        <v>46105.98333333333</v>
      </c>
      <c r="C2905" s="7">
        <v>46106.0003125</v>
      </c>
      <c r="D2905" s="8">
        <v>46106</v>
      </c>
      <c r="E2905" s="9">
        <v>3.125000002910383E-4</v>
      </c>
      <c r="F2905" s="10" t="s">
        <v>3197</v>
      </c>
      <c r="G2905" s="10" t="s">
        <v>21</v>
      </c>
      <c r="H2905" s="10" t="s">
        <v>110</v>
      </c>
      <c r="I2905" s="10" t="s">
        <v>23</v>
      </c>
      <c r="J2905" s="11">
        <v>0.83</v>
      </c>
      <c r="K2905" s="12"/>
      <c r="L2905" s="12">
        <f>SUM(J2905:J2929)</f>
        <v>31.839999999999989</v>
      </c>
      <c r="M2905" s="13">
        <f>L2905*65</f>
        <v>2069.5999999999995</v>
      </c>
      <c r="N2905" s="14">
        <f>MAX(500,M2905)</f>
        <v>2069.5999999999995</v>
      </c>
      <c r="O2905" s="12"/>
      <c r="P2905" s="12"/>
      <c r="Q2905" s="12"/>
      <c r="R2905" s="12"/>
      <c r="S2905" s="12"/>
    </row>
    <row r="2906" spans="1:19" ht="14.25" customHeight="1" x14ac:dyDescent="0.2">
      <c r="A2906" s="1" t="s">
        <v>24</v>
      </c>
      <c r="B2906" s="7">
        <v>46105.983032407406</v>
      </c>
      <c r="C2906" s="7">
        <v>46106.000648148147</v>
      </c>
      <c r="D2906" s="8">
        <v>46106</v>
      </c>
      <c r="E2906" s="9">
        <v>6.4814814686542377E-4</v>
      </c>
      <c r="F2906" s="10" t="s">
        <v>3198</v>
      </c>
      <c r="G2906" s="10" t="s">
        <v>21</v>
      </c>
      <c r="H2906" s="10" t="s">
        <v>22</v>
      </c>
      <c r="I2906" s="10" t="s">
        <v>23</v>
      </c>
      <c r="J2906" s="11">
        <v>0.83</v>
      </c>
      <c r="K2906" s="12"/>
      <c r="L2906" s="12"/>
      <c r="M2906" s="12"/>
      <c r="N2906" s="12"/>
      <c r="O2906" s="12"/>
      <c r="P2906" s="12"/>
      <c r="Q2906" s="12"/>
      <c r="R2906" s="12"/>
      <c r="S2906" s="12"/>
    </row>
    <row r="2907" spans="1:19" ht="14.25" customHeight="1" x14ac:dyDescent="0.2">
      <c r="A2907" s="1" t="s">
        <v>95</v>
      </c>
      <c r="B2907" s="7">
        <v>46105.942708333336</v>
      </c>
      <c r="C2907" s="7">
        <v>46106.001388888886</v>
      </c>
      <c r="D2907" s="8">
        <v>46106</v>
      </c>
      <c r="E2907" s="9">
        <v>1.3888888861401938E-3</v>
      </c>
      <c r="F2907" s="10" t="s">
        <v>3199</v>
      </c>
      <c r="G2907" s="10" t="s">
        <v>21</v>
      </c>
      <c r="H2907" s="10" t="s">
        <v>216</v>
      </c>
      <c r="I2907" s="10" t="s">
        <v>23</v>
      </c>
      <c r="J2907" s="11">
        <v>0.98</v>
      </c>
      <c r="K2907" s="12"/>
      <c r="L2907" s="12"/>
      <c r="M2907" s="12"/>
      <c r="N2907" s="12"/>
      <c r="O2907" s="12"/>
      <c r="P2907" s="12"/>
      <c r="Q2907" s="12"/>
      <c r="R2907" s="12"/>
      <c r="S2907" s="12"/>
    </row>
    <row r="2908" spans="1:19" ht="14.25" customHeight="1" x14ac:dyDescent="0.2">
      <c r="A2908" s="1" t="s">
        <v>95</v>
      </c>
      <c r="B2908" s="7">
        <v>46105.963518518518</v>
      </c>
      <c r="C2908" s="7">
        <v>46106.005555555559</v>
      </c>
      <c r="D2908" s="8">
        <v>46106</v>
      </c>
      <c r="E2908" s="9">
        <v>5.5555555591126904E-3</v>
      </c>
      <c r="F2908" s="10" t="s">
        <v>3200</v>
      </c>
      <c r="G2908" s="10" t="s">
        <v>21</v>
      </c>
      <c r="H2908" s="10" t="s">
        <v>1610</v>
      </c>
      <c r="I2908" s="10" t="s">
        <v>23</v>
      </c>
      <c r="J2908" s="11">
        <v>0.83</v>
      </c>
      <c r="K2908" s="12"/>
      <c r="L2908" s="12"/>
      <c r="M2908" s="12"/>
      <c r="N2908" s="12"/>
      <c r="O2908" s="12"/>
      <c r="P2908" s="12"/>
      <c r="Q2908" s="12"/>
      <c r="R2908" s="12"/>
      <c r="S2908" s="12"/>
    </row>
    <row r="2909" spans="1:19" ht="14.25" customHeight="1" x14ac:dyDescent="0.2">
      <c r="A2909" s="1" t="s">
        <v>19</v>
      </c>
      <c r="B2909" s="7">
        <v>46105.982662037037</v>
      </c>
      <c r="C2909" s="7">
        <v>46106.006284722222</v>
      </c>
      <c r="D2909" s="8">
        <v>46106</v>
      </c>
      <c r="E2909" s="9">
        <v>6.284722221607808E-3</v>
      </c>
      <c r="F2909" s="10" t="s">
        <v>3201</v>
      </c>
      <c r="G2909" s="10" t="s">
        <v>21</v>
      </c>
      <c r="H2909" s="10" t="s">
        <v>41</v>
      </c>
      <c r="I2909" s="10" t="s">
        <v>23</v>
      </c>
      <c r="J2909" s="11">
        <v>1.77</v>
      </c>
      <c r="K2909" s="12"/>
      <c r="L2909" s="12"/>
      <c r="M2909" s="12"/>
      <c r="N2909" s="12"/>
      <c r="O2909" s="12"/>
      <c r="P2909" s="12"/>
      <c r="Q2909" s="12"/>
      <c r="R2909" s="12"/>
      <c r="S2909" s="12"/>
    </row>
    <row r="2910" spans="1:19" ht="14.25" customHeight="1" x14ac:dyDescent="0.2">
      <c r="A2910" s="1" t="s">
        <v>33</v>
      </c>
      <c r="B2910" s="7">
        <v>46105.999143518522</v>
      </c>
      <c r="C2910" s="7">
        <v>46106.007708333331</v>
      </c>
      <c r="D2910" s="8">
        <v>46106</v>
      </c>
      <c r="E2910" s="9">
        <v>7.7083333308110014E-3</v>
      </c>
      <c r="F2910" s="10" t="s">
        <v>3202</v>
      </c>
      <c r="G2910" s="10" t="s">
        <v>21</v>
      </c>
      <c r="H2910" s="10" t="s">
        <v>41</v>
      </c>
      <c r="I2910" s="10" t="s">
        <v>23</v>
      </c>
      <c r="J2910" s="11">
        <v>1.77</v>
      </c>
      <c r="K2910" s="12"/>
      <c r="L2910" s="12"/>
      <c r="M2910" s="12"/>
      <c r="N2910" s="12"/>
      <c r="O2910" s="12"/>
      <c r="P2910" s="12"/>
      <c r="Q2910" s="12"/>
      <c r="R2910" s="12"/>
      <c r="S2910" s="12"/>
    </row>
    <row r="2911" spans="1:19" ht="14.25" customHeight="1" x14ac:dyDescent="0.2">
      <c r="A2911" s="1" t="s">
        <v>24</v>
      </c>
      <c r="B2911" s="7">
        <v>46105.91783564815</v>
      </c>
      <c r="C2911" s="7">
        <v>46106.008750000001</v>
      </c>
      <c r="D2911" s="8">
        <v>46106</v>
      </c>
      <c r="E2911" s="9">
        <v>8.7500000008731149E-3</v>
      </c>
      <c r="F2911" s="10" t="s">
        <v>3203</v>
      </c>
      <c r="G2911" s="10" t="s">
        <v>21</v>
      </c>
      <c r="H2911" s="10" t="s">
        <v>39</v>
      </c>
      <c r="I2911" s="10" t="s">
        <v>23</v>
      </c>
      <c r="J2911" s="11">
        <v>1.77</v>
      </c>
      <c r="K2911" s="12"/>
      <c r="L2911" s="12"/>
      <c r="M2911" s="12"/>
      <c r="N2911" s="12"/>
      <c r="O2911" s="12"/>
      <c r="P2911" s="12"/>
      <c r="Q2911" s="12"/>
      <c r="R2911" s="12"/>
      <c r="S2911" s="12"/>
    </row>
    <row r="2912" spans="1:19" ht="14.25" customHeight="1" x14ac:dyDescent="0.2">
      <c r="A2912" s="1" t="s">
        <v>95</v>
      </c>
      <c r="B2912" s="7">
        <v>46105.949328703704</v>
      </c>
      <c r="C2912" s="7">
        <v>46106.009780092594</v>
      </c>
      <c r="D2912" s="8">
        <v>46106</v>
      </c>
      <c r="E2912" s="9">
        <v>9.7800925941555761E-3</v>
      </c>
      <c r="F2912" s="10" t="s">
        <v>3204</v>
      </c>
      <c r="G2912" s="10" t="s">
        <v>21</v>
      </c>
      <c r="H2912" s="10" t="s">
        <v>105</v>
      </c>
      <c r="I2912" s="10" t="s">
        <v>23</v>
      </c>
      <c r="J2912" s="11">
        <v>2.5</v>
      </c>
      <c r="K2912" s="12"/>
      <c r="L2912" s="12"/>
      <c r="M2912" s="12"/>
      <c r="N2912" s="12"/>
      <c r="O2912" s="12"/>
      <c r="P2912" s="12"/>
      <c r="Q2912" s="12"/>
      <c r="R2912" s="12"/>
      <c r="S2912" s="12"/>
    </row>
    <row r="2913" spans="1:19" ht="14.25" customHeight="1" x14ac:dyDescent="0.2">
      <c r="A2913" s="1" t="s">
        <v>63</v>
      </c>
      <c r="B2913" s="7">
        <v>46105.996018518519</v>
      </c>
      <c r="C2913" s="7">
        <v>46106.012986111113</v>
      </c>
      <c r="D2913" s="8">
        <v>46106</v>
      </c>
      <c r="E2913" s="9">
        <v>1.2986111112695653E-2</v>
      </c>
      <c r="F2913" s="10" t="s">
        <v>3205</v>
      </c>
      <c r="G2913" s="10" t="s">
        <v>21</v>
      </c>
      <c r="H2913" s="10" t="s">
        <v>320</v>
      </c>
      <c r="I2913" s="10" t="s">
        <v>23</v>
      </c>
      <c r="J2913" s="11">
        <v>0.98</v>
      </c>
      <c r="K2913" s="12"/>
      <c r="L2913" s="12"/>
      <c r="M2913" s="12"/>
      <c r="N2913" s="12"/>
      <c r="O2913" s="12"/>
      <c r="P2913" s="12"/>
      <c r="Q2913" s="12"/>
      <c r="R2913" s="12"/>
      <c r="S2913" s="12"/>
    </row>
    <row r="2914" spans="1:19" ht="14.25" customHeight="1" x14ac:dyDescent="0.2">
      <c r="A2914" s="1" t="s">
        <v>63</v>
      </c>
      <c r="B2914" s="7">
        <v>46105.996018518519</v>
      </c>
      <c r="C2914" s="7">
        <v>46106.014236111114</v>
      </c>
      <c r="D2914" s="8">
        <v>46106</v>
      </c>
      <c r="E2914" s="9">
        <v>1.4236111113859806E-2</v>
      </c>
      <c r="F2914" s="10" t="s">
        <v>3206</v>
      </c>
      <c r="G2914" s="10" t="s">
        <v>21</v>
      </c>
      <c r="H2914" s="10" t="s">
        <v>216</v>
      </c>
      <c r="I2914" s="10" t="s">
        <v>23</v>
      </c>
      <c r="J2914" s="11">
        <v>0.98</v>
      </c>
      <c r="K2914" s="12"/>
      <c r="L2914" s="12"/>
      <c r="M2914" s="12"/>
      <c r="N2914" s="12"/>
      <c r="O2914" s="12"/>
      <c r="P2914" s="12"/>
      <c r="Q2914" s="12"/>
      <c r="R2914" s="12"/>
      <c r="S2914" s="12"/>
    </row>
    <row r="2915" spans="1:19" ht="14.25" customHeight="1" x14ac:dyDescent="0.2">
      <c r="A2915" s="1" t="s">
        <v>24</v>
      </c>
      <c r="B2915" s="7">
        <v>46105.996944444443</v>
      </c>
      <c r="C2915" s="7">
        <v>46106.014976851853</v>
      </c>
      <c r="D2915" s="8">
        <v>46106</v>
      </c>
      <c r="E2915" s="9">
        <v>1.4976851853134576E-2</v>
      </c>
      <c r="F2915" s="10" t="s">
        <v>3207</v>
      </c>
      <c r="G2915" s="10" t="s">
        <v>21</v>
      </c>
      <c r="H2915" s="10" t="s">
        <v>41</v>
      </c>
      <c r="I2915" s="10" t="s">
        <v>23</v>
      </c>
      <c r="J2915" s="11">
        <v>1.77</v>
      </c>
      <c r="K2915" s="12"/>
      <c r="L2915" s="12"/>
      <c r="M2915" s="12"/>
      <c r="N2915" s="12"/>
      <c r="O2915" s="12"/>
      <c r="P2915" s="12"/>
      <c r="Q2915" s="12"/>
      <c r="R2915" s="12"/>
      <c r="S2915" s="12"/>
    </row>
    <row r="2916" spans="1:19" ht="14.25" customHeight="1" x14ac:dyDescent="0.2">
      <c r="A2916" s="1" t="s">
        <v>19</v>
      </c>
      <c r="B2916" s="7">
        <v>46105.995162037034</v>
      </c>
      <c r="C2916" s="7">
        <v>46106.015844907408</v>
      </c>
      <c r="D2916" s="8">
        <v>46106</v>
      </c>
      <c r="E2916" s="9">
        <v>1.5844907407881692E-2</v>
      </c>
      <c r="F2916" s="10" t="s">
        <v>3208</v>
      </c>
      <c r="G2916" s="10" t="s">
        <v>21</v>
      </c>
      <c r="H2916" s="10" t="s">
        <v>101</v>
      </c>
      <c r="I2916" s="10" t="s">
        <v>23</v>
      </c>
      <c r="J2916" s="11">
        <v>1.7</v>
      </c>
      <c r="K2916" s="12"/>
      <c r="L2916" s="12"/>
      <c r="M2916" s="12"/>
      <c r="N2916" s="12"/>
      <c r="O2916" s="12"/>
      <c r="P2916" s="12"/>
      <c r="Q2916" s="12"/>
      <c r="R2916" s="12"/>
      <c r="S2916" s="12"/>
    </row>
    <row r="2917" spans="1:19" ht="14.25" customHeight="1" x14ac:dyDescent="0.2">
      <c r="A2917" s="1" t="s">
        <v>95</v>
      </c>
      <c r="B2917" s="7">
        <v>46106.018460648149</v>
      </c>
      <c r="C2917" s="7">
        <v>46106.026388888888</v>
      </c>
      <c r="D2917" s="8">
        <v>46106</v>
      </c>
      <c r="E2917" s="9">
        <v>2.6388888887595385E-2</v>
      </c>
      <c r="F2917" s="10" t="s">
        <v>3209</v>
      </c>
      <c r="G2917" s="10" t="s">
        <v>21</v>
      </c>
      <c r="H2917" s="10" t="s">
        <v>110</v>
      </c>
      <c r="I2917" s="10" t="s">
        <v>23</v>
      </c>
      <c r="J2917" s="11">
        <v>0.83</v>
      </c>
      <c r="K2917" s="12"/>
      <c r="L2917" s="12"/>
      <c r="M2917" s="12"/>
      <c r="N2917" s="12"/>
      <c r="O2917" s="12"/>
      <c r="P2917" s="12"/>
      <c r="Q2917" s="12"/>
      <c r="R2917" s="12"/>
      <c r="S2917" s="12"/>
    </row>
    <row r="2918" spans="1:19" ht="14.25" customHeight="1" x14ac:dyDescent="0.2">
      <c r="A2918" s="1" t="s">
        <v>19</v>
      </c>
      <c r="B2918" s="7">
        <v>46105.997361111113</v>
      </c>
      <c r="C2918" s="7">
        <v>46106.027025462965</v>
      </c>
      <c r="D2918" s="8">
        <v>46106</v>
      </c>
      <c r="E2918" s="9">
        <v>2.7025462964957114E-2</v>
      </c>
      <c r="F2918" s="10" t="s">
        <v>3210</v>
      </c>
      <c r="G2918" s="10" t="s">
        <v>21</v>
      </c>
      <c r="H2918" s="10" t="s">
        <v>22</v>
      </c>
      <c r="I2918" s="10" t="s">
        <v>23</v>
      </c>
      <c r="J2918" s="11">
        <v>0.83</v>
      </c>
      <c r="K2918" s="12"/>
      <c r="L2918" s="12"/>
      <c r="M2918" s="12"/>
      <c r="N2918" s="12"/>
      <c r="O2918" s="12"/>
      <c r="P2918" s="12"/>
      <c r="Q2918" s="12"/>
      <c r="R2918" s="12"/>
      <c r="S2918" s="12"/>
    </row>
    <row r="2919" spans="1:19" ht="14.25" customHeight="1" x14ac:dyDescent="0.2">
      <c r="A2919" s="1" t="s">
        <v>24</v>
      </c>
      <c r="B2919" s="7">
        <v>46106.004513888889</v>
      </c>
      <c r="C2919" s="7">
        <v>46106.027708333335</v>
      </c>
      <c r="D2919" s="8">
        <v>46106</v>
      </c>
      <c r="E2919" s="9">
        <v>2.7708333334885538E-2</v>
      </c>
      <c r="F2919" s="10" t="s">
        <v>3211</v>
      </c>
      <c r="G2919" s="10" t="s">
        <v>21</v>
      </c>
      <c r="H2919" s="10" t="s">
        <v>41</v>
      </c>
      <c r="I2919" s="10" t="s">
        <v>23</v>
      </c>
      <c r="J2919" s="11">
        <v>1.77</v>
      </c>
      <c r="K2919" s="12"/>
      <c r="L2919" s="12"/>
      <c r="M2919" s="12"/>
      <c r="N2919" s="12"/>
      <c r="O2919" s="12"/>
      <c r="P2919" s="12"/>
      <c r="Q2919" s="12"/>
      <c r="R2919" s="12"/>
      <c r="S2919" s="12"/>
    </row>
    <row r="2920" spans="1:19" ht="14.25" customHeight="1" x14ac:dyDescent="0.2">
      <c r="A2920" s="1" t="s">
        <v>95</v>
      </c>
      <c r="B2920" s="7">
        <v>46106.007025462961</v>
      </c>
      <c r="C2920" s="7">
        <v>46106.028460648151</v>
      </c>
      <c r="D2920" s="8">
        <v>46106</v>
      </c>
      <c r="E2920" s="9">
        <v>2.846064815093996E-2</v>
      </c>
      <c r="F2920" s="10" t="s">
        <v>3212</v>
      </c>
      <c r="G2920" s="10" t="s">
        <v>21</v>
      </c>
      <c r="H2920" s="10" t="s">
        <v>108</v>
      </c>
      <c r="I2920" s="10" t="s">
        <v>23</v>
      </c>
      <c r="J2920" s="11">
        <v>1.7</v>
      </c>
      <c r="K2920" s="12"/>
      <c r="L2920" s="12"/>
      <c r="M2920" s="12"/>
      <c r="N2920" s="12"/>
      <c r="O2920" s="12"/>
      <c r="P2920" s="12"/>
      <c r="Q2920" s="12"/>
      <c r="R2920" s="12"/>
      <c r="S2920" s="12"/>
    </row>
    <row r="2921" spans="1:19" ht="14.25" customHeight="1" x14ac:dyDescent="0.2">
      <c r="A2921" s="1" t="s">
        <v>33</v>
      </c>
      <c r="B2921" s="7">
        <v>46106.02076388889</v>
      </c>
      <c r="C2921" s="7">
        <v>46106.029282407406</v>
      </c>
      <c r="D2921" s="8">
        <v>46106</v>
      </c>
      <c r="E2921" s="9">
        <v>2.9282407405844424E-2</v>
      </c>
      <c r="F2921" s="10" t="s">
        <v>3213</v>
      </c>
      <c r="G2921" s="10" t="s">
        <v>21</v>
      </c>
      <c r="H2921" s="10" t="s">
        <v>41</v>
      </c>
      <c r="I2921" s="10" t="s">
        <v>23</v>
      </c>
      <c r="J2921" s="11">
        <v>1.77</v>
      </c>
      <c r="K2921" s="12"/>
      <c r="L2921" s="12"/>
      <c r="M2921" s="12"/>
      <c r="N2921" s="12"/>
      <c r="O2921" s="12"/>
      <c r="P2921" s="12"/>
      <c r="Q2921" s="12"/>
      <c r="R2921" s="12"/>
      <c r="S2921" s="12"/>
    </row>
    <row r="2922" spans="1:19" ht="14.25" customHeight="1" x14ac:dyDescent="0.2">
      <c r="A2922" s="1" t="s">
        <v>57</v>
      </c>
      <c r="B2922" s="7">
        <v>46106.012627314813</v>
      </c>
      <c r="C2922" s="7">
        <v>46106.03261574074</v>
      </c>
      <c r="D2922" s="8">
        <v>46106</v>
      </c>
      <c r="E2922" s="9">
        <v>3.2615740739856847E-2</v>
      </c>
      <c r="F2922" s="10" t="s">
        <v>3214</v>
      </c>
      <c r="G2922" s="10" t="s">
        <v>21</v>
      </c>
      <c r="H2922" s="10" t="s">
        <v>303</v>
      </c>
      <c r="I2922" s="10" t="s">
        <v>23</v>
      </c>
      <c r="J2922" s="11">
        <v>1.77</v>
      </c>
      <c r="K2922" s="12"/>
      <c r="L2922" s="12"/>
      <c r="M2922" s="12"/>
      <c r="N2922" s="12"/>
      <c r="O2922" s="12"/>
      <c r="P2922" s="12"/>
      <c r="Q2922" s="12"/>
      <c r="R2922" s="12"/>
      <c r="S2922" s="12"/>
    </row>
    <row r="2923" spans="1:19" ht="14.25" customHeight="1" x14ac:dyDescent="0.2">
      <c r="A2923" s="1" t="s">
        <v>95</v>
      </c>
      <c r="B2923" s="7">
        <v>46106.003344907411</v>
      </c>
      <c r="C2923" s="7">
        <v>46106.033020833333</v>
      </c>
      <c r="D2923" s="8">
        <v>46106</v>
      </c>
      <c r="E2923" s="9">
        <v>3.3020833332557231E-2</v>
      </c>
      <c r="F2923" s="10" t="s">
        <v>3215</v>
      </c>
      <c r="G2923" s="10" t="s">
        <v>21</v>
      </c>
      <c r="H2923" s="10" t="s">
        <v>108</v>
      </c>
      <c r="I2923" s="10" t="s">
        <v>23</v>
      </c>
      <c r="J2923" s="11">
        <v>1.7</v>
      </c>
      <c r="K2923" s="12"/>
      <c r="L2923" s="12"/>
      <c r="M2923" s="12"/>
      <c r="N2923" s="12"/>
      <c r="O2923" s="12"/>
      <c r="P2923" s="12"/>
      <c r="Q2923" s="12"/>
      <c r="R2923" s="12"/>
      <c r="S2923" s="12"/>
    </row>
    <row r="2924" spans="1:19" ht="14.25" customHeight="1" x14ac:dyDescent="0.2">
      <c r="A2924" s="1" t="s">
        <v>148</v>
      </c>
      <c r="B2924" s="7">
        <v>46105.993611111109</v>
      </c>
      <c r="C2924" s="7">
        <v>46106.034097222226</v>
      </c>
      <c r="D2924" s="8">
        <v>46106</v>
      </c>
      <c r="E2924" s="9">
        <v>3.4097222225682344E-2</v>
      </c>
      <c r="F2924" s="10" t="s">
        <v>3216</v>
      </c>
      <c r="G2924" s="10" t="s">
        <v>21</v>
      </c>
      <c r="H2924" s="10" t="s">
        <v>3217</v>
      </c>
      <c r="I2924" s="10" t="s">
        <v>23</v>
      </c>
      <c r="J2924" s="11">
        <v>0.83</v>
      </c>
      <c r="K2924" s="12"/>
      <c r="L2924" s="12"/>
      <c r="M2924" s="12"/>
      <c r="N2924" s="12"/>
      <c r="O2924" s="12"/>
      <c r="P2924" s="12"/>
      <c r="Q2924" s="12"/>
      <c r="R2924" s="12"/>
      <c r="S2924" s="12"/>
    </row>
    <row r="2925" spans="1:19" ht="14.25" customHeight="1" x14ac:dyDescent="0.2">
      <c r="A2925" s="1" t="s">
        <v>57</v>
      </c>
      <c r="B2925" s="7">
        <v>46106.027361111112</v>
      </c>
      <c r="C2925" s="7">
        <v>46106.038090277776</v>
      </c>
      <c r="D2925" s="8">
        <v>46106</v>
      </c>
      <c r="E2925" s="9">
        <v>3.8090277776063886E-2</v>
      </c>
      <c r="F2925" s="10" t="s">
        <v>3218</v>
      </c>
      <c r="G2925" s="10" t="s">
        <v>21</v>
      </c>
      <c r="H2925" s="10" t="s">
        <v>3219</v>
      </c>
      <c r="I2925" s="10" t="s">
        <v>23</v>
      </c>
      <c r="J2925" s="11">
        <v>0.98</v>
      </c>
      <c r="K2925" s="12"/>
      <c r="L2925" s="12"/>
      <c r="M2925" s="12"/>
      <c r="N2925" s="12"/>
      <c r="O2925" s="12"/>
      <c r="P2925" s="12"/>
      <c r="Q2925" s="12"/>
      <c r="R2925" s="12"/>
      <c r="S2925" s="12"/>
    </row>
    <row r="2926" spans="1:19" ht="14.25" customHeight="1" x14ac:dyDescent="0.2">
      <c r="A2926" s="1" t="s">
        <v>19</v>
      </c>
      <c r="B2926" s="7">
        <v>46106.015474537038</v>
      </c>
      <c r="C2926" s="7">
        <v>46106.038726851853</v>
      </c>
      <c r="D2926" s="8">
        <v>46106</v>
      </c>
      <c r="E2926" s="9">
        <v>3.8726851853425615E-2</v>
      </c>
      <c r="F2926" s="10" t="s">
        <v>3220</v>
      </c>
      <c r="G2926" s="10" t="s">
        <v>21</v>
      </c>
      <c r="H2926" s="10" t="s">
        <v>22</v>
      </c>
      <c r="I2926" s="10" t="s">
        <v>23</v>
      </c>
      <c r="J2926" s="11">
        <v>0.83</v>
      </c>
      <c r="K2926" s="12"/>
      <c r="L2926" s="12"/>
      <c r="M2926" s="12"/>
      <c r="N2926" s="12"/>
      <c r="O2926" s="12"/>
      <c r="P2926" s="12"/>
      <c r="Q2926" s="12"/>
      <c r="R2926" s="12"/>
      <c r="S2926" s="12"/>
    </row>
    <row r="2927" spans="1:19" ht="14.25" customHeight="1" x14ac:dyDescent="0.2">
      <c r="A2927" s="1" t="s">
        <v>95</v>
      </c>
      <c r="B2927" s="7">
        <v>46105.942708333336</v>
      </c>
      <c r="C2927" s="7">
        <v>46106.03979166667</v>
      </c>
      <c r="D2927" s="8">
        <v>46106</v>
      </c>
      <c r="E2927" s="9">
        <v>3.9791666669771075E-2</v>
      </c>
      <c r="F2927" s="10" t="s">
        <v>3221</v>
      </c>
      <c r="G2927" s="10" t="s">
        <v>21</v>
      </c>
      <c r="H2927" s="10" t="s">
        <v>551</v>
      </c>
      <c r="I2927" s="10" t="s">
        <v>23</v>
      </c>
      <c r="J2927" s="11">
        <v>1.06</v>
      </c>
      <c r="K2927" s="12"/>
      <c r="L2927" s="12"/>
      <c r="M2927" s="12"/>
      <c r="N2927" s="12"/>
      <c r="O2927" s="12"/>
      <c r="P2927" s="12"/>
      <c r="Q2927" s="12"/>
      <c r="R2927" s="12"/>
      <c r="S2927" s="12"/>
    </row>
    <row r="2928" spans="1:19" ht="14.25" customHeight="1" x14ac:dyDescent="0.2">
      <c r="A2928" s="1" t="s">
        <v>33</v>
      </c>
      <c r="B2928" s="7">
        <v>46105.990231481483</v>
      </c>
      <c r="C2928" s="7">
        <v>46106.040925925925</v>
      </c>
      <c r="D2928" s="8">
        <v>46106</v>
      </c>
      <c r="E2928" s="9">
        <v>4.0925925924966577E-2</v>
      </c>
      <c r="F2928" s="10" t="s">
        <v>3222</v>
      </c>
      <c r="G2928" s="10" t="s">
        <v>26</v>
      </c>
      <c r="H2928" s="10" t="s">
        <v>315</v>
      </c>
      <c r="I2928" s="10" t="s">
        <v>23</v>
      </c>
      <c r="J2928" s="11">
        <v>0.88</v>
      </c>
      <c r="K2928" s="12"/>
      <c r="L2928" s="12"/>
      <c r="M2928" s="12"/>
      <c r="N2928" s="12"/>
      <c r="O2928" s="12"/>
      <c r="P2928" s="12"/>
      <c r="Q2928" s="12"/>
      <c r="R2928" s="12"/>
      <c r="S2928" s="12"/>
    </row>
    <row r="2929" spans="1:19" ht="14.25" customHeight="1" x14ac:dyDescent="0.2">
      <c r="A2929" s="1" t="s">
        <v>24</v>
      </c>
      <c r="B2929" s="7">
        <v>46105.996423611112</v>
      </c>
      <c r="C2929" s="7">
        <v>46106.041168981479</v>
      </c>
      <c r="D2929" s="8">
        <v>46106</v>
      </c>
      <c r="E2929" s="9">
        <v>4.1168981479131617E-2</v>
      </c>
      <c r="F2929" s="10" t="s">
        <v>3223</v>
      </c>
      <c r="G2929" s="10" t="s">
        <v>44</v>
      </c>
      <c r="H2929" s="10" t="s">
        <v>1522</v>
      </c>
      <c r="I2929" s="10" t="s">
        <v>23</v>
      </c>
      <c r="J2929" s="11">
        <v>0.18</v>
      </c>
      <c r="K2929" s="12"/>
      <c r="L2929" s="12"/>
      <c r="M2929" s="12"/>
      <c r="N2929" s="12"/>
      <c r="O2929" s="12"/>
      <c r="P2929" s="12"/>
      <c r="Q2929" s="12"/>
      <c r="R2929" s="12"/>
      <c r="S2929" s="12"/>
    </row>
    <row r="2930" spans="1:19" ht="14.25" customHeight="1" x14ac:dyDescent="0.2">
      <c r="A2930" s="1" t="s">
        <v>95</v>
      </c>
      <c r="B2930" s="7">
        <v>46106.037592592591</v>
      </c>
      <c r="C2930" s="7">
        <v>46106.044282407405</v>
      </c>
      <c r="D2930" s="8">
        <v>46106</v>
      </c>
      <c r="E2930" s="9">
        <v>4.4282407405262347E-2</v>
      </c>
      <c r="F2930" s="10" t="s">
        <v>3224</v>
      </c>
      <c r="G2930" s="10" t="s">
        <v>21</v>
      </c>
      <c r="H2930" s="10" t="s">
        <v>110</v>
      </c>
      <c r="I2930" s="10" t="s">
        <v>23</v>
      </c>
      <c r="J2930" s="11">
        <v>0.83</v>
      </c>
      <c r="K2930" s="12"/>
      <c r="L2930" s="12">
        <f>SUM(J2930:J2940)</f>
        <v>17.36</v>
      </c>
      <c r="M2930" s="13">
        <f>L2930*65</f>
        <v>1128.3999999999999</v>
      </c>
      <c r="N2930" s="14">
        <f>MAX(500,M2930)</f>
        <v>1128.3999999999999</v>
      </c>
      <c r="O2930" s="12"/>
      <c r="P2930" s="12"/>
      <c r="Q2930" s="12"/>
      <c r="R2930" s="12"/>
      <c r="S2930" s="12"/>
    </row>
    <row r="2931" spans="1:19" ht="14.25" customHeight="1" x14ac:dyDescent="0.2">
      <c r="A2931" s="1" t="s">
        <v>95</v>
      </c>
      <c r="B2931" s="7">
        <v>46106.038900462961</v>
      </c>
      <c r="C2931" s="7">
        <v>46106.05133101852</v>
      </c>
      <c r="D2931" s="8">
        <v>46106</v>
      </c>
      <c r="E2931" s="9">
        <v>5.133101851970423E-2</v>
      </c>
      <c r="F2931" s="10" t="s">
        <v>3225</v>
      </c>
      <c r="G2931" s="10" t="s">
        <v>21</v>
      </c>
      <c r="H2931" s="10" t="s">
        <v>97</v>
      </c>
      <c r="I2931" s="10" t="s">
        <v>23</v>
      </c>
      <c r="J2931" s="11">
        <v>1.77</v>
      </c>
      <c r="K2931" s="12"/>
      <c r="L2931" s="12"/>
      <c r="M2931" s="12"/>
      <c r="N2931" s="12"/>
      <c r="O2931" s="12"/>
      <c r="P2931" s="12"/>
      <c r="Q2931" s="12"/>
      <c r="R2931" s="12"/>
      <c r="S2931" s="12"/>
    </row>
    <row r="2932" spans="1:19" ht="14.25" customHeight="1" x14ac:dyDescent="0.2">
      <c r="A2932" s="1" t="s">
        <v>95</v>
      </c>
      <c r="B2932" s="7">
        <v>46105.991689814815</v>
      </c>
      <c r="C2932" s="7">
        <v>46106.052453703705</v>
      </c>
      <c r="D2932" s="8">
        <v>46106</v>
      </c>
      <c r="E2932" s="9">
        <v>5.2453703705396038E-2</v>
      </c>
      <c r="F2932" s="10" t="s">
        <v>3226</v>
      </c>
      <c r="G2932" s="10" t="s">
        <v>21</v>
      </c>
      <c r="H2932" s="10" t="s">
        <v>3227</v>
      </c>
      <c r="I2932" s="10" t="s">
        <v>23</v>
      </c>
      <c r="J2932" s="11">
        <v>2.75</v>
      </c>
      <c r="K2932" s="12"/>
      <c r="L2932" s="12"/>
      <c r="M2932" s="12"/>
      <c r="N2932" s="12"/>
      <c r="O2932" s="12"/>
      <c r="P2932" s="12"/>
      <c r="Q2932" s="12"/>
      <c r="R2932" s="12"/>
      <c r="S2932" s="12"/>
    </row>
    <row r="2933" spans="1:19" ht="14.25" customHeight="1" x14ac:dyDescent="0.2">
      <c r="A2933" s="1" t="s">
        <v>24</v>
      </c>
      <c r="B2933" s="7">
        <v>46106.041678240741</v>
      </c>
      <c r="C2933" s="7">
        <v>46106.055879629632</v>
      </c>
      <c r="D2933" s="8">
        <v>46106</v>
      </c>
      <c r="E2933" s="9">
        <v>5.5879629631817807E-2</v>
      </c>
      <c r="F2933" s="10" t="s">
        <v>3228</v>
      </c>
      <c r="G2933" s="10" t="s">
        <v>21</v>
      </c>
      <c r="H2933" s="10" t="s">
        <v>268</v>
      </c>
      <c r="I2933" s="10" t="s">
        <v>23</v>
      </c>
      <c r="J2933" s="11">
        <v>1.35</v>
      </c>
      <c r="K2933" s="12"/>
      <c r="L2933" s="12"/>
      <c r="M2933" s="12"/>
      <c r="N2933" s="12"/>
      <c r="O2933" s="12"/>
      <c r="P2933" s="12"/>
      <c r="Q2933" s="12"/>
      <c r="R2933" s="12"/>
      <c r="S2933" s="12"/>
    </row>
    <row r="2934" spans="1:19" ht="14.25" customHeight="1" x14ac:dyDescent="0.2">
      <c r="A2934" s="1" t="s">
        <v>95</v>
      </c>
      <c r="B2934" s="7">
        <v>46106.039479166669</v>
      </c>
      <c r="C2934" s="7">
        <v>46106.063483796293</v>
      </c>
      <c r="D2934" s="8">
        <v>46106</v>
      </c>
      <c r="E2934" s="9">
        <v>6.3483796293439809E-2</v>
      </c>
      <c r="F2934" s="10" t="s">
        <v>3229</v>
      </c>
      <c r="G2934" s="10" t="s">
        <v>180</v>
      </c>
      <c r="H2934" s="10" t="s">
        <v>181</v>
      </c>
      <c r="I2934" s="10" t="s">
        <v>23</v>
      </c>
      <c r="J2934" s="11">
        <v>2.23</v>
      </c>
      <c r="K2934" s="12"/>
      <c r="L2934" s="12"/>
      <c r="M2934" s="12"/>
      <c r="N2934" s="12"/>
      <c r="O2934" s="12"/>
      <c r="P2934" s="12"/>
      <c r="Q2934" s="12"/>
      <c r="R2934" s="12"/>
      <c r="S2934" s="12"/>
    </row>
    <row r="2935" spans="1:19" ht="14.25" customHeight="1" x14ac:dyDescent="0.2">
      <c r="A2935" s="1" t="s">
        <v>95</v>
      </c>
      <c r="B2935" s="7">
        <v>46106.039479166669</v>
      </c>
      <c r="C2935" s="7">
        <v>46106.063935185186</v>
      </c>
      <c r="D2935" s="8">
        <v>46106</v>
      </c>
      <c r="E2935" s="9">
        <v>6.3935185185982846E-2</v>
      </c>
      <c r="F2935" s="10" t="s">
        <v>3230</v>
      </c>
      <c r="G2935" s="10" t="s">
        <v>180</v>
      </c>
      <c r="H2935" s="10" t="s">
        <v>1635</v>
      </c>
      <c r="I2935" s="10" t="s">
        <v>23</v>
      </c>
      <c r="J2935" s="11">
        <v>2.1</v>
      </c>
      <c r="K2935" s="12"/>
      <c r="L2935" s="12"/>
      <c r="M2935" s="12"/>
      <c r="N2935" s="12"/>
      <c r="O2935" s="12"/>
      <c r="P2935" s="12"/>
      <c r="Q2935" s="12"/>
      <c r="R2935" s="12"/>
      <c r="S2935" s="12"/>
    </row>
    <row r="2936" spans="1:19" ht="14.25" customHeight="1" x14ac:dyDescent="0.2">
      <c r="A2936" s="1" t="s">
        <v>95</v>
      </c>
      <c r="B2936" s="7">
        <v>46106.056863425925</v>
      </c>
      <c r="C2936" s="7">
        <v>46106.066990740743</v>
      </c>
      <c r="D2936" s="8">
        <v>46106</v>
      </c>
      <c r="E2936" s="9">
        <v>6.699074074276723E-2</v>
      </c>
      <c r="F2936" s="10" t="s">
        <v>3231</v>
      </c>
      <c r="G2936" s="10" t="s">
        <v>21</v>
      </c>
      <c r="H2936" s="10" t="s">
        <v>108</v>
      </c>
      <c r="I2936" s="10" t="s">
        <v>23</v>
      </c>
      <c r="J2936" s="11">
        <v>1.7</v>
      </c>
      <c r="K2936" s="12"/>
      <c r="L2936" s="12"/>
      <c r="M2936" s="12"/>
      <c r="N2936" s="12"/>
      <c r="O2936" s="12"/>
      <c r="P2936" s="12"/>
      <c r="Q2936" s="12"/>
      <c r="R2936" s="12"/>
      <c r="S2936" s="12"/>
    </row>
    <row r="2937" spans="1:19" ht="14.25" customHeight="1" x14ac:dyDescent="0.2">
      <c r="A2937" s="1" t="s">
        <v>95</v>
      </c>
      <c r="B2937" s="7">
        <v>46106.048009259262</v>
      </c>
      <c r="C2937" s="7">
        <v>46106.067465277774</v>
      </c>
      <c r="D2937" s="8">
        <v>46106</v>
      </c>
      <c r="E2937" s="9">
        <v>6.7465277774317656E-2</v>
      </c>
      <c r="F2937" s="10" t="s">
        <v>3232</v>
      </c>
      <c r="G2937" s="10" t="s">
        <v>21</v>
      </c>
      <c r="H2937" s="10" t="s">
        <v>108</v>
      </c>
      <c r="I2937" s="10" t="s">
        <v>23</v>
      </c>
      <c r="J2937" s="11">
        <v>1.7</v>
      </c>
      <c r="K2937" s="12"/>
      <c r="L2937" s="12"/>
      <c r="M2937" s="12"/>
      <c r="N2937" s="12"/>
      <c r="O2937" s="12"/>
      <c r="P2937" s="12"/>
      <c r="Q2937" s="12"/>
      <c r="R2937" s="12"/>
      <c r="S2937" s="12"/>
    </row>
    <row r="2938" spans="1:19" ht="14.25" customHeight="1" x14ac:dyDescent="0.2">
      <c r="A2938" s="1" t="s">
        <v>28</v>
      </c>
      <c r="B2938" s="7">
        <v>46106.058067129627</v>
      </c>
      <c r="C2938" s="7">
        <v>46106.07068287037</v>
      </c>
      <c r="D2938" s="8">
        <v>46106</v>
      </c>
      <c r="E2938" s="9">
        <v>7.0682870369637385E-2</v>
      </c>
      <c r="F2938" s="10" t="s">
        <v>3233</v>
      </c>
      <c r="G2938" s="10" t="s">
        <v>21</v>
      </c>
      <c r="H2938" s="10" t="s">
        <v>41</v>
      </c>
      <c r="I2938" s="10" t="s">
        <v>23</v>
      </c>
      <c r="J2938" s="11">
        <v>1.77</v>
      </c>
      <c r="K2938" s="12"/>
      <c r="L2938" s="12"/>
      <c r="M2938" s="12"/>
      <c r="N2938" s="12"/>
      <c r="O2938" s="12"/>
      <c r="P2938" s="12"/>
      <c r="Q2938" s="12"/>
      <c r="R2938" s="12"/>
      <c r="S2938" s="12"/>
    </row>
    <row r="2939" spans="1:19" ht="14.25" customHeight="1" x14ac:dyDescent="0.2">
      <c r="A2939" s="1" t="s">
        <v>24</v>
      </c>
      <c r="B2939" s="7">
        <v>46106.053229166668</v>
      </c>
      <c r="C2939" s="7">
        <v>46106.07099537037</v>
      </c>
      <c r="D2939" s="8">
        <v>46106</v>
      </c>
      <c r="E2939" s="9">
        <v>7.0995370369928423E-2</v>
      </c>
      <c r="F2939" s="10" t="s">
        <v>3234</v>
      </c>
      <c r="G2939" s="10" t="s">
        <v>44</v>
      </c>
      <c r="H2939" s="10" t="s">
        <v>185</v>
      </c>
      <c r="I2939" s="10" t="s">
        <v>23</v>
      </c>
      <c r="J2939" s="11">
        <v>0.18</v>
      </c>
      <c r="K2939" s="12"/>
      <c r="L2939" s="12"/>
      <c r="M2939" s="12"/>
      <c r="N2939" s="12"/>
      <c r="O2939" s="12"/>
      <c r="P2939" s="12"/>
      <c r="Q2939" s="12"/>
      <c r="R2939" s="12"/>
      <c r="S2939" s="12"/>
    </row>
    <row r="2940" spans="1:19" ht="14.25" customHeight="1" x14ac:dyDescent="0.2">
      <c r="A2940" s="1" t="s">
        <v>95</v>
      </c>
      <c r="B2940" s="7">
        <v>46106.032094907408</v>
      </c>
      <c r="C2940" s="7">
        <v>46106.075231481482</v>
      </c>
      <c r="D2940" s="8">
        <v>46106</v>
      </c>
      <c r="E2940" s="9">
        <v>7.5231481481750961E-2</v>
      </c>
      <c r="F2940" s="10" t="s">
        <v>3235</v>
      </c>
      <c r="G2940" s="10" t="s">
        <v>21</v>
      </c>
      <c r="H2940" s="10" t="s">
        <v>2372</v>
      </c>
      <c r="I2940" s="10" t="s">
        <v>23</v>
      </c>
      <c r="J2940" s="11">
        <v>0.98</v>
      </c>
      <c r="K2940" s="12"/>
      <c r="L2940" s="12"/>
      <c r="M2940" s="12"/>
      <c r="N2940" s="12"/>
      <c r="O2940" s="12"/>
      <c r="P2940" s="12"/>
      <c r="Q2940" s="12"/>
      <c r="R2940" s="12"/>
      <c r="S2940" s="12"/>
    </row>
    <row r="2941" spans="1:19" ht="14.25" customHeight="1" x14ac:dyDescent="0.2">
      <c r="A2941" s="1" t="s">
        <v>24</v>
      </c>
      <c r="B2941" s="7">
        <v>46106.062442129631</v>
      </c>
      <c r="C2941" s="7">
        <v>46106.08861111111</v>
      </c>
      <c r="D2941" s="8">
        <v>46106</v>
      </c>
      <c r="E2941" s="9">
        <v>8.8611111110367347E-2</v>
      </c>
      <c r="F2941" s="10" t="s">
        <v>3236</v>
      </c>
      <c r="G2941" s="10" t="s">
        <v>21</v>
      </c>
      <c r="H2941" s="10" t="s">
        <v>52</v>
      </c>
      <c r="I2941" s="10" t="s">
        <v>23</v>
      </c>
      <c r="J2941" s="11">
        <v>0.98</v>
      </c>
      <c r="K2941" s="12"/>
      <c r="L2941" s="12">
        <f>SUM(J2941:J2953)</f>
        <v>17.540000000000003</v>
      </c>
      <c r="M2941" s="13">
        <f>L2941*65</f>
        <v>1140.1000000000001</v>
      </c>
      <c r="N2941" s="14">
        <f>MAX(500,M2941)</f>
        <v>1140.1000000000001</v>
      </c>
      <c r="O2941" s="12"/>
      <c r="P2941" s="12"/>
      <c r="Q2941" s="12"/>
      <c r="R2941" s="12"/>
      <c r="S2941" s="12"/>
    </row>
    <row r="2942" spans="1:19" ht="14.25" customHeight="1" x14ac:dyDescent="0.2">
      <c r="A2942" s="1" t="s">
        <v>24</v>
      </c>
      <c r="B2942" s="7">
        <v>46106.061226851853</v>
      </c>
      <c r="C2942" s="7">
        <v>46106.088888888888</v>
      </c>
      <c r="D2942" s="8">
        <v>46106</v>
      </c>
      <c r="E2942" s="9">
        <v>8.8888888887595385E-2</v>
      </c>
      <c r="F2942" s="10" t="s">
        <v>3237</v>
      </c>
      <c r="G2942" s="10" t="s">
        <v>21</v>
      </c>
      <c r="H2942" s="10" t="s">
        <v>22</v>
      </c>
      <c r="I2942" s="10" t="s">
        <v>23</v>
      </c>
      <c r="J2942" s="11">
        <v>0.83</v>
      </c>
      <c r="K2942" s="12"/>
      <c r="L2942" s="12"/>
      <c r="M2942" s="12"/>
      <c r="N2942" s="12"/>
      <c r="O2942" s="12"/>
      <c r="P2942" s="12"/>
      <c r="Q2942" s="12"/>
      <c r="R2942" s="12"/>
      <c r="S2942" s="12"/>
    </row>
    <row r="2943" spans="1:19" ht="14.25" customHeight="1" x14ac:dyDescent="0.2">
      <c r="A2943" s="1" t="s">
        <v>24</v>
      </c>
      <c r="B2943" s="7">
        <v>46106.064872685187</v>
      </c>
      <c r="C2943" s="7">
        <v>46106.093101851853</v>
      </c>
      <c r="D2943" s="8">
        <v>46106</v>
      </c>
      <c r="E2943" s="9">
        <v>9.3101851853134576E-2</v>
      </c>
      <c r="F2943" s="10" t="s">
        <v>3238</v>
      </c>
      <c r="G2943" s="10" t="s">
        <v>21</v>
      </c>
      <c r="H2943" s="10" t="s">
        <v>467</v>
      </c>
      <c r="I2943" s="10" t="s">
        <v>23</v>
      </c>
      <c r="J2943" s="11">
        <v>2.75</v>
      </c>
      <c r="K2943" s="12"/>
      <c r="L2943" s="12"/>
      <c r="M2943" s="12"/>
      <c r="N2943" s="12"/>
      <c r="O2943" s="12"/>
      <c r="P2943" s="12"/>
      <c r="Q2943" s="12"/>
      <c r="R2943" s="12"/>
      <c r="S2943" s="12"/>
    </row>
    <row r="2944" spans="1:19" ht="14.25" customHeight="1" x14ac:dyDescent="0.2">
      <c r="A2944" s="1" t="s">
        <v>24</v>
      </c>
      <c r="B2944" s="7">
        <v>46106.078229166669</v>
      </c>
      <c r="C2944" s="7">
        <v>46106.094212962962</v>
      </c>
      <c r="D2944" s="8">
        <v>46106</v>
      </c>
      <c r="E2944" s="9">
        <v>9.4212962962046731E-2</v>
      </c>
      <c r="F2944" s="10" t="s">
        <v>3239</v>
      </c>
      <c r="G2944" s="10" t="s">
        <v>21</v>
      </c>
      <c r="H2944" s="10" t="s">
        <v>101</v>
      </c>
      <c r="I2944" s="10" t="s">
        <v>23</v>
      </c>
      <c r="J2944" s="11">
        <v>1.7</v>
      </c>
      <c r="K2944" s="12"/>
      <c r="L2944" s="12"/>
      <c r="M2944" s="12"/>
      <c r="N2944" s="12"/>
      <c r="O2944" s="12"/>
      <c r="P2944" s="12"/>
      <c r="Q2944" s="12"/>
      <c r="R2944" s="12"/>
      <c r="S2944" s="12"/>
    </row>
    <row r="2945" spans="1:19" ht="14.25" customHeight="1" x14ac:dyDescent="0.2">
      <c r="A2945" s="1" t="s">
        <v>95</v>
      </c>
      <c r="B2945" s="7">
        <v>46106.033680555556</v>
      </c>
      <c r="C2945" s="7">
        <v>46106.094675925924</v>
      </c>
      <c r="D2945" s="8">
        <v>46106</v>
      </c>
      <c r="E2945" s="9">
        <v>9.4675925924093463E-2</v>
      </c>
      <c r="F2945" s="10" t="s">
        <v>3240</v>
      </c>
      <c r="G2945" s="10" t="s">
        <v>21</v>
      </c>
      <c r="H2945" s="10" t="s">
        <v>105</v>
      </c>
      <c r="I2945" s="10" t="s">
        <v>23</v>
      </c>
      <c r="J2945" s="11">
        <v>2.5</v>
      </c>
      <c r="K2945" s="12"/>
      <c r="L2945" s="12"/>
      <c r="M2945" s="12"/>
      <c r="N2945" s="12"/>
      <c r="O2945" s="12"/>
      <c r="P2945" s="12"/>
      <c r="Q2945" s="12"/>
      <c r="R2945" s="12"/>
      <c r="S2945" s="12"/>
    </row>
    <row r="2946" spans="1:19" ht="14.25" customHeight="1" x14ac:dyDescent="0.2">
      <c r="A2946" s="1" t="s">
        <v>95</v>
      </c>
      <c r="B2946" s="7">
        <v>46106.087013888886</v>
      </c>
      <c r="C2946" s="7">
        <v>46106.10052083333</v>
      </c>
      <c r="D2946" s="8">
        <v>46106</v>
      </c>
      <c r="E2946" s="9">
        <v>0.10052083332993789</v>
      </c>
      <c r="F2946" s="10" t="s">
        <v>3241</v>
      </c>
      <c r="G2946" s="10" t="s">
        <v>21</v>
      </c>
      <c r="H2946" s="10" t="s">
        <v>108</v>
      </c>
      <c r="I2946" s="10" t="s">
        <v>23</v>
      </c>
      <c r="J2946" s="11">
        <v>1.7</v>
      </c>
      <c r="K2946" s="12"/>
      <c r="L2946" s="12"/>
      <c r="M2946" s="12"/>
      <c r="N2946" s="12"/>
      <c r="O2946" s="12"/>
      <c r="P2946" s="12"/>
      <c r="Q2946" s="12"/>
      <c r="R2946" s="12"/>
      <c r="S2946" s="12"/>
    </row>
    <row r="2947" spans="1:19" ht="14.25" customHeight="1" x14ac:dyDescent="0.2">
      <c r="A2947" s="1" t="s">
        <v>19</v>
      </c>
      <c r="B2947" s="7">
        <v>46106.082604166666</v>
      </c>
      <c r="C2947" s="7">
        <v>46106.100925925923</v>
      </c>
      <c r="D2947" s="8">
        <v>46106</v>
      </c>
      <c r="E2947" s="9">
        <v>0.10092592592263827</v>
      </c>
      <c r="F2947" s="10" t="s">
        <v>3242</v>
      </c>
      <c r="G2947" s="10" t="s">
        <v>21</v>
      </c>
      <c r="H2947" s="10" t="s">
        <v>22</v>
      </c>
      <c r="I2947" s="10" t="s">
        <v>23</v>
      </c>
      <c r="J2947" s="11">
        <v>0.83</v>
      </c>
      <c r="K2947" s="12"/>
      <c r="L2947" s="12"/>
      <c r="M2947" s="12"/>
      <c r="N2947" s="12"/>
      <c r="O2947" s="12"/>
      <c r="P2947" s="12"/>
      <c r="Q2947" s="12"/>
      <c r="R2947" s="12"/>
      <c r="S2947" s="12"/>
    </row>
    <row r="2948" spans="1:19" ht="14.25" customHeight="1" x14ac:dyDescent="0.2">
      <c r="A2948" s="1" t="s">
        <v>95</v>
      </c>
      <c r="B2948" s="7">
        <v>46106.08761574074</v>
      </c>
      <c r="C2948" s="7">
        <v>46106.101273148146</v>
      </c>
      <c r="D2948" s="8">
        <v>46106</v>
      </c>
      <c r="E2948" s="9">
        <v>0.10127314814599231</v>
      </c>
      <c r="F2948" s="10" t="s">
        <v>3243</v>
      </c>
      <c r="G2948" s="10" t="s">
        <v>21</v>
      </c>
      <c r="H2948" s="10" t="s">
        <v>110</v>
      </c>
      <c r="I2948" s="10" t="s">
        <v>23</v>
      </c>
      <c r="J2948" s="11">
        <v>0.83</v>
      </c>
      <c r="K2948" s="12"/>
      <c r="L2948" s="12"/>
      <c r="M2948" s="12"/>
      <c r="N2948" s="12"/>
      <c r="O2948" s="12"/>
      <c r="P2948" s="12"/>
      <c r="Q2948" s="12"/>
      <c r="R2948" s="12"/>
      <c r="S2948" s="12"/>
    </row>
    <row r="2949" spans="1:19" ht="14.25" customHeight="1" x14ac:dyDescent="0.2">
      <c r="A2949" s="1" t="s">
        <v>95</v>
      </c>
      <c r="B2949" s="7">
        <v>46106.07172453704</v>
      </c>
      <c r="C2949" s="7">
        <v>46106.103356481479</v>
      </c>
      <c r="D2949" s="8">
        <v>46106</v>
      </c>
      <c r="E2949" s="9">
        <v>0.10335648147884058</v>
      </c>
      <c r="F2949" s="10" t="s">
        <v>3244</v>
      </c>
      <c r="G2949" s="10" t="s">
        <v>21</v>
      </c>
      <c r="H2949" s="10" t="s">
        <v>154</v>
      </c>
      <c r="I2949" s="10" t="s">
        <v>23</v>
      </c>
      <c r="J2949" s="11">
        <v>1.77</v>
      </c>
      <c r="K2949" s="12"/>
      <c r="L2949" s="12"/>
      <c r="M2949" s="12"/>
      <c r="N2949" s="12"/>
      <c r="O2949" s="12"/>
      <c r="P2949" s="12"/>
      <c r="Q2949" s="12"/>
      <c r="R2949" s="12"/>
      <c r="S2949" s="12"/>
    </row>
    <row r="2950" spans="1:19" ht="14.25" customHeight="1" x14ac:dyDescent="0.2">
      <c r="A2950" s="1" t="s">
        <v>42</v>
      </c>
      <c r="B2950" s="7">
        <v>46106.078738425924</v>
      </c>
      <c r="C2950" s="7">
        <v>46106.104166666664</v>
      </c>
      <c r="D2950" s="8">
        <v>46106</v>
      </c>
      <c r="E2950" s="9">
        <v>0.10416666666424135</v>
      </c>
      <c r="F2950" s="10" t="s">
        <v>3245</v>
      </c>
      <c r="G2950" s="10" t="s">
        <v>26</v>
      </c>
      <c r="H2950" s="10" t="s">
        <v>78</v>
      </c>
      <c r="I2950" s="10" t="s">
        <v>23</v>
      </c>
      <c r="J2950" s="11">
        <v>0.56999999999999995</v>
      </c>
      <c r="K2950" s="12"/>
      <c r="L2950" s="12"/>
      <c r="M2950" s="12"/>
      <c r="N2950" s="12"/>
      <c r="O2950" s="12"/>
      <c r="P2950" s="12"/>
      <c r="Q2950" s="12"/>
      <c r="R2950" s="12"/>
      <c r="S2950" s="12"/>
    </row>
    <row r="2951" spans="1:19" ht="14.25" customHeight="1" x14ac:dyDescent="0.2">
      <c r="A2951" s="1" t="s">
        <v>24</v>
      </c>
      <c r="B2951" s="7">
        <v>46106.053344907406</v>
      </c>
      <c r="C2951" s="7">
        <v>46106.104513888888</v>
      </c>
      <c r="D2951" s="8">
        <v>46106</v>
      </c>
      <c r="E2951" s="9">
        <v>0.10451388888759539</v>
      </c>
      <c r="F2951" s="10" t="s">
        <v>3246</v>
      </c>
      <c r="G2951" s="10" t="s">
        <v>26</v>
      </c>
      <c r="H2951" s="10" t="s">
        <v>1260</v>
      </c>
      <c r="I2951" s="10" t="s">
        <v>23</v>
      </c>
      <c r="J2951" s="11">
        <v>0.57999999999999996</v>
      </c>
      <c r="K2951" s="12"/>
      <c r="L2951" s="12"/>
      <c r="M2951" s="12"/>
      <c r="N2951" s="12"/>
      <c r="O2951" s="12"/>
      <c r="P2951" s="12"/>
      <c r="Q2951" s="12"/>
      <c r="R2951" s="12"/>
      <c r="S2951" s="12"/>
    </row>
    <row r="2952" spans="1:19" ht="14.25" customHeight="1" x14ac:dyDescent="0.2">
      <c r="A2952" s="1" t="s">
        <v>24</v>
      </c>
      <c r="B2952" s="7">
        <v>46106.088958333334</v>
      </c>
      <c r="C2952" s="7">
        <v>46106.107407407406</v>
      </c>
      <c r="D2952" s="8">
        <v>46106</v>
      </c>
      <c r="E2952" s="9">
        <v>0.10740740740584442</v>
      </c>
      <c r="F2952" s="10" t="s">
        <v>3247</v>
      </c>
      <c r="G2952" s="10" t="s">
        <v>21</v>
      </c>
      <c r="H2952" s="10" t="s">
        <v>41</v>
      </c>
      <c r="I2952" s="10" t="s">
        <v>23</v>
      </c>
      <c r="J2952" s="11">
        <v>1.77</v>
      </c>
      <c r="K2952" s="12"/>
      <c r="L2952" s="12"/>
      <c r="M2952" s="12"/>
      <c r="N2952" s="12"/>
      <c r="O2952" s="12"/>
      <c r="P2952" s="12"/>
      <c r="Q2952" s="12"/>
      <c r="R2952" s="12"/>
      <c r="S2952" s="12"/>
    </row>
    <row r="2953" spans="1:19" ht="14.25" customHeight="1" x14ac:dyDescent="0.2">
      <c r="A2953" s="1" t="s">
        <v>24</v>
      </c>
      <c r="B2953" s="7">
        <v>46106.067673611113</v>
      </c>
      <c r="C2953" s="7">
        <v>46106.107905092591</v>
      </c>
      <c r="D2953" s="8">
        <v>46106</v>
      </c>
      <c r="E2953" s="9">
        <v>0.10790509259095415</v>
      </c>
      <c r="F2953" s="10" t="s">
        <v>3248</v>
      </c>
      <c r="G2953" s="10" t="s">
        <v>26</v>
      </c>
      <c r="H2953" s="10" t="s">
        <v>56</v>
      </c>
      <c r="I2953" s="10" t="s">
        <v>23</v>
      </c>
      <c r="J2953" s="11">
        <v>0.73</v>
      </c>
      <c r="K2953" s="12"/>
      <c r="L2953" s="12"/>
      <c r="M2953" s="12"/>
      <c r="N2953" s="12"/>
      <c r="O2953" s="12"/>
      <c r="P2953" s="12"/>
      <c r="Q2953" s="12"/>
      <c r="R2953" s="12"/>
      <c r="S2953" s="12"/>
    </row>
    <row r="2954" spans="1:19" ht="14.25" customHeight="1" x14ac:dyDescent="0.2">
      <c r="A2954" s="1" t="s">
        <v>24</v>
      </c>
      <c r="B2954" s="7">
        <v>46106.095914351848</v>
      </c>
      <c r="C2954" s="7">
        <v>46106.129699074074</v>
      </c>
      <c r="D2954" s="8">
        <v>46106</v>
      </c>
      <c r="E2954" s="9">
        <v>0.12969907407386927</v>
      </c>
      <c r="F2954" s="10" t="s">
        <v>3249</v>
      </c>
      <c r="G2954" s="10" t="s">
        <v>21</v>
      </c>
      <c r="H2954" s="10" t="s">
        <v>52</v>
      </c>
      <c r="I2954" s="10" t="s">
        <v>23</v>
      </c>
      <c r="J2954" s="11">
        <v>0.98</v>
      </c>
      <c r="K2954" s="12">
        <f>SUM(J2954:J2978)</f>
        <v>35.299999999999997</v>
      </c>
      <c r="L2954" s="12">
        <f>SUM(J2954:J2964)</f>
        <v>11.319999999999999</v>
      </c>
      <c r="M2954" s="13">
        <f>L2954*65</f>
        <v>735.8</v>
      </c>
      <c r="N2954" s="14">
        <f>MAX(500,M2954)</f>
        <v>735.8</v>
      </c>
      <c r="O2954" s="12"/>
      <c r="P2954" s="12"/>
      <c r="Q2954" s="12"/>
      <c r="R2954" s="12"/>
      <c r="S2954" s="12"/>
    </row>
    <row r="2955" spans="1:19" ht="14.25" customHeight="1" x14ac:dyDescent="0.2">
      <c r="A2955" s="1" t="s">
        <v>95</v>
      </c>
      <c r="B2955" s="7">
        <v>46106.115243055552</v>
      </c>
      <c r="C2955" s="7">
        <v>46106.130312499998</v>
      </c>
      <c r="D2955" s="8">
        <v>46106</v>
      </c>
      <c r="E2955" s="9">
        <v>0.13031249999767169</v>
      </c>
      <c r="F2955" s="10" t="s">
        <v>3250</v>
      </c>
      <c r="G2955" s="10" t="s">
        <v>21</v>
      </c>
      <c r="H2955" s="10" t="s">
        <v>216</v>
      </c>
      <c r="I2955" s="10" t="s">
        <v>23</v>
      </c>
      <c r="J2955" s="11">
        <v>0.98</v>
      </c>
      <c r="K2955" s="12"/>
      <c r="L2955" s="12"/>
      <c r="M2955" s="12"/>
      <c r="N2955" s="12"/>
      <c r="O2955" s="12"/>
      <c r="P2955" s="12"/>
      <c r="Q2955" s="12"/>
      <c r="R2955" s="12"/>
      <c r="S2955" s="12"/>
    </row>
    <row r="2956" spans="1:19" ht="14.25" customHeight="1" x14ac:dyDescent="0.2">
      <c r="A2956" s="1" t="s">
        <v>24</v>
      </c>
      <c r="B2956" s="7">
        <v>46106.095914351848</v>
      </c>
      <c r="C2956" s="7">
        <v>46106.130706018521</v>
      </c>
      <c r="D2956" s="8">
        <v>46106</v>
      </c>
      <c r="E2956" s="9">
        <v>0.13070601852086838</v>
      </c>
      <c r="F2956" s="10" t="s">
        <v>3251</v>
      </c>
      <c r="G2956" s="10" t="s">
        <v>21</v>
      </c>
      <c r="H2956" s="10" t="s">
        <v>598</v>
      </c>
      <c r="I2956" s="10" t="s">
        <v>23</v>
      </c>
      <c r="J2956" s="11">
        <v>0.98</v>
      </c>
      <c r="K2956" s="12"/>
      <c r="L2956" s="12"/>
      <c r="M2956" s="12"/>
      <c r="N2956" s="12"/>
      <c r="O2956" s="12"/>
      <c r="P2956" s="12"/>
      <c r="Q2956" s="12"/>
      <c r="R2956" s="12"/>
      <c r="S2956" s="12"/>
    </row>
    <row r="2957" spans="1:19" ht="14.25" customHeight="1" x14ac:dyDescent="0.2">
      <c r="A2957" s="1" t="s">
        <v>24</v>
      </c>
      <c r="B2957" s="7">
        <v>46106.104699074072</v>
      </c>
      <c r="C2957" s="7">
        <v>46106.132152777776</v>
      </c>
      <c r="D2957" s="8">
        <v>46106</v>
      </c>
      <c r="E2957" s="9">
        <v>0.13215277777635492</v>
      </c>
      <c r="F2957" s="10" t="s">
        <v>3252</v>
      </c>
      <c r="G2957" s="10" t="s">
        <v>21</v>
      </c>
      <c r="H2957" s="10" t="s">
        <v>41</v>
      </c>
      <c r="I2957" s="10" t="s">
        <v>23</v>
      </c>
      <c r="J2957" s="11">
        <v>1.77</v>
      </c>
      <c r="K2957" s="12"/>
      <c r="L2957" s="12"/>
      <c r="M2957" s="12"/>
      <c r="N2957" s="12"/>
      <c r="O2957" s="12"/>
      <c r="P2957" s="12"/>
      <c r="Q2957" s="12"/>
      <c r="R2957" s="12"/>
      <c r="S2957" s="12"/>
    </row>
    <row r="2958" spans="1:19" ht="14.25" customHeight="1" x14ac:dyDescent="0.2">
      <c r="A2958" s="1" t="s">
        <v>24</v>
      </c>
      <c r="B2958" s="7">
        <v>46106.109386574077</v>
      </c>
      <c r="C2958" s="7">
        <v>46106.135277777779</v>
      </c>
      <c r="D2958" s="8">
        <v>46106</v>
      </c>
      <c r="E2958" s="9">
        <v>0.13527777777926531</v>
      </c>
      <c r="F2958" s="10" t="s">
        <v>3253</v>
      </c>
      <c r="G2958" s="10" t="s">
        <v>26</v>
      </c>
      <c r="H2958" s="10" t="s">
        <v>1260</v>
      </c>
      <c r="I2958" s="10" t="s">
        <v>23</v>
      </c>
      <c r="J2958" s="11">
        <v>0.57999999999999996</v>
      </c>
      <c r="K2958" s="12"/>
      <c r="L2958" s="12"/>
      <c r="M2958" s="12"/>
      <c r="N2958" s="12"/>
      <c r="O2958" s="12"/>
      <c r="P2958" s="12"/>
      <c r="Q2958" s="12"/>
      <c r="R2958" s="12"/>
      <c r="S2958" s="12"/>
    </row>
    <row r="2959" spans="1:19" ht="14.25" customHeight="1" x14ac:dyDescent="0.2">
      <c r="A2959" s="1" t="s">
        <v>24</v>
      </c>
      <c r="B2959" s="7">
        <v>46106.081932870373</v>
      </c>
      <c r="C2959" s="7">
        <v>46106.140590277777</v>
      </c>
      <c r="D2959" s="8">
        <v>46106</v>
      </c>
      <c r="E2959" s="9">
        <v>0.140590277776937</v>
      </c>
      <c r="F2959" s="10" t="s">
        <v>3254</v>
      </c>
      <c r="G2959" s="10" t="s">
        <v>26</v>
      </c>
      <c r="H2959" s="10" t="s">
        <v>1019</v>
      </c>
      <c r="I2959" s="10" t="s">
        <v>23</v>
      </c>
      <c r="J2959" s="11">
        <v>0.67</v>
      </c>
      <c r="K2959" s="12"/>
      <c r="L2959" s="12"/>
      <c r="M2959" s="12"/>
      <c r="N2959" s="12"/>
      <c r="O2959" s="12"/>
      <c r="P2959" s="12"/>
      <c r="Q2959" s="12"/>
      <c r="R2959" s="12"/>
      <c r="S2959" s="12"/>
    </row>
    <row r="2960" spans="1:19" ht="14.25" customHeight="1" x14ac:dyDescent="0.2">
      <c r="A2960" s="1" t="s">
        <v>24</v>
      </c>
      <c r="B2960" s="7">
        <v>46105.945798611108</v>
      </c>
      <c r="C2960" s="7">
        <v>46106.141203703701</v>
      </c>
      <c r="D2960" s="8">
        <v>46106</v>
      </c>
      <c r="E2960" s="9">
        <v>0.14120370370073942</v>
      </c>
      <c r="F2960" s="10" t="s">
        <v>3255</v>
      </c>
      <c r="G2960" s="10" t="s">
        <v>26</v>
      </c>
      <c r="H2960" s="10" t="s">
        <v>92</v>
      </c>
      <c r="I2960" s="10" t="s">
        <v>23</v>
      </c>
      <c r="J2960" s="11">
        <v>0.63</v>
      </c>
      <c r="K2960" s="12"/>
      <c r="L2960" s="12"/>
      <c r="M2960" s="12"/>
      <c r="N2960" s="12"/>
      <c r="O2960" s="12"/>
      <c r="P2960" s="12"/>
      <c r="Q2960" s="12"/>
      <c r="R2960" s="12"/>
      <c r="S2960" s="12"/>
    </row>
    <row r="2961" spans="1:19" ht="14.25" customHeight="1" x14ac:dyDescent="0.2">
      <c r="A2961" s="1" t="s">
        <v>24</v>
      </c>
      <c r="B2961" s="7">
        <v>46106.133287037039</v>
      </c>
      <c r="C2961" s="7">
        <v>46106.145613425928</v>
      </c>
      <c r="D2961" s="8">
        <v>46106</v>
      </c>
      <c r="E2961" s="9">
        <v>0.14561342592787696</v>
      </c>
      <c r="F2961" s="10" t="s">
        <v>3256</v>
      </c>
      <c r="G2961" s="10" t="s">
        <v>21</v>
      </c>
      <c r="H2961" s="10" t="s">
        <v>41</v>
      </c>
      <c r="I2961" s="10" t="s">
        <v>23</v>
      </c>
      <c r="J2961" s="11">
        <v>1.77</v>
      </c>
      <c r="K2961" s="12"/>
      <c r="L2961" s="12"/>
      <c r="M2961" s="12"/>
      <c r="N2961" s="12"/>
      <c r="O2961" s="12"/>
      <c r="P2961" s="12"/>
      <c r="Q2961" s="12"/>
      <c r="R2961" s="12"/>
      <c r="S2961" s="12"/>
    </row>
    <row r="2962" spans="1:19" ht="14.25" customHeight="1" x14ac:dyDescent="0.2">
      <c r="A2962" s="1" t="s">
        <v>24</v>
      </c>
      <c r="B2962" s="7">
        <v>46106.116099537037</v>
      </c>
      <c r="C2962" s="7">
        <v>46106.146296296298</v>
      </c>
      <c r="D2962" s="8">
        <v>46106</v>
      </c>
      <c r="E2962" s="9">
        <v>0.14629629629780538</v>
      </c>
      <c r="F2962" s="10" t="s">
        <v>3257</v>
      </c>
      <c r="G2962" s="10" t="s">
        <v>21</v>
      </c>
      <c r="H2962" s="10" t="s">
        <v>41</v>
      </c>
      <c r="I2962" s="10" t="s">
        <v>23</v>
      </c>
      <c r="J2962" s="11">
        <v>1.77</v>
      </c>
      <c r="K2962" s="12"/>
      <c r="L2962" s="12"/>
      <c r="M2962" s="12"/>
      <c r="N2962" s="12"/>
      <c r="O2962" s="12"/>
      <c r="P2962" s="12"/>
      <c r="Q2962" s="12"/>
      <c r="R2962" s="12"/>
      <c r="S2962" s="12"/>
    </row>
    <row r="2963" spans="1:19" ht="14.25" customHeight="1" x14ac:dyDescent="0.2">
      <c r="A2963" s="1" t="s">
        <v>42</v>
      </c>
      <c r="B2963" s="7">
        <v>46106.121006944442</v>
      </c>
      <c r="C2963" s="7">
        <v>46106.157129629632</v>
      </c>
      <c r="D2963" s="8">
        <v>46106</v>
      </c>
      <c r="E2963" s="9">
        <v>0.15712962963152677</v>
      </c>
      <c r="F2963" s="10" t="s">
        <v>3258</v>
      </c>
      <c r="G2963" s="10" t="s">
        <v>26</v>
      </c>
      <c r="H2963" s="10" t="s">
        <v>76</v>
      </c>
      <c r="I2963" s="10" t="s">
        <v>23</v>
      </c>
      <c r="J2963" s="11">
        <v>0.75</v>
      </c>
      <c r="K2963" s="12"/>
      <c r="L2963" s="12"/>
      <c r="M2963" s="12"/>
      <c r="N2963" s="12"/>
      <c r="O2963" s="12"/>
      <c r="P2963" s="12"/>
      <c r="Q2963" s="12"/>
      <c r="R2963" s="12"/>
      <c r="S2963" s="12"/>
    </row>
    <row r="2964" spans="1:19" ht="14.25" customHeight="1" x14ac:dyDescent="0.2">
      <c r="A2964" s="1" t="s">
        <v>24</v>
      </c>
      <c r="B2964" s="7">
        <v>46106.146041666667</v>
      </c>
      <c r="C2964" s="7">
        <v>46106.165567129632</v>
      </c>
      <c r="D2964" s="8">
        <v>46106</v>
      </c>
      <c r="E2964" s="9">
        <v>0.16556712963210884</v>
      </c>
      <c r="F2964" s="10" t="s">
        <v>3259</v>
      </c>
      <c r="G2964" s="10" t="s">
        <v>26</v>
      </c>
      <c r="H2964" s="10" t="s">
        <v>1347</v>
      </c>
      <c r="I2964" s="10" t="s">
        <v>23</v>
      </c>
      <c r="J2964" s="11">
        <v>0.44</v>
      </c>
      <c r="K2964" s="12"/>
      <c r="L2964" s="12"/>
      <c r="M2964" s="12"/>
      <c r="N2964" s="12"/>
      <c r="O2964" s="12"/>
      <c r="P2964" s="12"/>
      <c r="Q2964" s="12"/>
      <c r="R2964" s="12"/>
      <c r="S2964" s="12"/>
    </row>
    <row r="2965" spans="1:19" ht="14.25" customHeight="1" x14ac:dyDescent="0.2">
      <c r="A2965" s="1" t="s">
        <v>28</v>
      </c>
      <c r="B2965" s="7">
        <v>46106.151296296295</v>
      </c>
      <c r="C2965" s="7">
        <v>46106.167997685188</v>
      </c>
      <c r="D2965" s="8">
        <v>46106</v>
      </c>
      <c r="E2965" s="9">
        <v>0.16799768518831115</v>
      </c>
      <c r="F2965" s="10" t="s">
        <v>3260</v>
      </c>
      <c r="G2965" s="10" t="s">
        <v>21</v>
      </c>
      <c r="H2965" s="10" t="s">
        <v>41</v>
      </c>
      <c r="I2965" s="10" t="s">
        <v>23</v>
      </c>
      <c r="J2965" s="11">
        <v>1.77</v>
      </c>
      <c r="K2965" s="12"/>
      <c r="L2965" s="12">
        <f>SUM(J2965:J2972)</f>
        <v>12.19</v>
      </c>
      <c r="M2965" s="13">
        <f>L2965*65</f>
        <v>792.35</v>
      </c>
      <c r="N2965" s="14">
        <f>MAX(500,M2965)</f>
        <v>792.35</v>
      </c>
      <c r="O2965" s="12"/>
      <c r="P2965" s="12"/>
      <c r="Q2965" s="12"/>
      <c r="R2965" s="12"/>
      <c r="S2965" s="12"/>
    </row>
    <row r="2966" spans="1:19" ht="14.25" customHeight="1" x14ac:dyDescent="0.2">
      <c r="A2966" s="1" t="s">
        <v>95</v>
      </c>
      <c r="B2966" s="7">
        <v>46106.151226851849</v>
      </c>
      <c r="C2966" s="7">
        <v>46106.168912037036</v>
      </c>
      <c r="D2966" s="8">
        <v>46106</v>
      </c>
      <c r="E2966" s="9">
        <v>0.16891203703562496</v>
      </c>
      <c r="F2966" s="10" t="s">
        <v>3261</v>
      </c>
      <c r="G2966" s="10" t="s">
        <v>21</v>
      </c>
      <c r="H2966" s="10" t="s">
        <v>551</v>
      </c>
      <c r="I2966" s="10" t="s">
        <v>23</v>
      </c>
      <c r="J2966" s="11">
        <v>1.06</v>
      </c>
      <c r="K2966" s="12"/>
      <c r="L2966" s="12"/>
      <c r="M2966" s="12"/>
      <c r="N2966" s="12"/>
      <c r="O2966" s="12"/>
      <c r="P2966" s="12"/>
      <c r="Q2966" s="12"/>
      <c r="R2966" s="12"/>
      <c r="S2966" s="12"/>
    </row>
    <row r="2967" spans="1:19" ht="14.25" customHeight="1" x14ac:dyDescent="0.2">
      <c r="A2967" s="1" t="s">
        <v>95</v>
      </c>
      <c r="B2967" s="7">
        <v>46106.145289351851</v>
      </c>
      <c r="C2967" s="7">
        <v>46106.169340277775</v>
      </c>
      <c r="D2967" s="8">
        <v>46106</v>
      </c>
      <c r="E2967" s="9">
        <v>0.16934027777460869</v>
      </c>
      <c r="F2967" s="10" t="s">
        <v>3262</v>
      </c>
      <c r="G2967" s="10" t="s">
        <v>21</v>
      </c>
      <c r="H2967" s="10" t="s">
        <v>108</v>
      </c>
      <c r="I2967" s="10" t="s">
        <v>23</v>
      </c>
      <c r="J2967" s="11">
        <v>1.7</v>
      </c>
      <c r="K2967" s="12"/>
      <c r="L2967" s="12"/>
      <c r="M2967" s="12"/>
      <c r="N2967" s="12"/>
      <c r="O2967" s="12"/>
      <c r="P2967" s="12"/>
      <c r="Q2967" s="12"/>
      <c r="R2967" s="12"/>
      <c r="S2967" s="12"/>
    </row>
    <row r="2968" spans="1:19" ht="14.25" customHeight="1" x14ac:dyDescent="0.2">
      <c r="A2968" s="1" t="s">
        <v>24</v>
      </c>
      <c r="B2968" s="7">
        <v>46106.149363425924</v>
      </c>
      <c r="C2968" s="7">
        <v>46106.175439814811</v>
      </c>
      <c r="D2968" s="8">
        <v>46106</v>
      </c>
      <c r="E2968" s="9">
        <v>0.17543981481139781</v>
      </c>
      <c r="F2968" s="10" t="s">
        <v>3263</v>
      </c>
      <c r="G2968" s="10" t="s">
        <v>21</v>
      </c>
      <c r="H2968" s="10" t="s">
        <v>39</v>
      </c>
      <c r="I2968" s="10" t="s">
        <v>23</v>
      </c>
      <c r="J2968" s="11">
        <v>1.77</v>
      </c>
      <c r="K2968" s="12"/>
      <c r="L2968" s="12"/>
      <c r="M2968" s="12"/>
      <c r="N2968" s="12"/>
      <c r="O2968" s="12"/>
      <c r="P2968" s="12"/>
      <c r="Q2968" s="12"/>
      <c r="R2968" s="12"/>
      <c r="S2968" s="12"/>
    </row>
    <row r="2969" spans="1:19" ht="14.25" customHeight="1" x14ac:dyDescent="0.2">
      <c r="A2969" s="1" t="s">
        <v>19</v>
      </c>
      <c r="B2969" s="7">
        <v>46106.15898148148</v>
      </c>
      <c r="C2969" s="7">
        <v>46106.18204861111</v>
      </c>
      <c r="D2969" s="8">
        <v>46106</v>
      </c>
      <c r="E2969" s="9">
        <v>0.18204861111007631</v>
      </c>
      <c r="F2969" s="10" t="s">
        <v>3264</v>
      </c>
      <c r="G2969" s="10" t="s">
        <v>21</v>
      </c>
      <c r="H2969" s="10" t="s">
        <v>41</v>
      </c>
      <c r="I2969" s="10" t="s">
        <v>23</v>
      </c>
      <c r="J2969" s="11">
        <v>1.77</v>
      </c>
      <c r="K2969" s="12"/>
      <c r="L2969" s="12"/>
      <c r="M2969" s="12"/>
      <c r="N2969" s="12"/>
      <c r="O2969" s="12"/>
      <c r="P2969" s="12"/>
      <c r="Q2969" s="12"/>
      <c r="R2969" s="12"/>
      <c r="S2969" s="12"/>
    </row>
    <row r="2970" spans="1:19" ht="14.25" customHeight="1" x14ac:dyDescent="0.2">
      <c r="A2970" s="1" t="s">
        <v>24</v>
      </c>
      <c r="B2970" s="7">
        <v>46106.170532407406</v>
      </c>
      <c r="C2970" s="7">
        <v>46106.185474537036</v>
      </c>
      <c r="D2970" s="8">
        <v>46106</v>
      </c>
      <c r="E2970" s="9">
        <v>0.18547453703649808</v>
      </c>
      <c r="F2970" s="10" t="s">
        <v>3265</v>
      </c>
      <c r="G2970" s="10" t="s">
        <v>26</v>
      </c>
      <c r="H2970" s="10" t="s">
        <v>205</v>
      </c>
      <c r="I2970" s="10" t="s">
        <v>23</v>
      </c>
      <c r="J2970" s="11">
        <v>0.57999999999999996</v>
      </c>
      <c r="K2970" s="12"/>
      <c r="L2970" s="12"/>
      <c r="M2970" s="12"/>
      <c r="N2970" s="12"/>
      <c r="O2970" s="12"/>
      <c r="P2970" s="12"/>
      <c r="Q2970" s="12"/>
      <c r="R2970" s="12"/>
      <c r="S2970" s="12"/>
    </row>
    <row r="2971" spans="1:19" ht="14.25" customHeight="1" x14ac:dyDescent="0.2">
      <c r="A2971" s="1" t="s">
        <v>19</v>
      </c>
      <c r="B2971" s="7">
        <v>46106.176921296297</v>
      </c>
      <c r="C2971" s="7">
        <v>46106.192106481481</v>
      </c>
      <c r="D2971" s="8">
        <v>46106</v>
      </c>
      <c r="E2971" s="9">
        <v>0.19210648148145992</v>
      </c>
      <c r="F2971" s="10" t="s">
        <v>3266</v>
      </c>
      <c r="G2971" s="10" t="s">
        <v>21</v>
      </c>
      <c r="H2971" s="10" t="s">
        <v>41</v>
      </c>
      <c r="I2971" s="10" t="s">
        <v>23</v>
      </c>
      <c r="J2971" s="11">
        <v>1.77</v>
      </c>
      <c r="K2971" s="12"/>
      <c r="L2971" s="12"/>
      <c r="M2971" s="12"/>
      <c r="N2971" s="12"/>
      <c r="O2971" s="12"/>
      <c r="P2971" s="12"/>
      <c r="Q2971" s="12"/>
      <c r="R2971" s="12"/>
      <c r="S2971" s="12"/>
    </row>
    <row r="2972" spans="1:19" ht="14.25" customHeight="1" x14ac:dyDescent="0.2">
      <c r="A2972" s="1" t="s">
        <v>19</v>
      </c>
      <c r="B2972" s="7">
        <v>46106.179097222222</v>
      </c>
      <c r="C2972" s="7">
        <v>46106.192812499998</v>
      </c>
      <c r="D2972" s="8">
        <v>46106</v>
      </c>
      <c r="E2972" s="9">
        <v>0.19281249999767169</v>
      </c>
      <c r="F2972" s="10" t="s">
        <v>3267</v>
      </c>
      <c r="G2972" s="10" t="s">
        <v>21</v>
      </c>
      <c r="H2972" s="10" t="s">
        <v>41</v>
      </c>
      <c r="I2972" s="10" t="s">
        <v>23</v>
      </c>
      <c r="J2972" s="11">
        <v>1.77</v>
      </c>
      <c r="K2972" s="12"/>
      <c r="L2972" s="12"/>
      <c r="M2972" s="12"/>
      <c r="N2972" s="12"/>
      <c r="O2972" s="12"/>
      <c r="P2972" s="12"/>
      <c r="Q2972" s="12"/>
      <c r="R2972" s="12"/>
      <c r="S2972" s="12"/>
    </row>
    <row r="2973" spans="1:19" ht="14.25" customHeight="1" x14ac:dyDescent="0.2">
      <c r="A2973" s="1" t="s">
        <v>95</v>
      </c>
      <c r="B2973" s="7">
        <v>46106.198101851849</v>
      </c>
      <c r="C2973" s="7">
        <v>46106.210555555554</v>
      </c>
      <c r="D2973" s="8">
        <v>46106</v>
      </c>
      <c r="E2973" s="9">
        <v>0.21055555555358296</v>
      </c>
      <c r="F2973" s="10" t="s">
        <v>3268</v>
      </c>
      <c r="G2973" s="10" t="s">
        <v>21</v>
      </c>
      <c r="H2973" s="10" t="s">
        <v>108</v>
      </c>
      <c r="I2973" s="10" t="s">
        <v>23</v>
      </c>
      <c r="J2973" s="11">
        <v>1.7</v>
      </c>
      <c r="K2973" s="12"/>
      <c r="L2973" s="12">
        <f>SUM(J2973:J2978)</f>
        <v>11.79</v>
      </c>
      <c r="M2973" s="13">
        <f>L2973*65</f>
        <v>766.34999999999991</v>
      </c>
      <c r="N2973" s="14">
        <f>MAX(500,M2973)</f>
        <v>766.34999999999991</v>
      </c>
      <c r="O2973" s="12"/>
      <c r="P2973" s="12"/>
      <c r="Q2973" s="12"/>
      <c r="R2973" s="12"/>
      <c r="S2973" s="12"/>
    </row>
    <row r="2974" spans="1:19" ht="14.25" customHeight="1" x14ac:dyDescent="0.2">
      <c r="A2974" s="1" t="s">
        <v>24</v>
      </c>
      <c r="B2974" s="7">
        <v>46106.202361111114</v>
      </c>
      <c r="C2974" s="7">
        <v>46106.222812499997</v>
      </c>
      <c r="D2974" s="8">
        <v>46106</v>
      </c>
      <c r="E2974" s="9">
        <v>0.22281249999650754</v>
      </c>
      <c r="F2974" s="10" t="s">
        <v>3269</v>
      </c>
      <c r="G2974" s="10" t="s">
        <v>21</v>
      </c>
      <c r="H2974" s="10" t="s">
        <v>467</v>
      </c>
      <c r="I2974" s="10" t="s">
        <v>23</v>
      </c>
      <c r="J2974" s="11">
        <v>2.75</v>
      </c>
      <c r="K2974" s="12"/>
      <c r="L2974" s="12"/>
      <c r="M2974" s="12"/>
      <c r="N2974" s="12"/>
      <c r="O2974" s="12"/>
      <c r="P2974" s="12"/>
      <c r="Q2974" s="12"/>
      <c r="R2974" s="12"/>
      <c r="S2974" s="12"/>
    </row>
    <row r="2975" spans="1:19" ht="14.25" customHeight="1" x14ac:dyDescent="0.2">
      <c r="A2975" s="1" t="s">
        <v>24</v>
      </c>
      <c r="B2975" s="7">
        <v>46106.190324074072</v>
      </c>
      <c r="C2975" s="7">
        <v>46106.227337962962</v>
      </c>
      <c r="D2975" s="8">
        <v>46106</v>
      </c>
      <c r="E2975" s="9">
        <v>0.22733796296233777</v>
      </c>
      <c r="F2975" s="10" t="s">
        <v>3270</v>
      </c>
      <c r="G2975" s="10" t="s">
        <v>26</v>
      </c>
      <c r="H2975" s="10" t="s">
        <v>1019</v>
      </c>
      <c r="I2975" s="10" t="s">
        <v>23</v>
      </c>
      <c r="J2975" s="11">
        <v>0.67</v>
      </c>
      <c r="K2975" s="12"/>
      <c r="L2975" s="12"/>
      <c r="M2975" s="12"/>
      <c r="N2975" s="12"/>
      <c r="O2975" s="12"/>
      <c r="P2975" s="12"/>
      <c r="Q2975" s="12"/>
      <c r="R2975" s="12"/>
      <c r="S2975" s="12"/>
    </row>
    <row r="2976" spans="1:19" ht="14.25" customHeight="1" x14ac:dyDescent="0.2">
      <c r="A2976" s="1" t="s">
        <v>24</v>
      </c>
      <c r="B2976" s="7">
        <v>46106.205474537041</v>
      </c>
      <c r="C2976" s="7">
        <v>46106.228587962964</v>
      </c>
      <c r="D2976" s="8">
        <v>46106</v>
      </c>
      <c r="E2976" s="9">
        <v>0.22858796296350192</v>
      </c>
      <c r="F2976" s="10" t="s">
        <v>3271</v>
      </c>
      <c r="G2976" s="10" t="s">
        <v>21</v>
      </c>
      <c r="H2976" s="10" t="s">
        <v>1767</v>
      </c>
      <c r="I2976" s="10" t="s">
        <v>23</v>
      </c>
      <c r="J2976" s="11">
        <v>0.98</v>
      </c>
      <c r="K2976" s="12"/>
      <c r="L2976" s="12"/>
      <c r="M2976" s="12"/>
      <c r="N2976" s="12"/>
      <c r="O2976" s="12"/>
      <c r="P2976" s="12"/>
      <c r="Q2976" s="12"/>
      <c r="R2976" s="12"/>
      <c r="S2976" s="12"/>
    </row>
    <row r="2977" spans="1:19" ht="14.25" customHeight="1" x14ac:dyDescent="0.2">
      <c r="A2977" s="1" t="s">
        <v>19</v>
      </c>
      <c r="B2977" s="7">
        <v>46105.986111111109</v>
      </c>
      <c r="C2977" s="7">
        <v>46106.236435185187</v>
      </c>
      <c r="D2977" s="8">
        <v>46106</v>
      </c>
      <c r="E2977" s="9">
        <v>0.23643518518656492</v>
      </c>
      <c r="F2977" s="10" t="s">
        <v>3272</v>
      </c>
      <c r="G2977" s="10" t="s">
        <v>21</v>
      </c>
      <c r="H2977" s="10" t="s">
        <v>399</v>
      </c>
      <c r="I2977" s="10" t="s">
        <v>23</v>
      </c>
      <c r="J2977" s="11">
        <v>3.92</v>
      </c>
      <c r="K2977" s="12"/>
      <c r="L2977" s="12"/>
      <c r="M2977" s="12"/>
      <c r="N2977" s="12"/>
      <c r="O2977" s="12"/>
      <c r="P2977" s="12"/>
      <c r="Q2977" s="12"/>
      <c r="R2977" s="12"/>
      <c r="S2977" s="12"/>
    </row>
    <row r="2978" spans="1:19" ht="14.25" customHeight="1" x14ac:dyDescent="0.2">
      <c r="A2978" s="1" t="s">
        <v>19</v>
      </c>
      <c r="B2978" s="7">
        <v>46106.225775462961</v>
      </c>
      <c r="C2978" s="7">
        <v>46106.245983796296</v>
      </c>
      <c r="D2978" s="8">
        <v>46106</v>
      </c>
      <c r="E2978" s="9">
        <v>0.24598379629605915</v>
      </c>
      <c r="F2978" s="10" t="s">
        <v>3273</v>
      </c>
      <c r="G2978" s="10" t="s">
        <v>21</v>
      </c>
      <c r="H2978" s="10" t="s">
        <v>41</v>
      </c>
      <c r="I2978" s="10" t="s">
        <v>23</v>
      </c>
      <c r="J2978" s="11">
        <v>1.77</v>
      </c>
      <c r="K2978" s="12"/>
      <c r="L2978" s="12"/>
      <c r="M2978" s="12"/>
      <c r="N2978" s="12"/>
      <c r="O2978" s="12"/>
      <c r="P2978" s="12"/>
      <c r="Q2978" s="12"/>
      <c r="R2978" s="12"/>
      <c r="S2978" s="12"/>
    </row>
    <row r="2979" spans="1:19" ht="14.25" customHeight="1" x14ac:dyDescent="0.2">
      <c r="A2979" s="1" t="s">
        <v>28</v>
      </c>
      <c r="B2979" s="7">
        <v>46106.867118055554</v>
      </c>
      <c r="C2979" s="7">
        <v>46106.882326388892</v>
      </c>
      <c r="D2979" s="8">
        <v>46106</v>
      </c>
      <c r="E2979" s="9">
        <v>0.88232638889166992</v>
      </c>
      <c r="F2979" s="10" t="s">
        <v>3274</v>
      </c>
      <c r="G2979" s="10" t="s">
        <v>21</v>
      </c>
      <c r="H2979" s="10" t="s">
        <v>22</v>
      </c>
      <c r="I2979" s="10" t="s">
        <v>23</v>
      </c>
      <c r="J2979" s="11">
        <v>0.83</v>
      </c>
      <c r="K2979" s="12">
        <f>SUM(J2979:J2991,J2994:J3002,J3004:J3025,J3030:J3031,J3036,J3037,J3041:J3043,J3045,J3048:J3053,J3055:J3088)</f>
        <v>114.92999999999995</v>
      </c>
      <c r="L2979" s="12">
        <f>SUM(J2979:J3005)</f>
        <v>30.839999999999996</v>
      </c>
      <c r="M2979" s="13">
        <f>L2979*65</f>
        <v>2004.5999999999997</v>
      </c>
      <c r="N2979" s="14">
        <f>MAX(500,M2979)</f>
        <v>2004.5999999999997</v>
      </c>
      <c r="O2979" s="12"/>
      <c r="P2979" s="12"/>
      <c r="Q2979" s="12"/>
      <c r="R2979" s="12"/>
      <c r="S2979" s="12"/>
    </row>
    <row r="2980" spans="1:19" ht="14.25" customHeight="1" x14ac:dyDescent="0.2">
      <c r="A2980" s="1" t="s">
        <v>42</v>
      </c>
      <c r="B2980" s="7">
        <v>46106.871423611112</v>
      </c>
      <c r="C2980" s="7">
        <v>46106.882488425923</v>
      </c>
      <c r="D2980" s="8">
        <v>46106</v>
      </c>
      <c r="E2980" s="9">
        <v>0.88248842592292931</v>
      </c>
      <c r="F2980" s="10" t="s">
        <v>3275</v>
      </c>
      <c r="G2980" s="10" t="s">
        <v>44</v>
      </c>
      <c r="H2980" s="10" t="s">
        <v>48</v>
      </c>
      <c r="I2980" s="10" t="s">
        <v>23</v>
      </c>
      <c r="J2980" s="11">
        <v>0.21</v>
      </c>
      <c r="K2980" s="12"/>
      <c r="L2980" s="12"/>
      <c r="M2980" s="12"/>
      <c r="N2980" s="12"/>
      <c r="O2980" s="12"/>
      <c r="P2980" s="12"/>
      <c r="Q2980" s="12"/>
      <c r="R2980" s="12"/>
      <c r="S2980" s="12"/>
    </row>
    <row r="2981" spans="1:19" ht="14.25" customHeight="1" x14ac:dyDescent="0.2">
      <c r="A2981" s="1" t="s">
        <v>24</v>
      </c>
      <c r="B2981" s="7">
        <v>46106.860706018517</v>
      </c>
      <c r="C2981" s="7">
        <v>46106.884606481479</v>
      </c>
      <c r="D2981" s="8">
        <v>46106</v>
      </c>
      <c r="E2981" s="9">
        <v>0.88460648147884058</v>
      </c>
      <c r="F2981" s="10" t="s">
        <v>3276</v>
      </c>
      <c r="G2981" s="10" t="s">
        <v>21</v>
      </c>
      <c r="H2981" s="10" t="s">
        <v>248</v>
      </c>
      <c r="I2981" s="10" t="s">
        <v>23</v>
      </c>
      <c r="J2981" s="11">
        <v>2.15</v>
      </c>
      <c r="K2981" s="12"/>
      <c r="L2981" s="12"/>
      <c r="M2981" s="12"/>
      <c r="N2981" s="12"/>
      <c r="O2981" s="12"/>
      <c r="P2981" s="12"/>
      <c r="Q2981" s="12"/>
      <c r="R2981" s="12"/>
      <c r="S2981" s="12"/>
    </row>
    <row r="2982" spans="1:19" ht="14.25" customHeight="1" x14ac:dyDescent="0.2">
      <c r="A2982" s="1" t="s">
        <v>28</v>
      </c>
      <c r="B2982" s="7">
        <v>46106.871712962966</v>
      </c>
      <c r="C2982" s="7">
        <v>46106.884768518517</v>
      </c>
      <c r="D2982" s="8">
        <v>46106</v>
      </c>
      <c r="E2982" s="9">
        <v>0.88476851851737592</v>
      </c>
      <c r="F2982" s="10" t="s">
        <v>3277</v>
      </c>
      <c r="G2982" s="10" t="s">
        <v>21</v>
      </c>
      <c r="H2982" s="10" t="s">
        <v>22</v>
      </c>
      <c r="I2982" s="10" t="s">
        <v>23</v>
      </c>
      <c r="J2982" s="11">
        <v>0.83</v>
      </c>
      <c r="K2982" s="12"/>
      <c r="L2982" s="12"/>
      <c r="M2982" s="12"/>
      <c r="N2982" s="12"/>
      <c r="O2982" s="12"/>
      <c r="P2982" s="12"/>
      <c r="Q2982" s="12"/>
      <c r="R2982" s="12"/>
      <c r="S2982" s="12"/>
    </row>
    <row r="2983" spans="1:19" ht="14.25" customHeight="1" x14ac:dyDescent="0.2">
      <c r="A2983" s="1" t="s">
        <v>33</v>
      </c>
      <c r="B2983" s="7">
        <v>46106.854814814818</v>
      </c>
      <c r="C2983" s="7">
        <v>46106.888541666667</v>
      </c>
      <c r="D2983" s="8">
        <v>46106</v>
      </c>
      <c r="E2983" s="9">
        <v>0.88854166666715173</v>
      </c>
      <c r="F2983" s="10" t="s">
        <v>3278</v>
      </c>
      <c r="G2983" s="10" t="s">
        <v>26</v>
      </c>
      <c r="H2983" s="10" t="s">
        <v>315</v>
      </c>
      <c r="I2983" s="10" t="s">
        <v>23</v>
      </c>
      <c r="J2983" s="11">
        <v>0.88</v>
      </c>
      <c r="K2983" s="12"/>
      <c r="L2983" s="12"/>
      <c r="M2983" s="12"/>
      <c r="N2983" s="12"/>
      <c r="O2983" s="12"/>
      <c r="P2983" s="12"/>
      <c r="Q2983" s="12"/>
      <c r="R2983" s="12"/>
      <c r="S2983" s="12"/>
    </row>
    <row r="2984" spans="1:19" ht="14.25" customHeight="1" x14ac:dyDescent="0.2">
      <c r="A2984" s="1" t="s">
        <v>28</v>
      </c>
      <c r="B2984" s="7">
        <v>46106.878240740742</v>
      </c>
      <c r="C2984" s="7">
        <v>46106.888784722221</v>
      </c>
      <c r="D2984" s="8">
        <v>46106</v>
      </c>
      <c r="E2984" s="9">
        <v>0.88878472222131677</v>
      </c>
      <c r="F2984" s="10" t="s">
        <v>3279</v>
      </c>
      <c r="G2984" s="10" t="s">
        <v>21</v>
      </c>
      <c r="H2984" s="10" t="s">
        <v>22</v>
      </c>
      <c r="I2984" s="10" t="s">
        <v>23</v>
      </c>
      <c r="J2984" s="11">
        <v>0.83</v>
      </c>
      <c r="K2984" s="12"/>
      <c r="L2984" s="12"/>
      <c r="M2984" s="12"/>
      <c r="N2984" s="12"/>
      <c r="O2984" s="12"/>
      <c r="P2984" s="12"/>
      <c r="Q2984" s="12"/>
      <c r="R2984" s="12"/>
      <c r="S2984" s="12"/>
    </row>
    <row r="2985" spans="1:19" ht="14.25" customHeight="1" x14ac:dyDescent="0.2">
      <c r="A2985" s="1" t="s">
        <v>24</v>
      </c>
      <c r="B2985" s="7">
        <v>46106.868391203701</v>
      </c>
      <c r="C2985" s="7">
        <v>46106.889120370368</v>
      </c>
      <c r="D2985" s="8">
        <v>46106</v>
      </c>
      <c r="E2985" s="9">
        <v>0.88912037036789116</v>
      </c>
      <c r="F2985" s="10" t="s">
        <v>3280</v>
      </c>
      <c r="G2985" s="10" t="s">
        <v>21</v>
      </c>
      <c r="H2985" s="10" t="s">
        <v>22</v>
      </c>
      <c r="I2985" s="10" t="s">
        <v>23</v>
      </c>
      <c r="J2985" s="11">
        <v>0.83</v>
      </c>
      <c r="K2985" s="12"/>
      <c r="L2985" s="12"/>
      <c r="M2985" s="12"/>
      <c r="N2985" s="12"/>
      <c r="O2985" s="12"/>
      <c r="P2985" s="12"/>
      <c r="Q2985" s="12"/>
      <c r="R2985" s="12"/>
      <c r="S2985" s="12"/>
    </row>
    <row r="2986" spans="1:19" ht="14.25" customHeight="1" x14ac:dyDescent="0.2">
      <c r="A2986" s="1" t="s">
        <v>24</v>
      </c>
      <c r="B2986" s="7">
        <v>46106.87804398148</v>
      </c>
      <c r="C2986" s="7">
        <v>46106.890173611115</v>
      </c>
      <c r="D2986" s="8">
        <v>46106</v>
      </c>
      <c r="E2986" s="9">
        <v>0.89017361111473292</v>
      </c>
      <c r="F2986" s="10" t="s">
        <v>3281</v>
      </c>
      <c r="G2986" s="10" t="s">
        <v>21</v>
      </c>
      <c r="H2986" s="10" t="s">
        <v>22</v>
      </c>
      <c r="I2986" s="10" t="s">
        <v>23</v>
      </c>
      <c r="J2986" s="11">
        <v>0.83</v>
      </c>
      <c r="K2986" s="12"/>
      <c r="L2986" s="12"/>
      <c r="M2986" s="12"/>
      <c r="N2986" s="12"/>
      <c r="O2986" s="12"/>
      <c r="P2986" s="12"/>
      <c r="Q2986" s="12"/>
      <c r="R2986" s="12"/>
      <c r="S2986" s="12"/>
    </row>
    <row r="2987" spans="1:19" ht="14.25" customHeight="1" x14ac:dyDescent="0.2">
      <c r="A2987" s="1" t="s">
        <v>24</v>
      </c>
      <c r="B2987" s="7">
        <v>46106.869814814818</v>
      </c>
      <c r="C2987" s="7">
        <v>46106.891215277778</v>
      </c>
      <c r="D2987" s="8">
        <v>46106</v>
      </c>
      <c r="E2987" s="9">
        <v>0.89121527777751908</v>
      </c>
      <c r="F2987" s="10" t="s">
        <v>3282</v>
      </c>
      <c r="G2987" s="10" t="s">
        <v>21</v>
      </c>
      <c r="H2987" s="10" t="s">
        <v>248</v>
      </c>
      <c r="I2987" s="10" t="s">
        <v>23</v>
      </c>
      <c r="J2987" s="11">
        <v>2.15</v>
      </c>
      <c r="K2987" s="12"/>
      <c r="L2987" s="12"/>
      <c r="M2987" s="12"/>
      <c r="N2987" s="12"/>
      <c r="O2987" s="12"/>
      <c r="P2987" s="12"/>
      <c r="Q2987" s="12"/>
      <c r="R2987" s="12"/>
      <c r="S2987" s="12"/>
    </row>
    <row r="2988" spans="1:19" ht="14.25" customHeight="1" x14ac:dyDescent="0.2">
      <c r="A2988" s="1" t="s">
        <v>24</v>
      </c>
      <c r="B2988" s="7">
        <v>46106.880590277775</v>
      </c>
      <c r="C2988" s="7">
        <v>46106.891597222224</v>
      </c>
      <c r="D2988" s="8">
        <v>46106</v>
      </c>
      <c r="E2988" s="9">
        <v>0.89159722222393611</v>
      </c>
      <c r="F2988" s="10" t="s">
        <v>3283</v>
      </c>
      <c r="G2988" s="10" t="s">
        <v>21</v>
      </c>
      <c r="H2988" s="10" t="s">
        <v>22</v>
      </c>
      <c r="I2988" s="10" t="s">
        <v>23</v>
      </c>
      <c r="J2988" s="11">
        <v>0.83</v>
      </c>
      <c r="K2988" s="12"/>
      <c r="L2988" s="12"/>
      <c r="M2988" s="12"/>
      <c r="N2988" s="12"/>
      <c r="O2988" s="12"/>
      <c r="P2988" s="12"/>
      <c r="Q2988" s="12"/>
      <c r="R2988" s="12"/>
      <c r="S2988" s="12"/>
    </row>
    <row r="2989" spans="1:19" ht="14.25" customHeight="1" x14ac:dyDescent="0.2">
      <c r="A2989" s="1" t="s">
        <v>42</v>
      </c>
      <c r="B2989" s="7">
        <v>46106.861678240741</v>
      </c>
      <c r="C2989" s="7">
        <v>46106.893634259257</v>
      </c>
      <c r="D2989" s="8">
        <v>46106</v>
      </c>
      <c r="E2989" s="9">
        <v>0.89363425925694173</v>
      </c>
      <c r="F2989" s="10" t="s">
        <v>3284</v>
      </c>
      <c r="G2989" s="10" t="s">
        <v>26</v>
      </c>
      <c r="H2989" s="10" t="s">
        <v>56</v>
      </c>
      <c r="I2989" s="10" t="s">
        <v>23</v>
      </c>
      <c r="J2989" s="11">
        <v>0.73</v>
      </c>
      <c r="K2989" s="12"/>
      <c r="L2989" s="12"/>
      <c r="M2989" s="12"/>
      <c r="N2989" s="12"/>
      <c r="O2989" s="12"/>
      <c r="P2989" s="12"/>
      <c r="Q2989" s="12"/>
      <c r="R2989" s="12"/>
      <c r="S2989" s="12"/>
    </row>
    <row r="2990" spans="1:19" ht="14.25" customHeight="1" x14ac:dyDescent="0.2">
      <c r="A2990" s="1" t="s">
        <v>24</v>
      </c>
      <c r="B2990" s="7">
        <v>46106.883460648147</v>
      </c>
      <c r="C2990" s="7">
        <v>46106.893888888888</v>
      </c>
      <c r="D2990" s="8">
        <v>46106</v>
      </c>
      <c r="E2990" s="9">
        <v>0.89388888888788642</v>
      </c>
      <c r="F2990" s="10" t="s">
        <v>3285</v>
      </c>
      <c r="G2990" s="10" t="s">
        <v>21</v>
      </c>
      <c r="H2990" s="10" t="s">
        <v>22</v>
      </c>
      <c r="I2990" s="10" t="s">
        <v>23</v>
      </c>
      <c r="J2990" s="11">
        <v>0.83</v>
      </c>
      <c r="K2990" s="12"/>
      <c r="L2990" s="12"/>
      <c r="M2990" s="12"/>
      <c r="N2990" s="12"/>
      <c r="O2990" s="12"/>
      <c r="P2990" s="12"/>
      <c r="Q2990" s="12"/>
      <c r="R2990" s="12"/>
      <c r="S2990" s="12"/>
    </row>
    <row r="2991" spans="1:19" ht="14.25" customHeight="1" x14ac:dyDescent="0.2">
      <c r="A2991" s="1" t="s">
        <v>24</v>
      </c>
      <c r="B2991" s="7">
        <v>46106.884710648148</v>
      </c>
      <c r="C2991" s="7">
        <v>46106.894571759258</v>
      </c>
      <c r="D2991" s="8">
        <v>46106</v>
      </c>
      <c r="E2991" s="9">
        <v>0.89457175925781485</v>
      </c>
      <c r="F2991" s="10" t="s">
        <v>3286</v>
      </c>
      <c r="G2991" s="10" t="s">
        <v>21</v>
      </c>
      <c r="H2991" s="10" t="s">
        <v>71</v>
      </c>
      <c r="I2991" s="10" t="s">
        <v>23</v>
      </c>
      <c r="J2991" s="11">
        <v>1.05</v>
      </c>
      <c r="K2991" s="12"/>
      <c r="L2991" s="12"/>
      <c r="M2991" s="12"/>
      <c r="N2991" s="12"/>
      <c r="O2991" s="12"/>
      <c r="P2991" s="12"/>
      <c r="Q2991" s="12"/>
      <c r="R2991" s="12"/>
      <c r="S2991" s="12"/>
    </row>
    <row r="2992" spans="1:19" ht="14.25" customHeight="1" x14ac:dyDescent="0.2">
      <c r="A2992" s="22" t="s">
        <v>57</v>
      </c>
      <c r="B2992" s="23">
        <v>46106.851724537039</v>
      </c>
      <c r="C2992" s="23">
        <v>46106.896099537036</v>
      </c>
      <c r="D2992" s="24">
        <v>46106</v>
      </c>
      <c r="E2992" s="25">
        <v>0.89609953703620704</v>
      </c>
      <c r="F2992" s="22" t="s">
        <v>3287</v>
      </c>
      <c r="G2992" s="22" t="s">
        <v>21</v>
      </c>
      <c r="H2992" s="22" t="s">
        <v>1446</v>
      </c>
      <c r="I2992" s="22" t="s">
        <v>583</v>
      </c>
      <c r="J2992" s="26">
        <v>1.71</v>
      </c>
      <c r="K2992" s="26"/>
      <c r="L2992" s="26"/>
      <c r="M2992" s="26"/>
      <c r="N2992" s="26"/>
      <c r="O2992" s="26"/>
      <c r="P2992" s="26"/>
      <c r="Q2992" s="26"/>
      <c r="R2992" s="26"/>
      <c r="S2992" s="26"/>
    </row>
    <row r="2993" spans="1:19" ht="14.25" customHeight="1" x14ac:dyDescent="0.2">
      <c r="A2993" s="22" t="s">
        <v>57</v>
      </c>
      <c r="B2993" s="23">
        <v>46106.854212962964</v>
      </c>
      <c r="C2993" s="23">
        <v>46106.896099537036</v>
      </c>
      <c r="D2993" s="24">
        <v>46106</v>
      </c>
      <c r="E2993" s="25">
        <v>0.89609953703620704</v>
      </c>
      <c r="F2993" s="22" t="s">
        <v>3288</v>
      </c>
      <c r="G2993" s="22" t="s">
        <v>21</v>
      </c>
      <c r="H2993" s="22" t="s">
        <v>1444</v>
      </c>
      <c r="I2993" s="22" t="s">
        <v>583</v>
      </c>
      <c r="J2993" s="26">
        <v>1.71</v>
      </c>
      <c r="K2993" s="26"/>
      <c r="L2993" s="26"/>
      <c r="M2993" s="26"/>
      <c r="N2993" s="26"/>
      <c r="O2993" s="26"/>
      <c r="P2993" s="26"/>
      <c r="Q2993" s="26"/>
      <c r="R2993" s="26"/>
      <c r="S2993" s="26"/>
    </row>
    <row r="2994" spans="1:19" ht="14.25" customHeight="1" x14ac:dyDescent="0.2">
      <c r="A2994" s="1" t="s">
        <v>42</v>
      </c>
      <c r="B2994" s="7">
        <v>46106.866689814815</v>
      </c>
      <c r="C2994" s="7">
        <v>46106.899641203701</v>
      </c>
      <c r="D2994" s="8">
        <v>46106</v>
      </c>
      <c r="E2994" s="9">
        <v>0.8996412037013215</v>
      </c>
      <c r="F2994" s="10" t="s">
        <v>3289</v>
      </c>
      <c r="G2994" s="10" t="s">
        <v>26</v>
      </c>
      <c r="H2994" s="10" t="s">
        <v>56</v>
      </c>
      <c r="I2994" s="10" t="s">
        <v>23</v>
      </c>
      <c r="J2994" s="11">
        <v>0.73</v>
      </c>
      <c r="K2994" s="12"/>
      <c r="L2994" s="12"/>
      <c r="M2994" s="12"/>
      <c r="N2994" s="12"/>
      <c r="O2994" s="12"/>
      <c r="P2994" s="12"/>
      <c r="Q2994" s="12"/>
      <c r="R2994" s="12"/>
      <c r="S2994" s="12"/>
    </row>
    <row r="2995" spans="1:19" ht="14.25" customHeight="1" x14ac:dyDescent="0.2">
      <c r="A2995" s="1" t="s">
        <v>28</v>
      </c>
      <c r="B2995" s="7">
        <v>46106.882916666669</v>
      </c>
      <c r="C2995" s="7">
        <v>46106.904074074075</v>
      </c>
      <c r="D2995" s="8">
        <v>46106</v>
      </c>
      <c r="E2995" s="9">
        <v>0.90407407407474238</v>
      </c>
      <c r="F2995" s="10" t="s">
        <v>3290</v>
      </c>
      <c r="G2995" s="10" t="s">
        <v>21</v>
      </c>
      <c r="H2995" s="10" t="s">
        <v>41</v>
      </c>
      <c r="I2995" s="10" t="s">
        <v>23</v>
      </c>
      <c r="J2995" s="11">
        <v>1.77</v>
      </c>
      <c r="K2995" s="12"/>
      <c r="L2995" s="12"/>
      <c r="M2995" s="12"/>
      <c r="N2995" s="12"/>
      <c r="O2995" s="12"/>
      <c r="P2995" s="12"/>
      <c r="Q2995" s="12"/>
      <c r="R2995" s="12"/>
      <c r="S2995" s="12"/>
    </row>
    <row r="2996" spans="1:19" ht="14.25" customHeight="1" x14ac:dyDescent="0.2">
      <c r="A2996" s="1" t="s">
        <v>28</v>
      </c>
      <c r="B2996" s="7">
        <v>46106.888923611114</v>
      </c>
      <c r="C2996" s="7">
        <v>46106.904432870368</v>
      </c>
      <c r="D2996" s="8">
        <v>46106</v>
      </c>
      <c r="E2996" s="9">
        <v>0.90443287036760012</v>
      </c>
      <c r="F2996" s="10" t="s">
        <v>3291</v>
      </c>
      <c r="G2996" s="10" t="s">
        <v>21</v>
      </c>
      <c r="H2996" s="10" t="s">
        <v>101</v>
      </c>
      <c r="I2996" s="10" t="s">
        <v>23</v>
      </c>
      <c r="J2996" s="11">
        <v>1.7</v>
      </c>
      <c r="K2996" s="12"/>
      <c r="L2996" s="12"/>
      <c r="M2996" s="12"/>
      <c r="N2996" s="12"/>
      <c r="O2996" s="12"/>
      <c r="P2996" s="12"/>
      <c r="Q2996" s="12"/>
      <c r="R2996" s="12"/>
      <c r="S2996" s="12"/>
    </row>
    <row r="2997" spans="1:19" ht="14.25" customHeight="1" x14ac:dyDescent="0.2">
      <c r="A2997" s="1" t="s">
        <v>24</v>
      </c>
      <c r="B2997" s="7">
        <v>46106.893240740741</v>
      </c>
      <c r="C2997" s="7">
        <v>46106.910266203704</v>
      </c>
      <c r="D2997" s="8">
        <v>46106</v>
      </c>
      <c r="E2997" s="9">
        <v>0.91026620370394085</v>
      </c>
      <c r="F2997" s="10" t="s">
        <v>3292</v>
      </c>
      <c r="G2997" s="10" t="s">
        <v>21</v>
      </c>
      <c r="H2997" s="10" t="s">
        <v>41</v>
      </c>
      <c r="I2997" s="10" t="s">
        <v>23</v>
      </c>
      <c r="J2997" s="11">
        <v>1.77</v>
      </c>
      <c r="K2997" s="12"/>
      <c r="L2997" s="12"/>
      <c r="M2997" s="12"/>
      <c r="N2997" s="12"/>
      <c r="O2997" s="12"/>
      <c r="P2997" s="12"/>
      <c r="Q2997" s="12"/>
      <c r="R2997" s="12"/>
      <c r="S2997" s="12"/>
    </row>
    <row r="2998" spans="1:19" ht="14.25" customHeight="1" x14ac:dyDescent="0.2">
      <c r="A2998" s="1" t="s">
        <v>19</v>
      </c>
      <c r="B2998" s="7">
        <v>46106.901180555556</v>
      </c>
      <c r="C2998" s="7">
        <v>46106.910636574074</v>
      </c>
      <c r="D2998" s="8">
        <v>46106</v>
      </c>
      <c r="E2998" s="9">
        <v>0.91063657407357823</v>
      </c>
      <c r="F2998" s="10" t="s">
        <v>3293</v>
      </c>
      <c r="G2998" s="10" t="s">
        <v>21</v>
      </c>
      <c r="H2998" s="10" t="s">
        <v>22</v>
      </c>
      <c r="I2998" s="10" t="s">
        <v>23</v>
      </c>
      <c r="J2998" s="11">
        <v>0.83</v>
      </c>
      <c r="K2998" s="12"/>
      <c r="L2998" s="12"/>
      <c r="M2998" s="12"/>
      <c r="N2998" s="12"/>
      <c r="O2998" s="12"/>
      <c r="P2998" s="12"/>
      <c r="Q2998" s="12"/>
      <c r="R2998" s="12"/>
      <c r="S2998" s="12"/>
    </row>
    <row r="2999" spans="1:19" ht="14.25" customHeight="1" x14ac:dyDescent="0.2">
      <c r="A2999" s="1" t="s">
        <v>19</v>
      </c>
      <c r="B2999" s="7">
        <v>46106.890868055554</v>
      </c>
      <c r="C2999" s="7">
        <v>46106.910868055558</v>
      </c>
      <c r="D2999" s="8">
        <v>46106</v>
      </c>
      <c r="E2999" s="9">
        <v>0.91086805555823958</v>
      </c>
      <c r="F2999" s="10" t="s">
        <v>3294</v>
      </c>
      <c r="G2999" s="10" t="s">
        <v>21</v>
      </c>
      <c r="H2999" s="10" t="s">
        <v>22</v>
      </c>
      <c r="I2999" s="10" t="s">
        <v>23</v>
      </c>
      <c r="J2999" s="11">
        <v>0.83</v>
      </c>
      <c r="K2999" s="12"/>
      <c r="L2999" s="12"/>
      <c r="M2999" s="12"/>
      <c r="N2999" s="12"/>
      <c r="O2999" s="12"/>
      <c r="P2999" s="12"/>
      <c r="Q2999" s="12"/>
      <c r="R2999" s="12"/>
      <c r="S2999" s="12"/>
    </row>
    <row r="3000" spans="1:19" ht="14.25" customHeight="1" x14ac:dyDescent="0.2">
      <c r="A3000" s="1" t="s">
        <v>19</v>
      </c>
      <c r="B3000" s="7">
        <v>46106.888252314813</v>
      </c>
      <c r="C3000" s="7">
        <v>46106.911365740743</v>
      </c>
      <c r="D3000" s="8">
        <v>46106</v>
      </c>
      <c r="E3000" s="9">
        <v>0.91136574074334931</v>
      </c>
      <c r="F3000" s="10" t="s">
        <v>3295</v>
      </c>
      <c r="G3000" s="10" t="s">
        <v>21</v>
      </c>
      <c r="H3000" s="10" t="s">
        <v>22</v>
      </c>
      <c r="I3000" s="10" t="s">
        <v>23</v>
      </c>
      <c r="J3000" s="11">
        <v>0.83</v>
      </c>
      <c r="K3000" s="12"/>
      <c r="L3000" s="12"/>
      <c r="M3000" s="12"/>
      <c r="N3000" s="12"/>
      <c r="O3000" s="12"/>
      <c r="P3000" s="12"/>
      <c r="Q3000" s="12"/>
      <c r="R3000" s="12"/>
      <c r="S3000" s="12"/>
    </row>
    <row r="3001" spans="1:19" ht="14.25" customHeight="1" x14ac:dyDescent="0.2">
      <c r="A3001" s="1" t="s">
        <v>57</v>
      </c>
      <c r="B3001" s="7">
        <v>46106.902777777781</v>
      </c>
      <c r="C3001" s="7">
        <v>46106.911909722221</v>
      </c>
      <c r="D3001" s="8">
        <v>46106</v>
      </c>
      <c r="E3001" s="9">
        <v>0.91190972222102573</v>
      </c>
      <c r="F3001" s="10" t="s">
        <v>3296</v>
      </c>
      <c r="G3001" s="10" t="s">
        <v>21</v>
      </c>
      <c r="H3001" s="10" t="s">
        <v>712</v>
      </c>
      <c r="I3001" s="10" t="s">
        <v>23</v>
      </c>
      <c r="J3001" s="11">
        <v>1.77</v>
      </c>
      <c r="K3001" s="12"/>
      <c r="L3001" s="12"/>
      <c r="M3001" s="12"/>
      <c r="N3001" s="12"/>
      <c r="O3001" s="12"/>
      <c r="P3001" s="12"/>
      <c r="Q3001" s="12"/>
      <c r="R3001" s="12"/>
      <c r="S3001" s="12"/>
    </row>
    <row r="3002" spans="1:19" ht="14.25" customHeight="1" x14ac:dyDescent="0.2">
      <c r="A3002" s="1" t="s">
        <v>42</v>
      </c>
      <c r="B3002" s="7">
        <v>46106.88009259259</v>
      </c>
      <c r="C3002" s="7">
        <v>46106.912824074076</v>
      </c>
      <c r="D3002" s="8">
        <v>46106</v>
      </c>
      <c r="E3002" s="9">
        <v>0.9128240740756155</v>
      </c>
      <c r="F3002" s="10" t="s">
        <v>3297</v>
      </c>
      <c r="G3002" s="10" t="s">
        <v>26</v>
      </c>
      <c r="H3002" s="10" t="s">
        <v>653</v>
      </c>
      <c r="I3002" s="10" t="s">
        <v>23</v>
      </c>
      <c r="J3002" s="11">
        <v>0.79</v>
      </c>
      <c r="K3002" s="12"/>
      <c r="L3002" s="12"/>
      <c r="M3002" s="12"/>
      <c r="N3002" s="12"/>
      <c r="O3002" s="12"/>
      <c r="P3002" s="12"/>
      <c r="Q3002" s="12"/>
      <c r="R3002" s="12"/>
      <c r="S3002" s="12"/>
    </row>
    <row r="3003" spans="1:19" ht="14.25" customHeight="1" x14ac:dyDescent="0.2">
      <c r="A3003" s="22" t="s">
        <v>24</v>
      </c>
      <c r="B3003" s="23">
        <v>46106.853402777779</v>
      </c>
      <c r="C3003" s="23">
        <v>46106.912986111114</v>
      </c>
      <c r="D3003" s="24">
        <v>46106</v>
      </c>
      <c r="E3003" s="25">
        <v>0.91298611111415084</v>
      </c>
      <c r="F3003" s="22" t="s">
        <v>3298</v>
      </c>
      <c r="G3003" s="22" t="s">
        <v>21</v>
      </c>
      <c r="H3003" s="22" t="s">
        <v>39</v>
      </c>
      <c r="I3003" s="22" t="s">
        <v>583</v>
      </c>
      <c r="J3003" s="26">
        <v>1.77</v>
      </c>
      <c r="K3003" s="26"/>
      <c r="L3003" s="26"/>
      <c r="M3003" s="26"/>
      <c r="N3003" s="26"/>
      <c r="O3003" s="26"/>
      <c r="P3003" s="26"/>
      <c r="Q3003" s="26"/>
      <c r="R3003" s="26"/>
      <c r="S3003" s="26"/>
    </row>
    <row r="3004" spans="1:19" ht="14.25" customHeight="1" x14ac:dyDescent="0.2">
      <c r="A3004" s="1" t="s">
        <v>42</v>
      </c>
      <c r="B3004" s="7">
        <v>46106.867731481485</v>
      </c>
      <c r="C3004" s="7">
        <v>46106.913391203707</v>
      </c>
      <c r="D3004" s="8">
        <v>46106</v>
      </c>
      <c r="E3004" s="9">
        <v>0.91339120370685123</v>
      </c>
      <c r="F3004" s="10" t="s">
        <v>3299</v>
      </c>
      <c r="G3004" s="10" t="s">
        <v>26</v>
      </c>
      <c r="H3004" s="10" t="s">
        <v>172</v>
      </c>
      <c r="I3004" s="10" t="s">
        <v>23</v>
      </c>
      <c r="J3004" s="11">
        <v>0.67</v>
      </c>
      <c r="K3004" s="12"/>
      <c r="L3004" s="12"/>
      <c r="M3004" s="12"/>
      <c r="N3004" s="12"/>
      <c r="O3004" s="12"/>
      <c r="P3004" s="12"/>
      <c r="Q3004" s="12"/>
      <c r="R3004" s="12"/>
      <c r="S3004" s="12"/>
    </row>
    <row r="3005" spans="1:19" ht="14.25" customHeight="1" x14ac:dyDescent="0.2">
      <c r="A3005" s="1" t="s">
        <v>24</v>
      </c>
      <c r="B3005" s="7">
        <v>46106.889687499999</v>
      </c>
      <c r="C3005" s="7">
        <v>46106.91542824074</v>
      </c>
      <c r="D3005" s="8">
        <v>46106</v>
      </c>
      <c r="E3005" s="9">
        <v>0.91542824073985685</v>
      </c>
      <c r="F3005" s="10" t="s">
        <v>3300</v>
      </c>
      <c r="G3005" s="10" t="s">
        <v>21</v>
      </c>
      <c r="H3005" s="10" t="s">
        <v>1696</v>
      </c>
      <c r="I3005" s="10" t="s">
        <v>23</v>
      </c>
      <c r="J3005" s="11">
        <v>0.98</v>
      </c>
      <c r="K3005" s="12"/>
      <c r="L3005" s="12"/>
      <c r="M3005" s="12"/>
      <c r="N3005" s="12"/>
      <c r="O3005" s="12"/>
      <c r="P3005" s="12"/>
      <c r="Q3005" s="12"/>
      <c r="R3005" s="12"/>
      <c r="S3005" s="12"/>
    </row>
    <row r="3006" spans="1:19" ht="14.25" customHeight="1" x14ac:dyDescent="0.2">
      <c r="A3006" s="1" t="s">
        <v>24</v>
      </c>
      <c r="B3006" s="7">
        <v>46106.900150462963</v>
      </c>
      <c r="C3006" s="7">
        <v>46106.91847222222</v>
      </c>
      <c r="D3006" s="8">
        <v>46106</v>
      </c>
      <c r="E3006" s="9">
        <v>0.91847222221986158</v>
      </c>
      <c r="F3006" s="10" t="s">
        <v>3301</v>
      </c>
      <c r="G3006" s="10" t="s">
        <v>26</v>
      </c>
      <c r="H3006" s="10" t="s">
        <v>1347</v>
      </c>
      <c r="I3006" s="10" t="s">
        <v>23</v>
      </c>
      <c r="J3006" s="11">
        <v>0.44</v>
      </c>
      <c r="K3006" s="12"/>
      <c r="L3006" s="12">
        <f>SUM(J3006:J3022)</f>
        <v>22.020000000000003</v>
      </c>
      <c r="M3006" s="13">
        <f>L3006*65</f>
        <v>1431.3000000000002</v>
      </c>
      <c r="N3006" s="14">
        <f>MAX(500,M3006)</f>
        <v>1431.3000000000002</v>
      </c>
      <c r="O3006" s="12"/>
      <c r="P3006" s="12"/>
      <c r="Q3006" s="12"/>
      <c r="R3006" s="12"/>
      <c r="S3006" s="12"/>
    </row>
    <row r="3007" spans="1:19" ht="14.25" customHeight="1" x14ac:dyDescent="0.2">
      <c r="A3007" s="1" t="s">
        <v>24</v>
      </c>
      <c r="B3007" s="7">
        <v>46106.905543981484</v>
      </c>
      <c r="C3007" s="7">
        <v>46106.921944444446</v>
      </c>
      <c r="D3007" s="8">
        <v>46106</v>
      </c>
      <c r="E3007" s="9">
        <v>0.921944444446126</v>
      </c>
      <c r="F3007" s="10" t="s">
        <v>3302</v>
      </c>
      <c r="G3007" s="10" t="s">
        <v>21</v>
      </c>
      <c r="H3007" s="10" t="s">
        <v>41</v>
      </c>
      <c r="I3007" s="10" t="s">
        <v>23</v>
      </c>
      <c r="J3007" s="11">
        <v>1.77</v>
      </c>
      <c r="K3007" s="12"/>
      <c r="L3007" s="12"/>
      <c r="M3007" s="12"/>
      <c r="N3007" s="12"/>
      <c r="O3007" s="12"/>
      <c r="P3007" s="12"/>
      <c r="Q3007" s="12"/>
      <c r="R3007" s="12"/>
      <c r="S3007" s="12"/>
    </row>
    <row r="3008" spans="1:19" ht="14.25" customHeight="1" x14ac:dyDescent="0.2">
      <c r="A3008" s="1" t="s">
        <v>33</v>
      </c>
      <c r="B3008" s="7">
        <v>46106.903321759259</v>
      </c>
      <c r="C3008" s="7">
        <v>46106.922175925924</v>
      </c>
      <c r="D3008" s="8">
        <v>46106</v>
      </c>
      <c r="E3008" s="9">
        <v>0.92217592592351139</v>
      </c>
      <c r="F3008" s="10" t="s">
        <v>3303</v>
      </c>
      <c r="G3008" s="10" t="s">
        <v>21</v>
      </c>
      <c r="H3008" s="10" t="s">
        <v>22</v>
      </c>
      <c r="I3008" s="10" t="s">
        <v>23</v>
      </c>
      <c r="J3008" s="11">
        <v>0.83</v>
      </c>
      <c r="K3008" s="12"/>
      <c r="L3008" s="12"/>
      <c r="M3008" s="12"/>
      <c r="N3008" s="12"/>
      <c r="O3008" s="12"/>
      <c r="P3008" s="12"/>
      <c r="Q3008" s="12"/>
      <c r="R3008" s="12"/>
      <c r="S3008" s="12"/>
    </row>
    <row r="3009" spans="1:19" ht="14.25" customHeight="1" x14ac:dyDescent="0.2">
      <c r="A3009" s="1" t="s">
        <v>19</v>
      </c>
      <c r="B3009" s="7">
        <v>46106.912349537037</v>
      </c>
      <c r="C3009" s="7">
        <v>46106.922395833331</v>
      </c>
      <c r="D3009" s="8">
        <v>46106</v>
      </c>
      <c r="E3009" s="9">
        <v>0.92239583333139308</v>
      </c>
      <c r="F3009" s="10" t="s">
        <v>3304</v>
      </c>
      <c r="G3009" s="10" t="s">
        <v>21</v>
      </c>
      <c r="H3009" s="10" t="s">
        <v>22</v>
      </c>
      <c r="I3009" s="10" t="s">
        <v>23</v>
      </c>
      <c r="J3009" s="11">
        <v>0.83</v>
      </c>
      <c r="K3009" s="12"/>
      <c r="L3009" s="12"/>
      <c r="M3009" s="12"/>
      <c r="N3009" s="12"/>
      <c r="O3009" s="12"/>
      <c r="P3009" s="12"/>
      <c r="Q3009" s="12"/>
      <c r="R3009" s="12"/>
      <c r="S3009" s="12"/>
    </row>
    <row r="3010" spans="1:19" ht="14.25" customHeight="1" x14ac:dyDescent="0.2">
      <c r="A3010" s="1" t="s">
        <v>24</v>
      </c>
      <c r="B3010" s="7">
        <v>46106.898078703707</v>
      </c>
      <c r="C3010" s="7">
        <v>46106.924131944441</v>
      </c>
      <c r="D3010" s="8">
        <v>46106</v>
      </c>
      <c r="E3010" s="9">
        <v>0.92413194444088731</v>
      </c>
      <c r="F3010" s="10" t="s">
        <v>3305</v>
      </c>
      <c r="G3010" s="10" t="s">
        <v>21</v>
      </c>
      <c r="H3010" s="10" t="s">
        <v>440</v>
      </c>
      <c r="I3010" s="10" t="s">
        <v>23</v>
      </c>
      <c r="J3010" s="11">
        <v>2.34</v>
      </c>
      <c r="K3010" s="12"/>
      <c r="L3010" s="12"/>
      <c r="M3010" s="12"/>
      <c r="N3010" s="12"/>
      <c r="O3010" s="12"/>
      <c r="P3010" s="12"/>
      <c r="Q3010" s="12"/>
      <c r="R3010" s="12"/>
      <c r="S3010" s="12"/>
    </row>
    <row r="3011" spans="1:19" ht="14.25" customHeight="1" x14ac:dyDescent="0.2">
      <c r="A3011" s="1" t="s">
        <v>33</v>
      </c>
      <c r="B3011" s="7">
        <v>46106.903321759259</v>
      </c>
      <c r="C3011" s="7">
        <v>46106.924456018518</v>
      </c>
      <c r="D3011" s="8">
        <v>46106</v>
      </c>
      <c r="E3011" s="9">
        <v>0.924456018517958</v>
      </c>
      <c r="F3011" s="10" t="s">
        <v>3306</v>
      </c>
      <c r="G3011" s="10" t="s">
        <v>21</v>
      </c>
      <c r="H3011" s="10" t="s">
        <v>52</v>
      </c>
      <c r="I3011" s="10" t="s">
        <v>23</v>
      </c>
      <c r="J3011" s="11">
        <v>0.98</v>
      </c>
      <c r="K3011" s="12"/>
      <c r="L3011" s="12"/>
      <c r="M3011" s="12"/>
      <c r="N3011" s="12"/>
      <c r="O3011" s="12"/>
      <c r="P3011" s="12"/>
      <c r="Q3011" s="12"/>
      <c r="R3011" s="12"/>
      <c r="S3011" s="12"/>
    </row>
    <row r="3012" spans="1:19" ht="14.25" customHeight="1" x14ac:dyDescent="0.2">
      <c r="A3012" s="1" t="s">
        <v>33</v>
      </c>
      <c r="B3012" s="7">
        <v>46106.903321759259</v>
      </c>
      <c r="C3012" s="7">
        <v>46106.928703703707</v>
      </c>
      <c r="D3012" s="8">
        <v>46106</v>
      </c>
      <c r="E3012" s="9">
        <v>0.92870370370656019</v>
      </c>
      <c r="F3012" s="10" t="s">
        <v>3307</v>
      </c>
      <c r="G3012" s="10" t="s">
        <v>21</v>
      </c>
      <c r="H3012" s="10" t="s">
        <v>409</v>
      </c>
      <c r="I3012" s="10" t="s">
        <v>23</v>
      </c>
      <c r="J3012" s="11">
        <v>2.9</v>
      </c>
      <c r="K3012" s="12"/>
      <c r="L3012" s="12"/>
      <c r="M3012" s="12"/>
      <c r="N3012" s="12"/>
      <c r="O3012" s="12"/>
      <c r="P3012" s="12"/>
      <c r="Q3012" s="12"/>
      <c r="R3012" s="12"/>
      <c r="S3012" s="12"/>
    </row>
    <row r="3013" spans="1:19" ht="14.25" customHeight="1" x14ac:dyDescent="0.2">
      <c r="A3013" s="1" t="s">
        <v>33</v>
      </c>
      <c r="B3013" s="7">
        <v>46106.907569444447</v>
      </c>
      <c r="C3013" s="7">
        <v>46106.931342592594</v>
      </c>
      <c r="D3013" s="8">
        <v>46106</v>
      </c>
      <c r="E3013" s="9">
        <v>0.93134259259386454</v>
      </c>
      <c r="F3013" s="10" t="s">
        <v>3308</v>
      </c>
      <c r="G3013" s="10" t="s">
        <v>26</v>
      </c>
      <c r="H3013" s="10" t="s">
        <v>2715</v>
      </c>
      <c r="I3013" s="10" t="s">
        <v>23</v>
      </c>
      <c r="J3013" s="11">
        <v>0.88</v>
      </c>
      <c r="K3013" s="12"/>
      <c r="L3013" s="12"/>
      <c r="M3013" s="12"/>
      <c r="N3013" s="12"/>
      <c r="O3013" s="12"/>
      <c r="P3013" s="12"/>
      <c r="Q3013" s="12"/>
      <c r="R3013" s="12"/>
      <c r="S3013" s="12"/>
    </row>
    <row r="3014" spans="1:19" ht="14.25" customHeight="1" x14ac:dyDescent="0.2">
      <c r="A3014" s="1" t="s">
        <v>28</v>
      </c>
      <c r="B3014" s="7">
        <v>46106.910833333335</v>
      </c>
      <c r="C3014" s="7">
        <v>46106.932141203702</v>
      </c>
      <c r="D3014" s="8">
        <v>46106</v>
      </c>
      <c r="E3014" s="9">
        <v>0.93214120370248565</v>
      </c>
      <c r="F3014" s="10" t="s">
        <v>3309</v>
      </c>
      <c r="G3014" s="10" t="s">
        <v>21</v>
      </c>
      <c r="H3014" s="10" t="s">
        <v>101</v>
      </c>
      <c r="I3014" s="10" t="s">
        <v>23</v>
      </c>
      <c r="J3014" s="11">
        <v>1.7</v>
      </c>
      <c r="K3014" s="12"/>
      <c r="L3014" s="12"/>
      <c r="M3014" s="12"/>
      <c r="N3014" s="12"/>
      <c r="O3014" s="12"/>
      <c r="P3014" s="12"/>
      <c r="Q3014" s="12"/>
      <c r="R3014" s="12"/>
      <c r="S3014" s="12"/>
    </row>
    <row r="3015" spans="1:19" ht="14.25" customHeight="1" x14ac:dyDescent="0.2">
      <c r="A3015" s="1" t="s">
        <v>42</v>
      </c>
      <c r="B3015" s="7">
        <v>46106.899421296293</v>
      </c>
      <c r="C3015" s="7">
        <v>46106.936400462961</v>
      </c>
      <c r="D3015" s="8">
        <v>46106</v>
      </c>
      <c r="E3015" s="9">
        <v>0.93640046296059154</v>
      </c>
      <c r="F3015" s="10" t="s">
        <v>3310</v>
      </c>
      <c r="G3015" s="10" t="s">
        <v>26</v>
      </c>
      <c r="H3015" s="10" t="s">
        <v>56</v>
      </c>
      <c r="I3015" s="10" t="s">
        <v>23</v>
      </c>
      <c r="J3015" s="11">
        <v>0.73</v>
      </c>
      <c r="K3015" s="12"/>
      <c r="L3015" s="12"/>
      <c r="M3015" s="12"/>
      <c r="N3015" s="12"/>
      <c r="O3015" s="12"/>
      <c r="P3015" s="12"/>
      <c r="Q3015" s="12"/>
      <c r="R3015" s="12"/>
      <c r="S3015" s="12"/>
    </row>
    <row r="3016" spans="1:19" ht="14.25" customHeight="1" x14ac:dyDescent="0.2">
      <c r="A3016" s="1" t="s">
        <v>24</v>
      </c>
      <c r="B3016" s="7">
        <v>46106.914479166669</v>
      </c>
      <c r="C3016" s="7">
        <v>46106.936863425923</v>
      </c>
      <c r="D3016" s="8">
        <v>46106</v>
      </c>
      <c r="E3016" s="9">
        <v>0.93686342592263827</v>
      </c>
      <c r="F3016" s="10" t="s">
        <v>3311</v>
      </c>
      <c r="G3016" s="10" t="s">
        <v>21</v>
      </c>
      <c r="H3016" s="10" t="s">
        <v>22</v>
      </c>
      <c r="I3016" s="10" t="s">
        <v>23</v>
      </c>
      <c r="J3016" s="11">
        <v>0.83</v>
      </c>
      <c r="K3016" s="12"/>
      <c r="L3016" s="12"/>
      <c r="M3016" s="12"/>
      <c r="N3016" s="12"/>
      <c r="O3016" s="12"/>
      <c r="P3016" s="12"/>
      <c r="Q3016" s="12"/>
      <c r="R3016" s="12"/>
      <c r="S3016" s="12"/>
    </row>
    <row r="3017" spans="1:19" ht="14.25" customHeight="1" x14ac:dyDescent="0.2">
      <c r="A3017" s="1" t="s">
        <v>24</v>
      </c>
      <c r="B3017" s="7">
        <v>46106.910486111112</v>
      </c>
      <c r="C3017" s="7">
        <v>46106.937719907408</v>
      </c>
      <c r="D3017" s="8">
        <v>46106</v>
      </c>
      <c r="E3017" s="9">
        <v>0.93771990740788169</v>
      </c>
      <c r="F3017" s="10" t="s">
        <v>3312</v>
      </c>
      <c r="G3017" s="10" t="s">
        <v>21</v>
      </c>
      <c r="H3017" s="10" t="s">
        <v>22</v>
      </c>
      <c r="I3017" s="10" t="s">
        <v>23</v>
      </c>
      <c r="J3017" s="11">
        <v>0.83</v>
      </c>
      <c r="K3017" s="12"/>
      <c r="L3017" s="12"/>
      <c r="M3017" s="12"/>
      <c r="N3017" s="12"/>
      <c r="O3017" s="12"/>
      <c r="P3017" s="12"/>
      <c r="Q3017" s="12"/>
      <c r="R3017" s="12"/>
      <c r="S3017" s="12"/>
    </row>
    <row r="3018" spans="1:19" ht="14.25" customHeight="1" x14ac:dyDescent="0.2">
      <c r="A3018" s="1" t="s">
        <v>24</v>
      </c>
      <c r="B3018" s="7">
        <v>46106.91815972222</v>
      </c>
      <c r="C3018" s="7">
        <v>46106.938055555554</v>
      </c>
      <c r="D3018" s="8">
        <v>46106</v>
      </c>
      <c r="E3018" s="9">
        <v>0.93805555555445608</v>
      </c>
      <c r="F3018" s="10" t="s">
        <v>3313</v>
      </c>
      <c r="G3018" s="10" t="s">
        <v>21</v>
      </c>
      <c r="H3018" s="10" t="s">
        <v>41</v>
      </c>
      <c r="I3018" s="10" t="s">
        <v>23</v>
      </c>
      <c r="J3018" s="11">
        <v>1.77</v>
      </c>
      <c r="K3018" s="12"/>
      <c r="L3018" s="12"/>
      <c r="M3018" s="12"/>
      <c r="N3018" s="12"/>
      <c r="O3018" s="12"/>
      <c r="P3018" s="12"/>
      <c r="Q3018" s="12"/>
      <c r="R3018" s="12"/>
      <c r="S3018" s="12"/>
    </row>
    <row r="3019" spans="1:19" ht="14.25" customHeight="1" x14ac:dyDescent="0.2">
      <c r="A3019" s="1" t="s">
        <v>19</v>
      </c>
      <c r="B3019" s="7">
        <v>46106.923564814817</v>
      </c>
      <c r="C3019" s="7">
        <v>46106.943136574075</v>
      </c>
      <c r="D3019" s="8">
        <v>46106</v>
      </c>
      <c r="E3019" s="9">
        <v>0.94313657407474238</v>
      </c>
      <c r="F3019" s="10" t="s">
        <v>3314</v>
      </c>
      <c r="G3019" s="10" t="s">
        <v>21</v>
      </c>
      <c r="H3019" s="10" t="s">
        <v>3315</v>
      </c>
      <c r="I3019" s="10" t="s">
        <v>23</v>
      </c>
      <c r="J3019" s="11">
        <v>0.98</v>
      </c>
      <c r="K3019" s="12"/>
      <c r="L3019" s="12"/>
      <c r="M3019" s="12"/>
      <c r="N3019" s="12"/>
      <c r="O3019" s="12"/>
      <c r="P3019" s="12"/>
      <c r="Q3019" s="12"/>
      <c r="R3019" s="12"/>
      <c r="S3019" s="12"/>
    </row>
    <row r="3020" spans="1:19" ht="14.25" customHeight="1" x14ac:dyDescent="0.2">
      <c r="A3020" s="1" t="s">
        <v>19</v>
      </c>
      <c r="B3020" s="7">
        <v>46106.936041666668</v>
      </c>
      <c r="C3020" s="7">
        <v>46106.949907407405</v>
      </c>
      <c r="D3020" s="8">
        <v>46106</v>
      </c>
      <c r="E3020" s="9">
        <v>0.94990740740468027</v>
      </c>
      <c r="F3020" s="10" t="s">
        <v>3316</v>
      </c>
      <c r="G3020" s="10" t="s">
        <v>21</v>
      </c>
      <c r="H3020" s="10" t="s">
        <v>41</v>
      </c>
      <c r="I3020" s="10" t="s">
        <v>23</v>
      </c>
      <c r="J3020" s="11">
        <v>1.77</v>
      </c>
      <c r="K3020" s="12"/>
      <c r="L3020" s="12"/>
      <c r="M3020" s="12"/>
      <c r="N3020" s="12"/>
      <c r="O3020" s="12"/>
      <c r="P3020" s="12"/>
      <c r="Q3020" s="12"/>
      <c r="R3020" s="12"/>
      <c r="S3020" s="12"/>
    </row>
    <row r="3021" spans="1:19" ht="14.25" customHeight="1" x14ac:dyDescent="0.2">
      <c r="A3021" s="1" t="s">
        <v>42</v>
      </c>
      <c r="B3021" s="7">
        <v>46106.930775462963</v>
      </c>
      <c r="C3021" s="7">
        <v>46106.951284722221</v>
      </c>
      <c r="D3021" s="8">
        <v>46106</v>
      </c>
      <c r="E3021" s="9">
        <v>0.95128472222131677</v>
      </c>
      <c r="F3021" s="10" t="s">
        <v>3317</v>
      </c>
      <c r="G3021" s="10" t="s">
        <v>21</v>
      </c>
      <c r="H3021" s="10" t="s">
        <v>97</v>
      </c>
      <c r="I3021" s="10" t="s">
        <v>23</v>
      </c>
      <c r="J3021" s="11">
        <v>1.77</v>
      </c>
      <c r="K3021" s="12"/>
      <c r="L3021" s="12"/>
      <c r="M3021" s="12"/>
      <c r="N3021" s="12"/>
      <c r="O3021" s="12"/>
      <c r="P3021" s="12"/>
      <c r="Q3021" s="12"/>
      <c r="R3021" s="12"/>
      <c r="S3021" s="12"/>
    </row>
    <row r="3022" spans="1:19" ht="14.25" customHeight="1" x14ac:dyDescent="0.2">
      <c r="A3022" s="1" t="s">
        <v>24</v>
      </c>
      <c r="B3022" s="7">
        <v>46106.926874999997</v>
      </c>
      <c r="C3022" s="7">
        <v>46106.95207175926</v>
      </c>
      <c r="D3022" s="8">
        <v>46106</v>
      </c>
      <c r="E3022" s="9">
        <v>0.95207175926043419</v>
      </c>
      <c r="F3022" s="10" t="s">
        <v>3318</v>
      </c>
      <c r="G3022" s="10" t="s">
        <v>26</v>
      </c>
      <c r="H3022" s="10" t="s">
        <v>1019</v>
      </c>
      <c r="I3022" s="10" t="s">
        <v>23</v>
      </c>
      <c r="J3022" s="11">
        <v>0.67</v>
      </c>
      <c r="K3022" s="12"/>
      <c r="L3022" s="12"/>
      <c r="M3022" s="12"/>
      <c r="N3022" s="12"/>
      <c r="O3022" s="12"/>
      <c r="P3022" s="12"/>
      <c r="Q3022" s="12"/>
      <c r="R3022" s="12"/>
      <c r="S3022" s="12"/>
    </row>
    <row r="3023" spans="1:19" ht="14.25" customHeight="1" x14ac:dyDescent="0.2">
      <c r="A3023" s="1" t="s">
        <v>19</v>
      </c>
      <c r="B3023" s="7">
        <v>46106.943831018521</v>
      </c>
      <c r="C3023" s="7">
        <v>46106.9612037037</v>
      </c>
      <c r="D3023" s="8">
        <v>46106</v>
      </c>
      <c r="E3023" s="9">
        <v>0.96120370370044839</v>
      </c>
      <c r="F3023" s="10" t="s">
        <v>3319</v>
      </c>
      <c r="G3023" s="10" t="s">
        <v>21</v>
      </c>
      <c r="H3023" s="10" t="s">
        <v>22</v>
      </c>
      <c r="I3023" s="10" t="s">
        <v>23</v>
      </c>
      <c r="J3023" s="11">
        <v>0.83</v>
      </c>
      <c r="K3023" s="12"/>
      <c r="L3023" s="12">
        <f>SUM(J3023:J3044)</f>
        <v>16.63</v>
      </c>
      <c r="M3023" s="13">
        <f>L3023*65</f>
        <v>1080.95</v>
      </c>
      <c r="N3023" s="14">
        <f>MAX(500,M3023)</f>
        <v>1080.95</v>
      </c>
      <c r="O3023" s="12"/>
      <c r="P3023" s="12"/>
      <c r="Q3023" s="12"/>
      <c r="R3023" s="12"/>
      <c r="S3023" s="12"/>
    </row>
    <row r="3024" spans="1:19" ht="14.25" customHeight="1" x14ac:dyDescent="0.2">
      <c r="A3024" s="1" t="s">
        <v>19</v>
      </c>
      <c r="B3024" s="7">
        <v>46106.949571759258</v>
      </c>
      <c r="C3024" s="7">
        <v>46106.961550925924</v>
      </c>
      <c r="D3024" s="8">
        <v>46106</v>
      </c>
      <c r="E3024" s="9">
        <v>0.96155092592380242</v>
      </c>
      <c r="F3024" s="10" t="s">
        <v>3320</v>
      </c>
      <c r="G3024" s="10" t="s">
        <v>21</v>
      </c>
      <c r="H3024" s="10" t="s">
        <v>620</v>
      </c>
      <c r="I3024" s="10" t="s">
        <v>23</v>
      </c>
      <c r="J3024" s="11">
        <v>1.06</v>
      </c>
      <c r="K3024" s="12"/>
      <c r="L3024" s="12"/>
      <c r="M3024" s="12"/>
      <c r="N3024" s="12"/>
      <c r="O3024" s="12"/>
      <c r="P3024" s="12"/>
      <c r="Q3024" s="12"/>
      <c r="R3024" s="12"/>
      <c r="S3024" s="12"/>
    </row>
    <row r="3025" spans="1:19" ht="14.25" customHeight="1" x14ac:dyDescent="0.2">
      <c r="A3025" s="1" t="s">
        <v>24</v>
      </c>
      <c r="B3025" s="7">
        <v>46106.948067129626</v>
      </c>
      <c r="C3025" s="7">
        <v>46106.966643518521</v>
      </c>
      <c r="D3025" s="8">
        <v>46106</v>
      </c>
      <c r="E3025" s="9">
        <v>0.96664351852086838</v>
      </c>
      <c r="F3025" s="10" t="s">
        <v>3321</v>
      </c>
      <c r="G3025" s="10" t="s">
        <v>26</v>
      </c>
      <c r="H3025" s="10" t="s">
        <v>1019</v>
      </c>
      <c r="I3025" s="10" t="s">
        <v>23</v>
      </c>
      <c r="J3025" s="11">
        <v>0.67</v>
      </c>
      <c r="K3025" s="12"/>
      <c r="L3025" s="12"/>
      <c r="M3025" s="12"/>
      <c r="N3025" s="12"/>
      <c r="O3025" s="12"/>
      <c r="P3025" s="12"/>
      <c r="Q3025" s="12"/>
      <c r="R3025" s="12"/>
      <c r="S3025" s="12"/>
    </row>
    <row r="3026" spans="1:19" ht="14.25" customHeight="1" x14ac:dyDescent="0.2">
      <c r="A3026" s="22" t="s">
        <v>19</v>
      </c>
      <c r="B3026" s="23">
        <v>46106.949571759258</v>
      </c>
      <c r="C3026" s="23">
        <v>46106.967905092592</v>
      </c>
      <c r="D3026" s="24">
        <v>46106</v>
      </c>
      <c r="E3026" s="25">
        <v>0.96790509259153623</v>
      </c>
      <c r="F3026" s="22" t="s">
        <v>3322</v>
      </c>
      <c r="G3026" s="22" t="s">
        <v>21</v>
      </c>
      <c r="H3026" s="22" t="s">
        <v>216</v>
      </c>
      <c r="I3026" s="22" t="s">
        <v>583</v>
      </c>
      <c r="J3026" s="26">
        <v>0.98</v>
      </c>
      <c r="K3026" s="26"/>
      <c r="L3026" s="26"/>
      <c r="M3026" s="26"/>
      <c r="N3026" s="26"/>
      <c r="O3026" s="26"/>
      <c r="P3026" s="26"/>
      <c r="Q3026" s="26"/>
      <c r="R3026" s="26"/>
      <c r="S3026" s="26"/>
    </row>
    <row r="3027" spans="1:19" ht="14.25" customHeight="1" x14ac:dyDescent="0.2">
      <c r="A3027" s="22" t="s">
        <v>28</v>
      </c>
      <c r="B3027" s="23">
        <v>46106.854837962965</v>
      </c>
      <c r="C3027" s="23">
        <v>46106.969861111109</v>
      </c>
      <c r="D3027" s="24">
        <v>46106</v>
      </c>
      <c r="E3027" s="25">
        <v>0.96986111110891216</v>
      </c>
      <c r="F3027" s="22" t="s">
        <v>3323</v>
      </c>
      <c r="G3027" s="22" t="s">
        <v>44</v>
      </c>
      <c r="H3027" s="22" t="s">
        <v>185</v>
      </c>
      <c r="I3027" s="22" t="s">
        <v>583</v>
      </c>
      <c r="J3027" s="26">
        <v>0.18</v>
      </c>
      <c r="K3027" s="26"/>
      <c r="L3027" s="26"/>
      <c r="M3027" s="26"/>
      <c r="N3027" s="26"/>
      <c r="O3027" s="26"/>
      <c r="P3027" s="26"/>
      <c r="Q3027" s="26"/>
      <c r="R3027" s="26"/>
      <c r="S3027" s="26"/>
    </row>
    <row r="3028" spans="1:19" ht="14.25" customHeight="1" x14ac:dyDescent="0.2">
      <c r="A3028" s="22" t="s">
        <v>19</v>
      </c>
      <c r="B3028" s="23">
        <v>46106.880347222221</v>
      </c>
      <c r="C3028" s="23">
        <v>46106.971562500003</v>
      </c>
      <c r="D3028" s="24">
        <v>46106</v>
      </c>
      <c r="E3028" s="25">
        <v>0.97156250000261934</v>
      </c>
      <c r="F3028" s="22" t="s">
        <v>3324</v>
      </c>
      <c r="G3028" s="22" t="s">
        <v>44</v>
      </c>
      <c r="H3028" s="22" t="s">
        <v>185</v>
      </c>
      <c r="I3028" s="22" t="s">
        <v>583</v>
      </c>
      <c r="J3028" s="26">
        <v>0.18</v>
      </c>
      <c r="K3028" s="26"/>
      <c r="L3028" s="26"/>
      <c r="M3028" s="26"/>
      <c r="N3028" s="26"/>
      <c r="O3028" s="26"/>
      <c r="P3028" s="26"/>
      <c r="Q3028" s="26"/>
      <c r="R3028" s="26"/>
      <c r="S3028" s="26"/>
    </row>
    <row r="3029" spans="1:19" ht="14.25" customHeight="1" x14ac:dyDescent="0.2">
      <c r="A3029" s="22" t="s">
        <v>19</v>
      </c>
      <c r="B3029" s="23">
        <v>46106.880150462966</v>
      </c>
      <c r="C3029" s="23">
        <v>46106.973101851851</v>
      </c>
      <c r="D3029" s="24">
        <v>46106</v>
      </c>
      <c r="E3029" s="25">
        <v>0.97310185185051523</v>
      </c>
      <c r="F3029" s="22" t="s">
        <v>3325</v>
      </c>
      <c r="G3029" s="22" t="s">
        <v>44</v>
      </c>
      <c r="H3029" s="22" t="s">
        <v>185</v>
      </c>
      <c r="I3029" s="22" t="s">
        <v>583</v>
      </c>
      <c r="J3029" s="26">
        <v>0.18</v>
      </c>
      <c r="K3029" s="26"/>
      <c r="L3029" s="26"/>
      <c r="M3029" s="26"/>
      <c r="N3029" s="26"/>
      <c r="O3029" s="26"/>
      <c r="P3029" s="26"/>
      <c r="Q3029" s="26"/>
      <c r="R3029" s="26"/>
      <c r="S3029" s="26"/>
    </row>
    <row r="3030" spans="1:19" ht="14.25" customHeight="1" x14ac:dyDescent="0.2">
      <c r="A3030" s="1" t="s">
        <v>19</v>
      </c>
      <c r="B3030" s="7">
        <v>46106.946516203701</v>
      </c>
      <c r="C3030" s="7">
        <v>46106.974432870367</v>
      </c>
      <c r="D3030" s="8">
        <v>46106</v>
      </c>
      <c r="E3030" s="9">
        <v>0.97443287036730908</v>
      </c>
      <c r="F3030" s="10" t="s">
        <v>3326</v>
      </c>
      <c r="G3030" s="10" t="s">
        <v>26</v>
      </c>
      <c r="H3030" s="10" t="s">
        <v>37</v>
      </c>
      <c r="I3030" s="10" t="s">
        <v>23</v>
      </c>
      <c r="J3030" s="11">
        <v>0.88</v>
      </c>
      <c r="K3030" s="12"/>
      <c r="L3030" s="12"/>
      <c r="M3030" s="12"/>
      <c r="N3030" s="12"/>
      <c r="O3030" s="12"/>
      <c r="P3030" s="12"/>
      <c r="Q3030" s="12"/>
      <c r="R3030" s="12"/>
      <c r="S3030" s="12"/>
    </row>
    <row r="3031" spans="1:19" ht="14.25" customHeight="1" x14ac:dyDescent="0.2">
      <c r="A3031" s="1" t="s">
        <v>19</v>
      </c>
      <c r="B3031" s="7">
        <v>46106.96503472222</v>
      </c>
      <c r="C3031" s="7">
        <v>46106.974965277775</v>
      </c>
      <c r="D3031" s="8">
        <v>46106</v>
      </c>
      <c r="E3031" s="9">
        <v>0.97496527777548181</v>
      </c>
      <c r="F3031" s="10" t="s">
        <v>3327</v>
      </c>
      <c r="G3031" s="10" t="s">
        <v>21</v>
      </c>
      <c r="H3031" s="10" t="s">
        <v>41</v>
      </c>
      <c r="I3031" s="10" t="s">
        <v>23</v>
      </c>
      <c r="J3031" s="11">
        <v>1.77</v>
      </c>
      <c r="K3031" s="12"/>
      <c r="L3031" s="12"/>
      <c r="M3031" s="12"/>
      <c r="N3031" s="12"/>
      <c r="O3031" s="12"/>
      <c r="P3031" s="12"/>
      <c r="Q3031" s="12"/>
      <c r="R3031" s="12"/>
      <c r="S3031" s="12"/>
    </row>
    <row r="3032" spans="1:19" ht="14.25" customHeight="1" x14ac:dyDescent="0.2">
      <c r="A3032" s="22" t="s">
        <v>19</v>
      </c>
      <c r="B3032" s="23">
        <v>46106.878680555557</v>
      </c>
      <c r="C3032" s="23">
        <v>46106.975266203706</v>
      </c>
      <c r="D3032" s="24">
        <v>46106</v>
      </c>
      <c r="E3032" s="25">
        <v>0.97526620370626915</v>
      </c>
      <c r="F3032" s="22" t="s">
        <v>3328</v>
      </c>
      <c r="G3032" s="22" t="s">
        <v>44</v>
      </c>
      <c r="H3032" s="22" t="s">
        <v>185</v>
      </c>
      <c r="I3032" s="22" t="s">
        <v>583</v>
      </c>
      <c r="J3032" s="26">
        <v>0.18</v>
      </c>
      <c r="K3032" s="26"/>
      <c r="L3032" s="26"/>
      <c r="M3032" s="26"/>
      <c r="N3032" s="26"/>
      <c r="O3032" s="26"/>
      <c r="P3032" s="26"/>
      <c r="Q3032" s="26"/>
      <c r="R3032" s="26"/>
      <c r="S3032" s="26"/>
    </row>
    <row r="3033" spans="1:19" ht="14.25" customHeight="1" x14ac:dyDescent="0.2">
      <c r="A3033" s="22" t="s">
        <v>19</v>
      </c>
      <c r="B3033" s="23">
        <v>46106.923761574071</v>
      </c>
      <c r="C3033" s="23">
        <v>46106.977037037039</v>
      </c>
      <c r="D3033" s="24">
        <v>46106</v>
      </c>
      <c r="E3033" s="25">
        <v>0.97703703703882638</v>
      </c>
      <c r="F3033" s="22" t="s">
        <v>3329</v>
      </c>
      <c r="G3033" s="22" t="s">
        <v>44</v>
      </c>
      <c r="H3033" s="22" t="s">
        <v>185</v>
      </c>
      <c r="I3033" s="22" t="s">
        <v>583</v>
      </c>
      <c r="J3033" s="26">
        <v>0.18</v>
      </c>
      <c r="K3033" s="26"/>
      <c r="L3033" s="26"/>
      <c r="M3033" s="26"/>
      <c r="N3033" s="26"/>
      <c r="O3033" s="26"/>
      <c r="P3033" s="26"/>
      <c r="Q3033" s="26"/>
      <c r="R3033" s="26"/>
      <c r="S3033" s="26"/>
    </row>
    <row r="3034" spans="1:19" ht="14.25" customHeight="1" x14ac:dyDescent="0.2">
      <c r="A3034" s="22" t="s">
        <v>230</v>
      </c>
      <c r="B3034" s="23">
        <v>46106.887939814813</v>
      </c>
      <c r="C3034" s="23">
        <v>46106.978773148148</v>
      </c>
      <c r="D3034" s="24">
        <v>46106</v>
      </c>
      <c r="E3034" s="25">
        <v>0.97877314814832062</v>
      </c>
      <c r="F3034" s="22" t="s">
        <v>3330</v>
      </c>
      <c r="G3034" s="22" t="s">
        <v>44</v>
      </c>
      <c r="H3034" s="22" t="s">
        <v>3331</v>
      </c>
      <c r="I3034" s="22" t="s">
        <v>583</v>
      </c>
      <c r="J3034" s="26">
        <v>0.21</v>
      </c>
      <c r="K3034" s="26"/>
      <c r="L3034" s="26"/>
      <c r="M3034" s="26"/>
      <c r="N3034" s="26"/>
      <c r="O3034" s="26"/>
      <c r="P3034" s="26"/>
      <c r="Q3034" s="26"/>
      <c r="R3034" s="26"/>
      <c r="S3034" s="26"/>
    </row>
    <row r="3035" spans="1:19" ht="14.25" customHeight="1" x14ac:dyDescent="0.2">
      <c r="A3035" s="22" t="s">
        <v>28</v>
      </c>
      <c r="B3035" s="23">
        <v>46106.923217592594</v>
      </c>
      <c r="C3035" s="23">
        <v>46106.980671296296</v>
      </c>
      <c r="D3035" s="24">
        <v>46106</v>
      </c>
      <c r="E3035" s="25">
        <v>0.98067129629635019</v>
      </c>
      <c r="F3035" s="22" t="s">
        <v>3332</v>
      </c>
      <c r="G3035" s="22" t="s">
        <v>44</v>
      </c>
      <c r="H3035" s="22" t="s">
        <v>1522</v>
      </c>
      <c r="I3035" s="22" t="s">
        <v>583</v>
      </c>
      <c r="J3035" s="26">
        <v>0.18</v>
      </c>
      <c r="K3035" s="26"/>
      <c r="L3035" s="26"/>
      <c r="M3035" s="26"/>
      <c r="N3035" s="26"/>
      <c r="O3035" s="26"/>
      <c r="P3035" s="26"/>
      <c r="Q3035" s="26"/>
      <c r="R3035" s="26"/>
      <c r="S3035" s="26"/>
    </row>
    <row r="3036" spans="1:19" ht="14.25" customHeight="1" x14ac:dyDescent="0.2">
      <c r="A3036" s="1" t="s">
        <v>95</v>
      </c>
      <c r="B3036" s="7">
        <v>46106.961817129632</v>
      </c>
      <c r="C3036" s="7">
        <v>46106.98097222222</v>
      </c>
      <c r="D3036" s="8">
        <v>46106</v>
      </c>
      <c r="E3036" s="9">
        <v>0.98097222221986158</v>
      </c>
      <c r="F3036" s="10" t="s">
        <v>3333</v>
      </c>
      <c r="G3036" s="10" t="s">
        <v>21</v>
      </c>
      <c r="H3036" s="10" t="s">
        <v>110</v>
      </c>
      <c r="I3036" s="10" t="s">
        <v>23</v>
      </c>
      <c r="J3036" s="11">
        <v>0.83</v>
      </c>
      <c r="K3036" s="12"/>
      <c r="L3036" s="12"/>
      <c r="M3036" s="12"/>
      <c r="N3036" s="12"/>
      <c r="O3036" s="12"/>
      <c r="P3036" s="12"/>
      <c r="Q3036" s="12"/>
      <c r="R3036" s="12"/>
      <c r="S3036" s="12"/>
    </row>
    <row r="3037" spans="1:19" ht="14.25" customHeight="1" x14ac:dyDescent="0.2">
      <c r="A3037" s="1" t="s">
        <v>24</v>
      </c>
      <c r="B3037" s="7">
        <v>46106.96465277778</v>
      </c>
      <c r="C3037" s="7">
        <v>46106.981365740743</v>
      </c>
      <c r="D3037" s="8">
        <v>46106</v>
      </c>
      <c r="E3037" s="9">
        <v>0.98136574074305827</v>
      </c>
      <c r="F3037" s="10" t="s">
        <v>3334</v>
      </c>
      <c r="G3037" s="10" t="s">
        <v>26</v>
      </c>
      <c r="H3037" s="10" t="s">
        <v>1019</v>
      </c>
      <c r="I3037" s="10" t="s">
        <v>23</v>
      </c>
      <c r="J3037" s="11">
        <v>0.67</v>
      </c>
      <c r="K3037" s="12"/>
      <c r="L3037" s="12"/>
      <c r="M3037" s="12"/>
      <c r="N3037" s="12"/>
      <c r="O3037" s="12"/>
      <c r="P3037" s="12"/>
      <c r="Q3037" s="12"/>
      <c r="R3037" s="12"/>
      <c r="S3037" s="12"/>
    </row>
    <row r="3038" spans="1:19" ht="14.25" customHeight="1" x14ac:dyDescent="0.2">
      <c r="A3038" s="22" t="s">
        <v>19</v>
      </c>
      <c r="B3038" s="23">
        <v>46106.895358796297</v>
      </c>
      <c r="C3038" s="23">
        <v>46106.982037037036</v>
      </c>
      <c r="D3038" s="24">
        <v>46106</v>
      </c>
      <c r="E3038" s="25">
        <v>0.98203703703620704</v>
      </c>
      <c r="F3038" s="22" t="s">
        <v>3335</v>
      </c>
      <c r="G3038" s="22" t="s">
        <v>44</v>
      </c>
      <c r="H3038" s="22" t="s">
        <v>48</v>
      </c>
      <c r="I3038" s="22" t="s">
        <v>583</v>
      </c>
      <c r="J3038" s="26">
        <v>0.21</v>
      </c>
      <c r="K3038" s="26"/>
      <c r="L3038" s="26"/>
      <c r="M3038" s="26"/>
      <c r="N3038" s="26"/>
      <c r="O3038" s="26"/>
      <c r="P3038" s="26"/>
      <c r="Q3038" s="26"/>
      <c r="R3038" s="26"/>
      <c r="S3038" s="26"/>
    </row>
    <row r="3039" spans="1:19" ht="14.25" customHeight="1" x14ac:dyDescent="0.2">
      <c r="A3039" s="22" t="s">
        <v>28</v>
      </c>
      <c r="B3039" s="23">
        <v>46106.933668981481</v>
      </c>
      <c r="C3039" s="23">
        <v>46106.984050925923</v>
      </c>
      <c r="D3039" s="24">
        <v>46106</v>
      </c>
      <c r="E3039" s="25">
        <v>0.98405092592292931</v>
      </c>
      <c r="F3039" s="22" t="s">
        <v>3336</v>
      </c>
      <c r="G3039" s="22" t="s">
        <v>44</v>
      </c>
      <c r="H3039" s="22" t="s">
        <v>185</v>
      </c>
      <c r="I3039" s="22" t="s">
        <v>583</v>
      </c>
      <c r="J3039" s="26">
        <v>0.18</v>
      </c>
      <c r="K3039" s="26"/>
      <c r="L3039" s="26"/>
      <c r="M3039" s="26"/>
      <c r="N3039" s="26"/>
      <c r="O3039" s="26"/>
      <c r="P3039" s="26"/>
      <c r="Q3039" s="26"/>
      <c r="R3039" s="26"/>
      <c r="S3039" s="26"/>
    </row>
    <row r="3040" spans="1:19" ht="14.25" customHeight="1" x14ac:dyDescent="0.2">
      <c r="A3040" s="22" t="s">
        <v>28</v>
      </c>
      <c r="B3040" s="23">
        <v>46106.931134259263</v>
      </c>
      <c r="C3040" s="23">
        <v>46106.986875000002</v>
      </c>
      <c r="D3040" s="24">
        <v>46106</v>
      </c>
      <c r="E3040" s="25">
        <v>0.98687500000232831</v>
      </c>
      <c r="F3040" s="22" t="s">
        <v>3337</v>
      </c>
      <c r="G3040" s="22" t="s">
        <v>44</v>
      </c>
      <c r="H3040" s="22" t="s">
        <v>185</v>
      </c>
      <c r="I3040" s="22" t="s">
        <v>583</v>
      </c>
      <c r="J3040" s="26">
        <v>0.18</v>
      </c>
      <c r="K3040" s="26"/>
      <c r="L3040" s="26"/>
      <c r="M3040" s="26"/>
      <c r="N3040" s="26"/>
      <c r="O3040" s="26"/>
      <c r="P3040" s="26"/>
      <c r="Q3040" s="26"/>
      <c r="R3040" s="26"/>
      <c r="S3040" s="26"/>
    </row>
    <row r="3041" spans="1:19" ht="14.25" customHeight="1" x14ac:dyDescent="0.2">
      <c r="A3041" s="1" t="s">
        <v>24</v>
      </c>
      <c r="B3041" s="7">
        <v>46106.97693287037</v>
      </c>
      <c r="C3041" s="7">
        <v>46106.996921296297</v>
      </c>
      <c r="D3041" s="8">
        <v>46106</v>
      </c>
      <c r="E3041" s="9">
        <v>0.99692129629693227</v>
      </c>
      <c r="F3041" s="10" t="s">
        <v>3338</v>
      </c>
      <c r="G3041" s="10" t="s">
        <v>21</v>
      </c>
      <c r="H3041" s="10" t="s">
        <v>41</v>
      </c>
      <c r="I3041" s="10" t="s">
        <v>23</v>
      </c>
      <c r="J3041" s="11">
        <v>1.77</v>
      </c>
      <c r="K3041" s="12"/>
      <c r="L3041" s="12"/>
      <c r="M3041" s="12"/>
      <c r="N3041" s="12"/>
      <c r="O3041" s="12"/>
      <c r="P3041" s="12"/>
      <c r="Q3041" s="12"/>
      <c r="R3041" s="12"/>
      <c r="S3041" s="12"/>
    </row>
    <row r="3042" spans="1:19" ht="14.25" customHeight="1" x14ac:dyDescent="0.2">
      <c r="A3042" s="1" t="s">
        <v>95</v>
      </c>
      <c r="B3042" s="7">
        <v>46106.983900462961</v>
      </c>
      <c r="C3042" s="7">
        <v>46106.997546296298</v>
      </c>
      <c r="D3042" s="8">
        <v>46106</v>
      </c>
      <c r="E3042" s="9">
        <v>0.99754629629751435</v>
      </c>
      <c r="F3042" s="10" t="s">
        <v>3339</v>
      </c>
      <c r="G3042" s="10" t="s">
        <v>21</v>
      </c>
      <c r="H3042" s="10" t="s">
        <v>97</v>
      </c>
      <c r="I3042" s="10" t="s">
        <v>23</v>
      </c>
      <c r="J3042" s="11">
        <v>1.77</v>
      </c>
      <c r="K3042" s="12"/>
      <c r="L3042" s="12"/>
      <c r="M3042" s="12"/>
      <c r="N3042" s="12"/>
      <c r="O3042" s="12"/>
      <c r="P3042" s="12"/>
      <c r="Q3042" s="12"/>
      <c r="R3042" s="12"/>
      <c r="S3042" s="12"/>
    </row>
    <row r="3043" spans="1:19" ht="14.25" customHeight="1" x14ac:dyDescent="0.2">
      <c r="A3043" s="1" t="s">
        <v>95</v>
      </c>
      <c r="B3043" s="7">
        <v>46106.990682870368</v>
      </c>
      <c r="C3043" s="7">
        <v>46106.999178240738</v>
      </c>
      <c r="D3043" s="8">
        <v>46106</v>
      </c>
      <c r="E3043" s="9">
        <v>0.99917824073781958</v>
      </c>
      <c r="F3043" s="10" t="s">
        <v>3340</v>
      </c>
      <c r="G3043" s="10" t="s">
        <v>21</v>
      </c>
      <c r="H3043" s="10" t="s">
        <v>97</v>
      </c>
      <c r="I3043" s="10" t="s">
        <v>23</v>
      </c>
      <c r="J3043" s="11">
        <v>1.77</v>
      </c>
      <c r="K3043" s="12"/>
      <c r="L3043" s="12"/>
      <c r="M3043" s="12"/>
      <c r="N3043" s="12"/>
      <c r="O3043" s="12"/>
      <c r="P3043" s="12"/>
      <c r="Q3043" s="12"/>
      <c r="R3043" s="12"/>
      <c r="S3043" s="12"/>
    </row>
    <row r="3044" spans="1:19" ht="14.25" customHeight="1" x14ac:dyDescent="0.2">
      <c r="A3044" s="22" t="s">
        <v>28</v>
      </c>
      <c r="B3044" s="23">
        <v>46106.978391203702</v>
      </c>
      <c r="C3044" s="23">
        <v>46106.999374999999</v>
      </c>
      <c r="D3044" s="24">
        <v>46106</v>
      </c>
      <c r="E3044" s="25">
        <v>0.99937499999941792</v>
      </c>
      <c r="F3044" s="22" t="s">
        <v>3341</v>
      </c>
      <c r="G3044" s="22" t="s">
        <v>21</v>
      </c>
      <c r="H3044" s="22" t="s">
        <v>41</v>
      </c>
      <c r="I3044" s="22" t="s">
        <v>583</v>
      </c>
      <c r="J3044" s="26">
        <v>1.77</v>
      </c>
      <c r="K3044" s="26"/>
      <c r="L3044" s="26"/>
      <c r="M3044" s="26"/>
      <c r="N3044" s="26"/>
      <c r="O3044" s="26"/>
      <c r="P3044" s="26"/>
      <c r="Q3044" s="26"/>
      <c r="R3044" s="26"/>
      <c r="S3044" s="26"/>
    </row>
    <row r="3045" spans="1:19" ht="14.25" customHeight="1" x14ac:dyDescent="0.2">
      <c r="A3045" s="1" t="s">
        <v>42</v>
      </c>
      <c r="B3045" s="7">
        <v>46106.974548611113</v>
      </c>
      <c r="C3045" s="7">
        <v>46107.000578703701</v>
      </c>
      <c r="D3045" s="8">
        <v>46107</v>
      </c>
      <c r="E3045" s="9">
        <v>5.7870370073942468E-4</v>
      </c>
      <c r="F3045" s="10" t="s">
        <v>3342</v>
      </c>
      <c r="G3045" s="10" t="s">
        <v>26</v>
      </c>
      <c r="H3045" s="10" t="s">
        <v>157</v>
      </c>
      <c r="I3045" s="10" t="s">
        <v>23</v>
      </c>
      <c r="J3045" s="11">
        <v>0.73</v>
      </c>
      <c r="K3045" s="12"/>
      <c r="L3045" s="12">
        <f>SUM(J3045:J3059)</f>
        <v>18.940000000000001</v>
      </c>
      <c r="M3045" s="13">
        <f>L3045*65</f>
        <v>1231.1000000000001</v>
      </c>
      <c r="N3045" s="14">
        <f>MAX(500,M3045)</f>
        <v>1231.1000000000001</v>
      </c>
      <c r="O3045" s="12"/>
      <c r="P3045" s="12"/>
      <c r="Q3045" s="12"/>
      <c r="R3045" s="12"/>
      <c r="S3045" s="12"/>
    </row>
    <row r="3046" spans="1:19" ht="14.25" customHeight="1" x14ac:dyDescent="0.2">
      <c r="A3046" s="22" t="s">
        <v>57</v>
      </c>
      <c r="B3046" s="23">
        <v>46106.895115740743</v>
      </c>
      <c r="C3046" s="23">
        <v>46107.002384259256</v>
      </c>
      <c r="D3046" s="24">
        <v>46107</v>
      </c>
      <c r="E3046" s="25">
        <v>2.3842592563596554E-3</v>
      </c>
      <c r="F3046" s="22" t="s">
        <v>3343</v>
      </c>
      <c r="G3046" s="22" t="s">
        <v>44</v>
      </c>
      <c r="H3046" s="22" t="s">
        <v>606</v>
      </c>
      <c r="I3046" s="22" t="s">
        <v>583</v>
      </c>
      <c r="J3046" s="26">
        <v>0.18</v>
      </c>
      <c r="K3046" s="26"/>
      <c r="L3046" s="26"/>
      <c r="M3046" s="26"/>
      <c r="N3046" s="26"/>
      <c r="O3046" s="26"/>
      <c r="P3046" s="26"/>
      <c r="Q3046" s="26"/>
      <c r="R3046" s="26"/>
      <c r="S3046" s="26"/>
    </row>
    <row r="3047" spans="1:19" ht="14.25" customHeight="1" x14ac:dyDescent="0.2">
      <c r="A3047" s="22" t="s">
        <v>19</v>
      </c>
      <c r="B3047" s="23">
        <v>46106.890902777777</v>
      </c>
      <c r="C3047" s="23">
        <v>46107.00371527778</v>
      </c>
      <c r="D3047" s="24">
        <v>46107</v>
      </c>
      <c r="E3047" s="25">
        <v>3.7152777804294601E-3</v>
      </c>
      <c r="F3047" s="22" t="s">
        <v>3344</v>
      </c>
      <c r="G3047" s="22" t="s">
        <v>44</v>
      </c>
      <c r="H3047" s="22" t="s">
        <v>1522</v>
      </c>
      <c r="I3047" s="22" t="s">
        <v>583</v>
      </c>
      <c r="J3047" s="26">
        <v>0.18</v>
      </c>
      <c r="K3047" s="26"/>
      <c r="L3047" s="26"/>
      <c r="M3047" s="26"/>
      <c r="N3047" s="26"/>
      <c r="O3047" s="26"/>
      <c r="P3047" s="26"/>
      <c r="Q3047" s="26"/>
      <c r="R3047" s="26"/>
      <c r="S3047" s="26"/>
    </row>
    <row r="3048" spans="1:19" ht="14.25" customHeight="1" x14ac:dyDescent="0.2">
      <c r="A3048" s="1" t="s">
        <v>95</v>
      </c>
      <c r="B3048" s="7">
        <v>46106.989016203705</v>
      </c>
      <c r="C3048" s="7">
        <v>46107.005578703705</v>
      </c>
      <c r="D3048" s="8">
        <v>46107</v>
      </c>
      <c r="E3048" s="9">
        <v>5.5787037053960375E-3</v>
      </c>
      <c r="F3048" s="10" t="s">
        <v>3345</v>
      </c>
      <c r="G3048" s="10" t="s">
        <v>21</v>
      </c>
      <c r="H3048" s="10" t="s">
        <v>97</v>
      </c>
      <c r="I3048" s="10" t="s">
        <v>23</v>
      </c>
      <c r="J3048" s="11">
        <v>1.77</v>
      </c>
      <c r="K3048" s="12"/>
      <c r="L3048" s="12"/>
      <c r="M3048" s="12"/>
      <c r="N3048" s="12"/>
      <c r="O3048" s="12"/>
      <c r="P3048" s="12"/>
      <c r="Q3048" s="12"/>
      <c r="R3048" s="12"/>
      <c r="S3048" s="12"/>
    </row>
    <row r="3049" spans="1:19" ht="14.25" customHeight="1" x14ac:dyDescent="0.2">
      <c r="A3049" s="1" t="s">
        <v>42</v>
      </c>
      <c r="B3049" s="7">
        <v>46106.998287037037</v>
      </c>
      <c r="C3049" s="7">
        <v>46107.005810185183</v>
      </c>
      <c r="D3049" s="8">
        <v>46107</v>
      </c>
      <c r="E3049" s="9">
        <v>5.8101851827814244E-3</v>
      </c>
      <c r="F3049" s="10" t="s">
        <v>3346</v>
      </c>
      <c r="G3049" s="10" t="s">
        <v>44</v>
      </c>
      <c r="H3049" s="10" t="s">
        <v>48</v>
      </c>
      <c r="I3049" s="10" t="s">
        <v>23</v>
      </c>
      <c r="J3049" s="11">
        <v>0.21</v>
      </c>
      <c r="K3049" s="12"/>
      <c r="L3049" s="12"/>
      <c r="M3049" s="12"/>
      <c r="N3049" s="12"/>
      <c r="O3049" s="12"/>
      <c r="P3049" s="12"/>
      <c r="Q3049" s="12"/>
      <c r="R3049" s="12"/>
      <c r="S3049" s="12"/>
    </row>
    <row r="3050" spans="1:19" ht="14.25" customHeight="1" x14ac:dyDescent="0.2">
      <c r="A3050" s="1" t="s">
        <v>19</v>
      </c>
      <c r="B3050" s="7">
        <v>46106.986076388886</v>
      </c>
      <c r="C3050" s="7">
        <v>46107.00681712963</v>
      </c>
      <c r="D3050" s="8">
        <v>46107</v>
      </c>
      <c r="E3050" s="9">
        <v>6.8171296297805384E-3</v>
      </c>
      <c r="F3050" s="10" t="s">
        <v>3347</v>
      </c>
      <c r="G3050" s="10" t="s">
        <v>21</v>
      </c>
      <c r="H3050" s="10" t="s">
        <v>41</v>
      </c>
      <c r="I3050" s="10" t="s">
        <v>23</v>
      </c>
      <c r="J3050" s="11">
        <v>1.77</v>
      </c>
      <c r="K3050" s="12"/>
      <c r="L3050" s="12"/>
      <c r="M3050" s="12"/>
      <c r="N3050" s="12"/>
      <c r="O3050" s="12"/>
      <c r="P3050" s="12"/>
      <c r="Q3050" s="12"/>
      <c r="R3050" s="12"/>
      <c r="S3050" s="12"/>
    </row>
    <row r="3051" spans="1:19" ht="14.25" customHeight="1" x14ac:dyDescent="0.2">
      <c r="A3051" s="1" t="s">
        <v>24</v>
      </c>
      <c r="B3051" s="7">
        <v>46106.990543981483</v>
      </c>
      <c r="C3051" s="7">
        <v>46107.007060185184</v>
      </c>
      <c r="D3051" s="8">
        <v>46107</v>
      </c>
      <c r="E3051" s="9">
        <v>7.0601851839455776E-3</v>
      </c>
      <c r="F3051" s="10" t="s">
        <v>3348</v>
      </c>
      <c r="G3051" s="10" t="s">
        <v>21</v>
      </c>
      <c r="H3051" s="10" t="s">
        <v>22</v>
      </c>
      <c r="I3051" s="10" t="s">
        <v>23</v>
      </c>
      <c r="J3051" s="11">
        <v>0.83</v>
      </c>
      <c r="K3051" s="12"/>
      <c r="L3051" s="12"/>
      <c r="M3051" s="12"/>
      <c r="N3051" s="12"/>
      <c r="O3051" s="12"/>
      <c r="P3051" s="12"/>
      <c r="Q3051" s="12"/>
      <c r="R3051" s="12"/>
      <c r="S3051" s="12"/>
    </row>
    <row r="3052" spans="1:19" ht="14.25" customHeight="1" x14ac:dyDescent="0.2">
      <c r="A3052" s="1" t="s">
        <v>24</v>
      </c>
      <c r="B3052" s="7">
        <v>46106.991886574076</v>
      </c>
      <c r="C3052" s="7">
        <v>46107.008506944447</v>
      </c>
      <c r="D3052" s="8">
        <v>46107</v>
      </c>
      <c r="E3052" s="9">
        <v>8.5069444467080757E-3</v>
      </c>
      <c r="F3052" s="10" t="s">
        <v>3349</v>
      </c>
      <c r="G3052" s="10" t="s">
        <v>21</v>
      </c>
      <c r="H3052" s="10" t="s">
        <v>467</v>
      </c>
      <c r="I3052" s="10" t="s">
        <v>23</v>
      </c>
      <c r="J3052" s="11">
        <v>2.75</v>
      </c>
      <c r="K3052" s="12"/>
      <c r="L3052" s="12"/>
      <c r="M3052" s="12"/>
      <c r="N3052" s="12"/>
      <c r="O3052" s="12"/>
      <c r="P3052" s="12"/>
      <c r="Q3052" s="12"/>
      <c r="R3052" s="12"/>
      <c r="S3052" s="12"/>
    </row>
    <row r="3053" spans="1:19" ht="14.25" customHeight="1" x14ac:dyDescent="0.2">
      <c r="A3053" s="1" t="s">
        <v>95</v>
      </c>
      <c r="B3053" s="7">
        <v>46107.000706018516</v>
      </c>
      <c r="C3053" s="7">
        <v>46107.011990740742</v>
      </c>
      <c r="D3053" s="8">
        <v>46107</v>
      </c>
      <c r="E3053" s="9">
        <v>1.1990740742476191E-2</v>
      </c>
      <c r="F3053" s="10" t="s">
        <v>3350</v>
      </c>
      <c r="G3053" s="10" t="s">
        <v>21</v>
      </c>
      <c r="H3053" s="10" t="s">
        <v>97</v>
      </c>
      <c r="I3053" s="10" t="s">
        <v>23</v>
      </c>
      <c r="J3053" s="11">
        <v>1.77</v>
      </c>
      <c r="K3053" s="12"/>
      <c r="L3053" s="12"/>
      <c r="M3053" s="12"/>
      <c r="N3053" s="12"/>
      <c r="O3053" s="12"/>
      <c r="P3053" s="12"/>
      <c r="Q3053" s="12"/>
      <c r="R3053" s="12"/>
      <c r="S3053" s="12"/>
    </row>
    <row r="3054" spans="1:19" ht="14.25" customHeight="1" x14ac:dyDescent="0.2">
      <c r="A3054" s="22" t="s">
        <v>95</v>
      </c>
      <c r="B3054" s="23">
        <v>46106.989016203705</v>
      </c>
      <c r="C3054" s="23">
        <v>46107.01226851852</v>
      </c>
      <c r="D3054" s="24">
        <v>46107</v>
      </c>
      <c r="E3054" s="25">
        <v>1.226851851970423E-2</v>
      </c>
      <c r="F3054" s="22" t="s">
        <v>3351</v>
      </c>
      <c r="G3054" s="22" t="s">
        <v>21</v>
      </c>
      <c r="H3054" s="22" t="s">
        <v>1382</v>
      </c>
      <c r="I3054" s="22" t="s">
        <v>583</v>
      </c>
      <c r="J3054" s="26">
        <v>1.77</v>
      </c>
      <c r="K3054" s="26"/>
      <c r="L3054" s="26"/>
      <c r="M3054" s="26"/>
      <c r="N3054" s="26"/>
      <c r="O3054" s="26"/>
      <c r="P3054" s="26"/>
      <c r="Q3054" s="26"/>
      <c r="R3054" s="26"/>
      <c r="S3054" s="26"/>
    </row>
    <row r="3055" spans="1:19" ht="14.25" customHeight="1" x14ac:dyDescent="0.2">
      <c r="A3055" s="1" t="s">
        <v>42</v>
      </c>
      <c r="B3055" s="7">
        <v>46106.992615740739</v>
      </c>
      <c r="C3055" s="7">
        <v>46107.025601851848</v>
      </c>
      <c r="D3055" s="8">
        <v>46107</v>
      </c>
      <c r="E3055" s="9">
        <v>2.5601851848477963E-2</v>
      </c>
      <c r="F3055" s="10" t="s">
        <v>3352</v>
      </c>
      <c r="G3055" s="10" t="s">
        <v>26</v>
      </c>
      <c r="H3055" s="10" t="s">
        <v>653</v>
      </c>
      <c r="I3055" s="10" t="s">
        <v>23</v>
      </c>
      <c r="J3055" s="11">
        <v>0.79</v>
      </c>
      <c r="K3055" s="12"/>
      <c r="L3055" s="12"/>
      <c r="M3055" s="12"/>
      <c r="N3055" s="12"/>
      <c r="O3055" s="12"/>
      <c r="P3055" s="12"/>
      <c r="Q3055" s="12"/>
      <c r="R3055" s="12"/>
      <c r="S3055" s="12"/>
    </row>
    <row r="3056" spans="1:19" ht="14.25" customHeight="1" x14ac:dyDescent="0.2">
      <c r="A3056" s="1" t="s">
        <v>95</v>
      </c>
      <c r="B3056" s="7">
        <v>46107.019305555557</v>
      </c>
      <c r="C3056" s="7">
        <v>46107.02753472222</v>
      </c>
      <c r="D3056" s="8">
        <v>46107</v>
      </c>
      <c r="E3056" s="9">
        <v>2.753472221957054E-2</v>
      </c>
      <c r="F3056" s="10" t="s">
        <v>3353</v>
      </c>
      <c r="G3056" s="10" t="s">
        <v>21</v>
      </c>
      <c r="H3056" s="10" t="s">
        <v>3354</v>
      </c>
      <c r="I3056" s="10" t="s">
        <v>23</v>
      </c>
      <c r="J3056" s="11">
        <v>1.82</v>
      </c>
      <c r="K3056" s="12"/>
      <c r="L3056" s="12"/>
      <c r="M3056" s="12"/>
      <c r="N3056" s="12"/>
      <c r="O3056" s="12"/>
      <c r="P3056" s="12"/>
      <c r="Q3056" s="12"/>
      <c r="R3056" s="12"/>
      <c r="S3056" s="12"/>
    </row>
    <row r="3057" spans="1:19" ht="14.25" customHeight="1" x14ac:dyDescent="0.2">
      <c r="A3057" s="1" t="s">
        <v>24</v>
      </c>
      <c r="B3057" s="7">
        <v>46107.01284722222</v>
      </c>
      <c r="C3057" s="7">
        <v>46107.032233796293</v>
      </c>
      <c r="D3057" s="8">
        <v>46107</v>
      </c>
      <c r="E3057" s="9">
        <v>3.2233796293439809E-2</v>
      </c>
      <c r="F3057" s="10" t="s">
        <v>3355</v>
      </c>
      <c r="G3057" s="10" t="s">
        <v>21</v>
      </c>
      <c r="H3057" s="10" t="s">
        <v>54</v>
      </c>
      <c r="I3057" s="10" t="s">
        <v>23</v>
      </c>
      <c r="J3057" s="11">
        <v>0.83</v>
      </c>
      <c r="K3057" s="12"/>
      <c r="L3057" s="12"/>
      <c r="M3057" s="12"/>
      <c r="N3057" s="12"/>
      <c r="O3057" s="12"/>
      <c r="P3057" s="12"/>
      <c r="Q3057" s="12"/>
      <c r="R3057" s="12"/>
      <c r="S3057" s="12"/>
    </row>
    <row r="3058" spans="1:19" ht="14.25" customHeight="1" x14ac:dyDescent="0.2">
      <c r="A3058" s="1" t="s">
        <v>95</v>
      </c>
      <c r="B3058" s="7">
        <v>46107.01189814815</v>
      </c>
      <c r="C3058" s="7">
        <v>46107.035856481481</v>
      </c>
      <c r="D3058" s="8">
        <v>46107</v>
      </c>
      <c r="E3058" s="9">
        <v>3.5856481481459923E-2</v>
      </c>
      <c r="F3058" s="10" t="s">
        <v>3356</v>
      </c>
      <c r="G3058" s="10" t="s">
        <v>21</v>
      </c>
      <c r="H3058" s="10" t="s">
        <v>97</v>
      </c>
      <c r="I3058" s="10" t="s">
        <v>23</v>
      </c>
      <c r="J3058" s="11">
        <v>1.77</v>
      </c>
      <c r="K3058" s="12"/>
      <c r="L3058" s="12"/>
      <c r="M3058" s="12"/>
      <c r="N3058" s="12"/>
      <c r="O3058" s="12"/>
      <c r="P3058" s="12"/>
      <c r="Q3058" s="12"/>
      <c r="R3058" s="12"/>
      <c r="S3058" s="12"/>
    </row>
    <row r="3059" spans="1:19" ht="14.25" customHeight="1" x14ac:dyDescent="0.2">
      <c r="A3059" s="1" t="s">
        <v>95</v>
      </c>
      <c r="B3059" s="7">
        <v>46107.013136574074</v>
      </c>
      <c r="C3059" s="7">
        <v>46107.040729166663</v>
      </c>
      <c r="D3059" s="8">
        <v>46107</v>
      </c>
      <c r="E3059" s="9">
        <v>4.0729166663368233E-2</v>
      </c>
      <c r="F3059" s="10" t="s">
        <v>3357</v>
      </c>
      <c r="G3059" s="10" t="s">
        <v>21</v>
      </c>
      <c r="H3059" s="10" t="s">
        <v>97</v>
      </c>
      <c r="I3059" s="10" t="s">
        <v>23</v>
      </c>
      <c r="J3059" s="11">
        <v>1.77</v>
      </c>
      <c r="K3059" s="12"/>
      <c r="L3059" s="12"/>
      <c r="M3059" s="12"/>
      <c r="N3059" s="12"/>
      <c r="O3059" s="12"/>
      <c r="P3059" s="12"/>
      <c r="Q3059" s="12"/>
      <c r="R3059" s="12"/>
      <c r="S3059" s="12"/>
    </row>
    <row r="3060" spans="1:19" ht="14.25" customHeight="1" x14ac:dyDescent="0.2">
      <c r="A3060" s="1" t="s">
        <v>95</v>
      </c>
      <c r="B3060" s="7">
        <v>46106.995208333334</v>
      </c>
      <c r="C3060" s="7">
        <v>46107.043692129628</v>
      </c>
      <c r="D3060" s="8">
        <v>46107</v>
      </c>
      <c r="E3060" s="9">
        <v>4.369212962774327E-2</v>
      </c>
      <c r="F3060" s="10" t="s">
        <v>3358</v>
      </c>
      <c r="G3060" s="10" t="s">
        <v>21</v>
      </c>
      <c r="H3060" s="10" t="s">
        <v>110</v>
      </c>
      <c r="I3060" s="10" t="s">
        <v>23</v>
      </c>
      <c r="J3060" s="11">
        <v>0.83</v>
      </c>
      <c r="K3060" s="12"/>
      <c r="L3060" s="12">
        <f>SUM(J3060:J3066)</f>
        <v>8.83</v>
      </c>
      <c r="M3060" s="13">
        <f>L3060*65</f>
        <v>573.95000000000005</v>
      </c>
      <c r="N3060" s="14">
        <f>MAX(500,M3060)</f>
        <v>573.95000000000005</v>
      </c>
      <c r="O3060" s="12"/>
      <c r="P3060" s="12"/>
      <c r="Q3060" s="12"/>
      <c r="R3060" s="12"/>
      <c r="S3060" s="12"/>
    </row>
    <row r="3061" spans="1:19" ht="14.25" customHeight="1" x14ac:dyDescent="0.2">
      <c r="A3061" s="1" t="s">
        <v>24</v>
      </c>
      <c r="B3061" s="7">
        <v>46107.028923611113</v>
      </c>
      <c r="C3061" s="7">
        <v>46107.044872685183</v>
      </c>
      <c r="D3061" s="8">
        <v>46107</v>
      </c>
      <c r="E3061" s="9">
        <v>4.4872685182781424E-2</v>
      </c>
      <c r="F3061" s="10" t="s">
        <v>3359</v>
      </c>
      <c r="G3061" s="10" t="s">
        <v>26</v>
      </c>
      <c r="H3061" s="10" t="s">
        <v>86</v>
      </c>
      <c r="I3061" s="10" t="s">
        <v>23</v>
      </c>
      <c r="J3061" s="11">
        <v>0.88</v>
      </c>
      <c r="K3061" s="12"/>
      <c r="L3061" s="12"/>
      <c r="M3061" s="12"/>
      <c r="N3061" s="12"/>
      <c r="O3061" s="12"/>
      <c r="P3061" s="12"/>
      <c r="Q3061" s="12"/>
      <c r="R3061" s="12"/>
      <c r="S3061" s="12"/>
    </row>
    <row r="3062" spans="1:19" ht="14.25" customHeight="1" x14ac:dyDescent="0.2">
      <c r="A3062" s="1" t="s">
        <v>46</v>
      </c>
      <c r="B3062" s="7">
        <v>46107.032847222225</v>
      </c>
      <c r="C3062" s="7">
        <v>46107.05296296296</v>
      </c>
      <c r="D3062" s="8">
        <v>46107</v>
      </c>
      <c r="E3062" s="9">
        <v>5.2962962960009463E-2</v>
      </c>
      <c r="F3062" s="10" t="s">
        <v>3360</v>
      </c>
      <c r="G3062" s="10" t="s">
        <v>21</v>
      </c>
      <c r="H3062" s="10" t="s">
        <v>41</v>
      </c>
      <c r="I3062" s="10" t="s">
        <v>23</v>
      </c>
      <c r="J3062" s="11">
        <v>1.77</v>
      </c>
      <c r="K3062" s="12"/>
      <c r="L3062" s="12"/>
      <c r="M3062" s="12"/>
      <c r="N3062" s="12"/>
      <c r="O3062" s="12"/>
      <c r="P3062" s="12"/>
      <c r="Q3062" s="12"/>
      <c r="R3062" s="12"/>
      <c r="S3062" s="12"/>
    </row>
    <row r="3063" spans="1:19" ht="14.25" customHeight="1" x14ac:dyDescent="0.2">
      <c r="A3063" s="1" t="s">
        <v>95</v>
      </c>
      <c r="B3063" s="7">
        <v>46107.055104166669</v>
      </c>
      <c r="C3063" s="7">
        <v>46107.06523148148</v>
      </c>
      <c r="D3063" s="8">
        <v>46107</v>
      </c>
      <c r="E3063" s="9">
        <v>6.5231481479713693E-2</v>
      </c>
      <c r="F3063" s="10" t="s">
        <v>3361</v>
      </c>
      <c r="G3063" s="10" t="s">
        <v>21</v>
      </c>
      <c r="H3063" s="10" t="s">
        <v>3362</v>
      </c>
      <c r="I3063" s="10" t="s">
        <v>23</v>
      </c>
      <c r="J3063" s="11">
        <v>1.77</v>
      </c>
      <c r="K3063" s="12"/>
      <c r="L3063" s="12"/>
      <c r="M3063" s="12"/>
      <c r="N3063" s="12"/>
      <c r="O3063" s="12"/>
      <c r="P3063" s="12"/>
      <c r="Q3063" s="12"/>
      <c r="R3063" s="12"/>
      <c r="S3063" s="12"/>
    </row>
    <row r="3064" spans="1:19" ht="14.25" customHeight="1" x14ac:dyDescent="0.2">
      <c r="A3064" s="1" t="s">
        <v>57</v>
      </c>
      <c r="B3064" s="7">
        <v>46107.020636574074</v>
      </c>
      <c r="C3064" s="7">
        <v>46107.068865740737</v>
      </c>
      <c r="D3064" s="8">
        <v>46107</v>
      </c>
      <c r="E3064" s="9">
        <v>6.8865740737237502E-2</v>
      </c>
      <c r="F3064" s="10" t="s">
        <v>3363</v>
      </c>
      <c r="G3064" s="10" t="s">
        <v>21</v>
      </c>
      <c r="H3064" s="10" t="s">
        <v>2958</v>
      </c>
      <c r="I3064" s="10" t="s">
        <v>23</v>
      </c>
      <c r="J3064" s="11">
        <v>0.98</v>
      </c>
      <c r="K3064" s="12"/>
      <c r="L3064" s="12"/>
      <c r="M3064" s="12"/>
      <c r="N3064" s="12"/>
      <c r="O3064" s="12"/>
      <c r="P3064" s="12"/>
      <c r="Q3064" s="12"/>
      <c r="R3064" s="12"/>
      <c r="S3064" s="12"/>
    </row>
    <row r="3065" spans="1:19" ht="14.25" customHeight="1" x14ac:dyDescent="0.2">
      <c r="A3065" s="1" t="s">
        <v>95</v>
      </c>
      <c r="B3065" s="7">
        <v>46106.992025462961</v>
      </c>
      <c r="C3065" s="7">
        <v>46107.07340277778</v>
      </c>
      <c r="D3065" s="8">
        <v>46107</v>
      </c>
      <c r="E3065" s="9">
        <v>7.3402777779847383E-2</v>
      </c>
      <c r="F3065" s="10" t="s">
        <v>3364</v>
      </c>
      <c r="G3065" s="10" t="s">
        <v>21</v>
      </c>
      <c r="H3065" s="10" t="s">
        <v>110</v>
      </c>
      <c r="I3065" s="10" t="s">
        <v>23</v>
      </c>
      <c r="J3065" s="11">
        <v>0.83</v>
      </c>
      <c r="K3065" s="12"/>
      <c r="L3065" s="12"/>
      <c r="M3065" s="12"/>
      <c r="N3065" s="12"/>
      <c r="O3065" s="12"/>
      <c r="P3065" s="12"/>
      <c r="Q3065" s="12"/>
      <c r="R3065" s="12"/>
      <c r="S3065" s="12"/>
    </row>
    <row r="3066" spans="1:19" ht="14.25" customHeight="1" x14ac:dyDescent="0.2">
      <c r="A3066" s="1" t="s">
        <v>24</v>
      </c>
      <c r="B3066" s="7">
        <v>46106.982627314814</v>
      </c>
      <c r="C3066" s="7">
        <v>46107.074236111112</v>
      </c>
      <c r="D3066" s="8">
        <v>46107</v>
      </c>
      <c r="E3066" s="9">
        <v>7.42361111115315E-2</v>
      </c>
      <c r="F3066" s="10" t="s">
        <v>3365</v>
      </c>
      <c r="G3066" s="10" t="s">
        <v>21</v>
      </c>
      <c r="H3066" s="10" t="s">
        <v>41</v>
      </c>
      <c r="I3066" s="10" t="s">
        <v>23</v>
      </c>
      <c r="J3066" s="11">
        <v>1.77</v>
      </c>
      <c r="K3066" s="12"/>
      <c r="L3066" s="12"/>
      <c r="M3066" s="12"/>
      <c r="N3066" s="12"/>
      <c r="O3066" s="12"/>
      <c r="P3066" s="12"/>
      <c r="Q3066" s="12"/>
      <c r="R3066" s="12"/>
      <c r="S3066" s="12"/>
    </row>
    <row r="3067" spans="1:19" ht="14.25" customHeight="1" x14ac:dyDescent="0.2">
      <c r="A3067" s="1" t="s">
        <v>33</v>
      </c>
      <c r="B3067" s="7">
        <v>46107.064467592594</v>
      </c>
      <c r="C3067" s="7">
        <v>46107.085300925923</v>
      </c>
      <c r="D3067" s="8">
        <v>46107</v>
      </c>
      <c r="E3067" s="9">
        <v>8.5300925922638271E-2</v>
      </c>
      <c r="F3067" s="10" t="s">
        <v>3366</v>
      </c>
      <c r="G3067" s="10" t="s">
        <v>21</v>
      </c>
      <c r="H3067" s="10" t="s">
        <v>22</v>
      </c>
      <c r="I3067" s="10" t="s">
        <v>23</v>
      </c>
      <c r="J3067" s="11">
        <v>0.83</v>
      </c>
      <c r="K3067" s="12"/>
      <c r="L3067" s="12">
        <f>SUM(J3067:J3088)</f>
        <v>29.599999999999991</v>
      </c>
      <c r="M3067" s="13">
        <f>L3067*65</f>
        <v>1923.9999999999993</v>
      </c>
      <c r="N3067" s="14">
        <f>MAX(500,M3067)</f>
        <v>1923.9999999999993</v>
      </c>
      <c r="O3067" s="12"/>
      <c r="P3067" s="12"/>
      <c r="Q3067" s="12"/>
      <c r="R3067" s="12"/>
      <c r="S3067" s="12"/>
    </row>
    <row r="3068" spans="1:19" ht="14.25" customHeight="1" x14ac:dyDescent="0.2">
      <c r="A3068" s="1" t="s">
        <v>33</v>
      </c>
      <c r="B3068" s="7">
        <v>46107.064467592594</v>
      </c>
      <c r="C3068" s="7">
        <v>46107.087719907409</v>
      </c>
      <c r="D3068" s="8">
        <v>46107</v>
      </c>
      <c r="E3068" s="9">
        <v>8.7719907409336884E-2</v>
      </c>
      <c r="F3068" s="10" t="s">
        <v>3367</v>
      </c>
      <c r="G3068" s="10" t="s">
        <v>21</v>
      </c>
      <c r="H3068" s="10" t="s">
        <v>39</v>
      </c>
      <c r="I3068" s="10" t="s">
        <v>23</v>
      </c>
      <c r="J3068" s="11">
        <v>1.77</v>
      </c>
      <c r="K3068" s="12"/>
      <c r="L3068" s="12"/>
      <c r="M3068" s="12"/>
      <c r="N3068" s="12"/>
      <c r="O3068" s="12"/>
      <c r="P3068" s="12"/>
      <c r="Q3068" s="12"/>
      <c r="R3068" s="12"/>
      <c r="S3068" s="12"/>
    </row>
    <row r="3069" spans="1:19" ht="14.25" customHeight="1" x14ac:dyDescent="0.2">
      <c r="A3069" s="1" t="s">
        <v>33</v>
      </c>
      <c r="B3069" s="7">
        <v>46107.064467592594</v>
      </c>
      <c r="C3069" s="7">
        <v>46107.088842592595</v>
      </c>
      <c r="D3069" s="8">
        <v>46107</v>
      </c>
      <c r="E3069" s="9">
        <v>8.8842592595028691E-2</v>
      </c>
      <c r="F3069" s="10" t="s">
        <v>3368</v>
      </c>
      <c r="G3069" s="10" t="s">
        <v>21</v>
      </c>
      <c r="H3069" s="10" t="s">
        <v>41</v>
      </c>
      <c r="I3069" s="10" t="s">
        <v>23</v>
      </c>
      <c r="J3069" s="11">
        <v>1.77</v>
      </c>
      <c r="K3069" s="12"/>
      <c r="L3069" s="12"/>
      <c r="M3069" s="12"/>
      <c r="N3069" s="12"/>
      <c r="O3069" s="12"/>
      <c r="P3069" s="12"/>
      <c r="Q3069" s="12"/>
      <c r="R3069" s="12"/>
      <c r="S3069" s="12"/>
    </row>
    <row r="3070" spans="1:19" ht="14.25" customHeight="1" x14ac:dyDescent="0.2">
      <c r="A3070" s="1" t="s">
        <v>24</v>
      </c>
      <c r="B3070" s="7">
        <v>46107.069085648145</v>
      </c>
      <c r="C3070" s="7">
        <v>46107.089861111112</v>
      </c>
      <c r="D3070" s="8">
        <v>46107</v>
      </c>
      <c r="E3070" s="9">
        <v>8.98611111115315E-2</v>
      </c>
      <c r="F3070" s="10" t="s">
        <v>3369</v>
      </c>
      <c r="G3070" s="10" t="s">
        <v>26</v>
      </c>
      <c r="H3070" s="10" t="s">
        <v>251</v>
      </c>
      <c r="I3070" s="10" t="s">
        <v>23</v>
      </c>
      <c r="J3070" s="11">
        <v>0.62</v>
      </c>
      <c r="K3070" s="12"/>
      <c r="L3070" s="12"/>
      <c r="M3070" s="12"/>
      <c r="N3070" s="12"/>
      <c r="O3070" s="12"/>
      <c r="P3070" s="12"/>
      <c r="Q3070" s="12"/>
      <c r="R3070" s="12"/>
      <c r="S3070" s="12"/>
    </row>
    <row r="3071" spans="1:19" ht="14.25" customHeight="1" x14ac:dyDescent="0.2">
      <c r="A3071" s="1" t="s">
        <v>33</v>
      </c>
      <c r="B3071" s="7">
        <v>46107.06890046296</v>
      </c>
      <c r="C3071" s="7">
        <v>46107.09034722222</v>
      </c>
      <c r="D3071" s="8">
        <v>46107</v>
      </c>
      <c r="E3071" s="9">
        <v>9.0347222219861578E-2</v>
      </c>
      <c r="F3071" s="10" t="s">
        <v>3370</v>
      </c>
      <c r="G3071" s="10" t="s">
        <v>44</v>
      </c>
      <c r="H3071" s="10" t="s">
        <v>185</v>
      </c>
      <c r="I3071" s="10" t="s">
        <v>23</v>
      </c>
      <c r="J3071" s="11">
        <v>0.18</v>
      </c>
      <c r="K3071" s="12"/>
      <c r="L3071" s="12"/>
      <c r="M3071" s="12"/>
      <c r="N3071" s="12"/>
      <c r="O3071" s="12"/>
      <c r="P3071" s="12"/>
      <c r="Q3071" s="12"/>
      <c r="R3071" s="12"/>
      <c r="S3071" s="12"/>
    </row>
    <row r="3072" spans="1:19" ht="14.25" customHeight="1" x14ac:dyDescent="0.2">
      <c r="A3072" s="1" t="s">
        <v>28</v>
      </c>
      <c r="B3072" s="7">
        <v>46107.079699074071</v>
      </c>
      <c r="C3072" s="7">
        <v>46107.095497685186</v>
      </c>
      <c r="D3072" s="8">
        <v>46107</v>
      </c>
      <c r="E3072" s="9">
        <v>9.5497685186273884E-2</v>
      </c>
      <c r="F3072" s="10" t="s">
        <v>3371</v>
      </c>
      <c r="G3072" s="10" t="s">
        <v>21</v>
      </c>
      <c r="H3072" s="10" t="s">
        <v>41</v>
      </c>
      <c r="I3072" s="10" t="s">
        <v>23</v>
      </c>
      <c r="J3072" s="11">
        <v>1.77</v>
      </c>
      <c r="K3072" s="12"/>
      <c r="L3072" s="12"/>
      <c r="M3072" s="12"/>
      <c r="N3072" s="12"/>
      <c r="O3072" s="12"/>
      <c r="P3072" s="12"/>
      <c r="Q3072" s="12"/>
      <c r="R3072" s="12"/>
      <c r="S3072" s="12"/>
    </row>
    <row r="3073" spans="1:19" ht="14.25" customHeight="1" x14ac:dyDescent="0.2">
      <c r="A3073" s="1" t="s">
        <v>24</v>
      </c>
      <c r="B3073" s="7">
        <v>46107.069374999999</v>
      </c>
      <c r="C3073" s="7">
        <v>46107.096018518518</v>
      </c>
      <c r="D3073" s="8">
        <v>46107</v>
      </c>
      <c r="E3073" s="9">
        <v>9.6018518517666962E-2</v>
      </c>
      <c r="F3073" s="10" t="s">
        <v>3372</v>
      </c>
      <c r="G3073" s="10" t="s">
        <v>21</v>
      </c>
      <c r="H3073" s="10" t="s">
        <v>22</v>
      </c>
      <c r="I3073" s="10" t="s">
        <v>23</v>
      </c>
      <c r="J3073" s="11">
        <v>0.83</v>
      </c>
      <c r="K3073" s="12"/>
      <c r="L3073" s="12"/>
      <c r="M3073" s="12"/>
      <c r="N3073" s="12"/>
      <c r="O3073" s="12"/>
      <c r="P3073" s="12"/>
      <c r="Q3073" s="12"/>
      <c r="R3073" s="12"/>
      <c r="S3073" s="12"/>
    </row>
    <row r="3074" spans="1:19" ht="14.25" customHeight="1" x14ac:dyDescent="0.2">
      <c r="A3074" s="1" t="s">
        <v>19</v>
      </c>
      <c r="B3074" s="7">
        <v>46107.071620370371</v>
      </c>
      <c r="C3074" s="7">
        <v>46107.09648148148</v>
      </c>
      <c r="D3074" s="8">
        <v>46107</v>
      </c>
      <c r="E3074" s="9">
        <v>9.6481481479713693E-2</v>
      </c>
      <c r="F3074" s="10" t="s">
        <v>3373</v>
      </c>
      <c r="G3074" s="10" t="s">
        <v>21</v>
      </c>
      <c r="H3074" s="10" t="s">
        <v>41</v>
      </c>
      <c r="I3074" s="10" t="s">
        <v>23</v>
      </c>
      <c r="J3074" s="11">
        <v>1.77</v>
      </c>
      <c r="K3074" s="12"/>
      <c r="L3074" s="12"/>
      <c r="M3074" s="12"/>
      <c r="N3074" s="12"/>
      <c r="O3074" s="12"/>
      <c r="P3074" s="12"/>
      <c r="Q3074" s="12"/>
      <c r="R3074" s="12"/>
      <c r="S3074" s="12"/>
    </row>
    <row r="3075" spans="1:19" ht="14.25" customHeight="1" x14ac:dyDescent="0.2">
      <c r="A3075" s="1" t="s">
        <v>19</v>
      </c>
      <c r="B3075" s="7">
        <v>46107.084050925929</v>
      </c>
      <c r="C3075" s="7">
        <v>46107.096851851849</v>
      </c>
      <c r="D3075" s="8">
        <v>46107</v>
      </c>
      <c r="E3075" s="9">
        <v>9.6851851849351078E-2</v>
      </c>
      <c r="F3075" s="10" t="s">
        <v>3374</v>
      </c>
      <c r="G3075" s="10" t="s">
        <v>21</v>
      </c>
      <c r="H3075" s="10" t="s">
        <v>39</v>
      </c>
      <c r="I3075" s="10" t="s">
        <v>23</v>
      </c>
      <c r="J3075" s="11">
        <v>1.77</v>
      </c>
      <c r="K3075" s="12"/>
      <c r="L3075" s="12"/>
      <c r="M3075" s="12"/>
      <c r="N3075" s="12"/>
      <c r="O3075" s="12"/>
      <c r="P3075" s="12"/>
      <c r="Q3075" s="12"/>
      <c r="R3075" s="12"/>
      <c r="S3075" s="12"/>
    </row>
    <row r="3076" spans="1:19" ht="14.25" customHeight="1" x14ac:dyDescent="0.2">
      <c r="A3076" s="1" t="s">
        <v>19</v>
      </c>
      <c r="B3076" s="7">
        <v>46107.07916666667</v>
      </c>
      <c r="C3076" s="7">
        <v>46107.097557870373</v>
      </c>
      <c r="D3076" s="8">
        <v>46107</v>
      </c>
      <c r="E3076" s="9">
        <v>9.7557870372838806E-2</v>
      </c>
      <c r="F3076" s="10" t="s">
        <v>3375</v>
      </c>
      <c r="G3076" s="10" t="s">
        <v>21</v>
      </c>
      <c r="H3076" s="10" t="s">
        <v>467</v>
      </c>
      <c r="I3076" s="10" t="s">
        <v>23</v>
      </c>
      <c r="J3076" s="11">
        <v>2.75</v>
      </c>
      <c r="K3076" s="12"/>
      <c r="L3076" s="12"/>
      <c r="M3076" s="12"/>
      <c r="N3076" s="12"/>
      <c r="O3076" s="12"/>
      <c r="P3076" s="12"/>
      <c r="Q3076" s="12"/>
      <c r="R3076" s="12"/>
      <c r="S3076" s="12"/>
    </row>
    <row r="3077" spans="1:19" ht="14.25" customHeight="1" x14ac:dyDescent="0.2">
      <c r="A3077" s="1" t="s">
        <v>24</v>
      </c>
      <c r="B3077" s="7">
        <v>46107.075729166667</v>
      </c>
      <c r="C3077" s="7">
        <v>46107.098055555558</v>
      </c>
      <c r="D3077" s="8">
        <v>46107</v>
      </c>
      <c r="E3077" s="9">
        <v>9.8055555557948537E-2</v>
      </c>
      <c r="F3077" s="10" t="s">
        <v>3376</v>
      </c>
      <c r="G3077" s="10" t="s">
        <v>21</v>
      </c>
      <c r="H3077" s="10" t="s">
        <v>71</v>
      </c>
      <c r="I3077" s="10" t="s">
        <v>23</v>
      </c>
      <c r="J3077" s="11">
        <v>1.05</v>
      </c>
      <c r="K3077" s="12"/>
      <c r="L3077" s="12"/>
      <c r="M3077" s="12"/>
      <c r="N3077" s="12"/>
      <c r="O3077" s="12"/>
      <c r="P3077" s="12"/>
      <c r="Q3077" s="12"/>
      <c r="R3077" s="12"/>
      <c r="S3077" s="12"/>
    </row>
    <row r="3078" spans="1:19" ht="14.25" customHeight="1" x14ac:dyDescent="0.2">
      <c r="A3078" s="1" t="s">
        <v>95</v>
      </c>
      <c r="B3078" s="7">
        <v>46107.087465277778</v>
      </c>
      <c r="C3078" s="7">
        <v>46107.098587962966</v>
      </c>
      <c r="D3078" s="8">
        <v>46107</v>
      </c>
      <c r="E3078" s="9">
        <v>9.8587962966121268E-2</v>
      </c>
      <c r="F3078" s="10" t="s">
        <v>3377</v>
      </c>
      <c r="G3078" s="10" t="s">
        <v>21</v>
      </c>
      <c r="H3078" s="10" t="s">
        <v>108</v>
      </c>
      <c r="I3078" s="10" t="s">
        <v>23</v>
      </c>
      <c r="J3078" s="11">
        <v>1.7</v>
      </c>
      <c r="K3078" s="12"/>
      <c r="L3078" s="12"/>
      <c r="M3078" s="12"/>
      <c r="N3078" s="12"/>
      <c r="O3078" s="12"/>
      <c r="P3078" s="12"/>
      <c r="Q3078" s="12"/>
      <c r="R3078" s="12"/>
      <c r="S3078" s="12"/>
    </row>
    <row r="3079" spans="1:19" ht="14.25" customHeight="1" x14ac:dyDescent="0.2">
      <c r="A3079" s="1" t="s">
        <v>95</v>
      </c>
      <c r="B3079" s="7">
        <v>46107.0934837963</v>
      </c>
      <c r="C3079" s="7">
        <v>46107.099942129629</v>
      </c>
      <c r="D3079" s="8">
        <v>46107</v>
      </c>
      <c r="E3079" s="9">
        <v>9.9942129629198462E-2</v>
      </c>
      <c r="F3079" s="10" t="s">
        <v>3378</v>
      </c>
      <c r="G3079" s="10" t="s">
        <v>21</v>
      </c>
      <c r="H3079" s="10" t="s">
        <v>97</v>
      </c>
      <c r="I3079" s="10" t="s">
        <v>23</v>
      </c>
      <c r="J3079" s="11">
        <v>1.77</v>
      </c>
      <c r="K3079" s="12"/>
      <c r="L3079" s="12"/>
      <c r="M3079" s="12"/>
      <c r="N3079" s="12"/>
      <c r="O3079" s="12"/>
      <c r="P3079" s="12"/>
      <c r="Q3079" s="12"/>
      <c r="R3079" s="12"/>
      <c r="S3079" s="12"/>
    </row>
    <row r="3080" spans="1:19" ht="14.25" customHeight="1" x14ac:dyDescent="0.2">
      <c r="A3080" s="1" t="s">
        <v>95</v>
      </c>
      <c r="B3080" s="7">
        <v>46107.048611111109</v>
      </c>
      <c r="C3080" s="7">
        <v>46107.100254629629</v>
      </c>
      <c r="D3080" s="8">
        <v>46107</v>
      </c>
      <c r="E3080" s="9">
        <v>0.1002546296294895</v>
      </c>
      <c r="F3080" s="10" t="s">
        <v>3379</v>
      </c>
      <c r="G3080" s="10" t="s">
        <v>21</v>
      </c>
      <c r="H3080" s="10" t="s">
        <v>110</v>
      </c>
      <c r="I3080" s="10" t="s">
        <v>23</v>
      </c>
      <c r="J3080" s="11">
        <v>0.83</v>
      </c>
      <c r="K3080" s="12"/>
      <c r="L3080" s="12"/>
      <c r="M3080" s="12"/>
      <c r="N3080" s="12"/>
      <c r="O3080" s="12"/>
      <c r="P3080" s="12"/>
      <c r="Q3080" s="12"/>
      <c r="R3080" s="12"/>
      <c r="S3080" s="12"/>
    </row>
    <row r="3081" spans="1:19" ht="14.25" customHeight="1" x14ac:dyDescent="0.2">
      <c r="A3081" s="1" t="s">
        <v>46</v>
      </c>
      <c r="B3081" s="7">
        <v>46107.082962962966</v>
      </c>
      <c r="C3081" s="7">
        <v>46107.100474537037</v>
      </c>
      <c r="D3081" s="8">
        <v>46107</v>
      </c>
      <c r="E3081" s="9">
        <v>0.10047453703737119</v>
      </c>
      <c r="F3081" s="10" t="s">
        <v>3380</v>
      </c>
      <c r="G3081" s="10" t="s">
        <v>21</v>
      </c>
      <c r="H3081" s="10" t="s">
        <v>22</v>
      </c>
      <c r="I3081" s="10" t="s">
        <v>23</v>
      </c>
      <c r="J3081" s="11">
        <v>0.83</v>
      </c>
      <c r="K3081" s="12"/>
      <c r="L3081" s="12"/>
      <c r="M3081" s="12"/>
      <c r="N3081" s="12"/>
      <c r="O3081" s="12"/>
      <c r="P3081" s="12"/>
      <c r="Q3081" s="12"/>
      <c r="R3081" s="12"/>
      <c r="S3081" s="12"/>
    </row>
    <row r="3082" spans="1:19" ht="14.25" customHeight="1" x14ac:dyDescent="0.2">
      <c r="A3082" s="1" t="s">
        <v>46</v>
      </c>
      <c r="B3082" s="7">
        <v>46107.086701388886</v>
      </c>
      <c r="C3082" s="7">
        <v>46107.100682870368</v>
      </c>
      <c r="D3082" s="8">
        <v>46107</v>
      </c>
      <c r="E3082" s="9">
        <v>0.10068287036847323</v>
      </c>
      <c r="F3082" s="10" t="s">
        <v>3381</v>
      </c>
      <c r="G3082" s="10" t="s">
        <v>21</v>
      </c>
      <c r="H3082" s="10" t="s">
        <v>52</v>
      </c>
      <c r="I3082" s="10" t="s">
        <v>23</v>
      </c>
      <c r="J3082" s="11">
        <v>0.98</v>
      </c>
      <c r="K3082" s="12"/>
      <c r="L3082" s="12"/>
      <c r="M3082" s="12"/>
      <c r="N3082" s="12"/>
      <c r="O3082" s="12"/>
      <c r="P3082" s="12"/>
      <c r="Q3082" s="12"/>
      <c r="R3082" s="12"/>
      <c r="S3082" s="12"/>
    </row>
    <row r="3083" spans="1:19" ht="14.25" customHeight="1" x14ac:dyDescent="0.2">
      <c r="A3083" s="1" t="s">
        <v>42</v>
      </c>
      <c r="B3083" s="7">
        <v>46107.07980324074</v>
      </c>
      <c r="C3083" s="7">
        <v>46107.10533564815</v>
      </c>
      <c r="D3083" s="8">
        <v>46107</v>
      </c>
      <c r="E3083" s="9">
        <v>0.10533564814977581</v>
      </c>
      <c r="F3083" s="10" t="s">
        <v>3382</v>
      </c>
      <c r="G3083" s="10" t="s">
        <v>26</v>
      </c>
      <c r="H3083" s="10" t="s">
        <v>125</v>
      </c>
      <c r="I3083" s="10" t="s">
        <v>23</v>
      </c>
      <c r="J3083" s="11">
        <v>0.63</v>
      </c>
      <c r="K3083" s="12"/>
      <c r="L3083" s="12"/>
      <c r="M3083" s="12"/>
      <c r="N3083" s="12"/>
      <c r="O3083" s="12"/>
      <c r="P3083" s="12"/>
      <c r="Q3083" s="12"/>
      <c r="R3083" s="12"/>
      <c r="S3083" s="12"/>
    </row>
    <row r="3084" spans="1:19" ht="14.25" customHeight="1" x14ac:dyDescent="0.2">
      <c r="A3084" s="1" t="s">
        <v>24</v>
      </c>
      <c r="B3084" s="7">
        <v>46107.090775462966</v>
      </c>
      <c r="C3084" s="7">
        <v>46107.1094212963</v>
      </c>
      <c r="D3084" s="8">
        <v>46107</v>
      </c>
      <c r="E3084" s="9">
        <v>0.10942129629984265</v>
      </c>
      <c r="F3084" s="10" t="s">
        <v>3383</v>
      </c>
      <c r="G3084" s="10" t="s">
        <v>21</v>
      </c>
      <c r="H3084" s="10" t="s">
        <v>39</v>
      </c>
      <c r="I3084" s="10" t="s">
        <v>23</v>
      </c>
      <c r="J3084" s="11">
        <v>1.77</v>
      </c>
      <c r="K3084" s="12"/>
      <c r="L3084" s="12"/>
      <c r="M3084" s="12"/>
      <c r="N3084" s="12"/>
      <c r="O3084" s="12"/>
      <c r="P3084" s="12"/>
      <c r="Q3084" s="12"/>
      <c r="R3084" s="12"/>
      <c r="S3084" s="12"/>
    </row>
    <row r="3085" spans="1:19" ht="14.25" customHeight="1" x14ac:dyDescent="0.2">
      <c r="A3085" s="1" t="s">
        <v>95</v>
      </c>
      <c r="B3085" s="7">
        <v>46107.103518518517</v>
      </c>
      <c r="C3085" s="7">
        <v>46107.113402777781</v>
      </c>
      <c r="D3085" s="8">
        <v>46107</v>
      </c>
      <c r="E3085" s="9">
        <v>0.1134027777807205</v>
      </c>
      <c r="F3085" s="10" t="s">
        <v>3384</v>
      </c>
      <c r="G3085" s="10" t="s">
        <v>21</v>
      </c>
      <c r="H3085" s="10" t="s">
        <v>97</v>
      </c>
      <c r="I3085" s="10" t="s">
        <v>23</v>
      </c>
      <c r="J3085" s="11">
        <v>1.77</v>
      </c>
      <c r="K3085" s="12"/>
      <c r="L3085" s="12"/>
      <c r="M3085" s="12"/>
      <c r="N3085" s="12"/>
      <c r="O3085" s="12"/>
      <c r="P3085" s="12"/>
      <c r="Q3085" s="12"/>
      <c r="R3085" s="12"/>
      <c r="S3085" s="12"/>
    </row>
    <row r="3086" spans="1:19" ht="14.25" customHeight="1" x14ac:dyDescent="0.2">
      <c r="A3086" s="1" t="s">
        <v>24</v>
      </c>
      <c r="B3086" s="7">
        <v>46107.103344907409</v>
      </c>
      <c r="C3086" s="7">
        <v>46107.118576388886</v>
      </c>
      <c r="D3086" s="8">
        <v>46107</v>
      </c>
      <c r="E3086" s="9">
        <v>0.11857638888614019</v>
      </c>
      <c r="F3086" s="10" t="s">
        <v>3385</v>
      </c>
      <c r="G3086" s="10" t="s">
        <v>26</v>
      </c>
      <c r="H3086" s="10" t="s">
        <v>37</v>
      </c>
      <c r="I3086" s="10" t="s">
        <v>23</v>
      </c>
      <c r="J3086" s="11">
        <v>0.88</v>
      </c>
      <c r="K3086" s="12"/>
      <c r="L3086" s="12"/>
      <c r="M3086" s="12"/>
      <c r="N3086" s="12"/>
      <c r="O3086" s="12"/>
      <c r="P3086" s="12"/>
      <c r="Q3086" s="12"/>
      <c r="R3086" s="12"/>
      <c r="S3086" s="12"/>
    </row>
    <row r="3087" spans="1:19" ht="14.25" customHeight="1" x14ac:dyDescent="0.2">
      <c r="A3087" s="1" t="s">
        <v>33</v>
      </c>
      <c r="B3087" s="7">
        <v>46107.100173611114</v>
      </c>
      <c r="C3087" s="7">
        <v>46107.118946759256</v>
      </c>
      <c r="D3087" s="8">
        <v>46107</v>
      </c>
      <c r="E3087" s="9">
        <v>0.11894675925577758</v>
      </c>
      <c r="F3087" s="10" t="s">
        <v>3386</v>
      </c>
      <c r="G3087" s="10" t="s">
        <v>21</v>
      </c>
      <c r="H3087" s="10" t="s">
        <v>22</v>
      </c>
      <c r="I3087" s="10" t="s">
        <v>23</v>
      </c>
      <c r="J3087" s="11">
        <v>0.83</v>
      </c>
      <c r="K3087" s="12"/>
      <c r="L3087" s="12"/>
      <c r="M3087" s="12"/>
      <c r="N3087" s="12"/>
      <c r="O3087" s="12"/>
      <c r="P3087" s="12"/>
      <c r="Q3087" s="12"/>
      <c r="R3087" s="12"/>
      <c r="S3087" s="12"/>
    </row>
    <row r="3088" spans="1:19" ht="14.25" customHeight="1" x14ac:dyDescent="0.2">
      <c r="A3088" s="1" t="s">
        <v>33</v>
      </c>
      <c r="B3088" s="7">
        <v>46107.100173611114</v>
      </c>
      <c r="C3088" s="7">
        <v>46107.124861111108</v>
      </c>
      <c r="D3088" s="8">
        <v>46107</v>
      </c>
      <c r="E3088" s="9">
        <v>0.124861111107748</v>
      </c>
      <c r="F3088" s="10" t="s">
        <v>3387</v>
      </c>
      <c r="G3088" s="10" t="s">
        <v>21</v>
      </c>
      <c r="H3088" s="10" t="s">
        <v>281</v>
      </c>
      <c r="I3088" s="10" t="s">
        <v>23</v>
      </c>
      <c r="J3088" s="11">
        <v>2.5</v>
      </c>
      <c r="K3088" s="12"/>
      <c r="L3088" s="12"/>
      <c r="M3088" s="12"/>
      <c r="N3088" s="12"/>
      <c r="O3088" s="12"/>
      <c r="P3088" s="12"/>
      <c r="Q3088" s="12"/>
      <c r="R3088" s="12"/>
      <c r="S3088" s="12"/>
    </row>
    <row r="3089" spans="1:19" ht="14.25" customHeight="1" x14ac:dyDescent="0.2">
      <c r="A3089" s="1" t="s">
        <v>57</v>
      </c>
      <c r="B3089" s="7">
        <v>46107.114722222221</v>
      </c>
      <c r="C3089" s="7">
        <v>46107.131793981483</v>
      </c>
      <c r="D3089" s="8">
        <v>46107</v>
      </c>
      <c r="E3089" s="9">
        <v>0.13179398148349719</v>
      </c>
      <c r="F3089" s="10" t="s">
        <v>3388</v>
      </c>
      <c r="G3089" s="10" t="s">
        <v>21</v>
      </c>
      <c r="H3089" s="10" t="s">
        <v>303</v>
      </c>
      <c r="I3089" s="10" t="s">
        <v>23</v>
      </c>
      <c r="J3089" s="11">
        <v>1.77</v>
      </c>
      <c r="K3089" s="12">
        <f>SUM(J3089:J3121)</f>
        <v>43.070000000000007</v>
      </c>
      <c r="L3089" s="12">
        <f>SUM(J3089:J3102)</f>
        <v>18.849999999999998</v>
      </c>
      <c r="M3089" s="13">
        <f>L3089*65</f>
        <v>1225.2499999999998</v>
      </c>
      <c r="N3089" s="14">
        <f>MAX(500,M3089)</f>
        <v>1225.2499999999998</v>
      </c>
      <c r="O3089" s="12"/>
      <c r="P3089" s="12"/>
      <c r="Q3089" s="12"/>
      <c r="R3089" s="12"/>
      <c r="S3089" s="12"/>
    </row>
    <row r="3090" spans="1:19" ht="14.25" customHeight="1" x14ac:dyDescent="0.2">
      <c r="A3090" s="1" t="s">
        <v>42</v>
      </c>
      <c r="B3090" s="7">
        <v>46107.09920138889</v>
      </c>
      <c r="C3090" s="7">
        <v>46107.132534722223</v>
      </c>
      <c r="D3090" s="8">
        <v>46107</v>
      </c>
      <c r="E3090" s="9">
        <v>0.13253472222277196</v>
      </c>
      <c r="F3090" s="10" t="s">
        <v>3389</v>
      </c>
      <c r="G3090" s="10" t="s">
        <v>26</v>
      </c>
      <c r="H3090" s="10" t="s">
        <v>56</v>
      </c>
      <c r="I3090" s="10" t="s">
        <v>23</v>
      </c>
      <c r="J3090" s="11">
        <v>0.73</v>
      </c>
      <c r="K3090" s="12"/>
      <c r="L3090" s="12"/>
      <c r="M3090" s="12"/>
      <c r="N3090" s="12"/>
      <c r="O3090" s="12"/>
      <c r="P3090" s="12"/>
      <c r="Q3090" s="12"/>
      <c r="R3090" s="12"/>
      <c r="S3090" s="12"/>
    </row>
    <row r="3091" spans="1:19" ht="14.25" customHeight="1" x14ac:dyDescent="0.2">
      <c r="A3091" s="1" t="s">
        <v>24</v>
      </c>
      <c r="B3091" s="7">
        <v>46107.11991898148</v>
      </c>
      <c r="C3091" s="7">
        <v>46107.132777777777</v>
      </c>
      <c r="D3091" s="8">
        <v>46107</v>
      </c>
      <c r="E3091" s="9">
        <v>0.132777777776937</v>
      </c>
      <c r="F3091" s="10" t="s">
        <v>3390</v>
      </c>
      <c r="G3091" s="10" t="s">
        <v>26</v>
      </c>
      <c r="H3091" s="10" t="s">
        <v>202</v>
      </c>
      <c r="I3091" s="10" t="s">
        <v>23</v>
      </c>
      <c r="J3091" s="11">
        <v>0.57999999999999996</v>
      </c>
      <c r="K3091" s="12"/>
      <c r="L3091" s="12"/>
      <c r="M3091" s="12"/>
      <c r="N3091" s="12"/>
      <c r="O3091" s="12"/>
      <c r="P3091" s="12"/>
      <c r="Q3091" s="12"/>
      <c r="R3091" s="12"/>
      <c r="S3091" s="12"/>
    </row>
    <row r="3092" spans="1:19" ht="14.25" customHeight="1" x14ac:dyDescent="0.2">
      <c r="A3092" s="1" t="s">
        <v>19</v>
      </c>
      <c r="B3092" s="7">
        <v>46107.117858796293</v>
      </c>
      <c r="C3092" s="7">
        <v>46107.133263888885</v>
      </c>
      <c r="D3092" s="8">
        <v>46107</v>
      </c>
      <c r="E3092" s="9">
        <v>0.13326388888526708</v>
      </c>
      <c r="F3092" s="10" t="s">
        <v>3391</v>
      </c>
      <c r="G3092" s="10" t="s">
        <v>21</v>
      </c>
      <c r="H3092" s="10" t="s">
        <v>101</v>
      </c>
      <c r="I3092" s="10" t="s">
        <v>23</v>
      </c>
      <c r="J3092" s="11">
        <v>1.7</v>
      </c>
      <c r="K3092" s="12"/>
      <c r="L3092" s="12"/>
      <c r="M3092" s="12"/>
      <c r="N3092" s="12"/>
      <c r="O3092" s="12"/>
      <c r="P3092" s="12"/>
      <c r="Q3092" s="12"/>
      <c r="R3092" s="12"/>
      <c r="S3092" s="12"/>
    </row>
    <row r="3093" spans="1:19" ht="14.25" customHeight="1" x14ac:dyDescent="0.2">
      <c r="A3093" s="1" t="s">
        <v>19</v>
      </c>
      <c r="B3093" s="7">
        <v>46107.12804398148</v>
      </c>
      <c r="C3093" s="7">
        <v>46107.138831018521</v>
      </c>
      <c r="D3093" s="8">
        <v>46107</v>
      </c>
      <c r="E3093" s="9">
        <v>0.13883101852115942</v>
      </c>
      <c r="F3093" s="10" t="s">
        <v>3392</v>
      </c>
      <c r="G3093" s="10" t="s">
        <v>21</v>
      </c>
      <c r="H3093" s="10" t="s">
        <v>22</v>
      </c>
      <c r="I3093" s="10" t="s">
        <v>23</v>
      </c>
      <c r="J3093" s="11">
        <v>0.83</v>
      </c>
      <c r="K3093" s="12"/>
      <c r="L3093" s="12"/>
      <c r="M3093" s="12"/>
      <c r="N3093" s="12"/>
      <c r="O3093" s="12"/>
      <c r="P3093" s="12"/>
      <c r="Q3093" s="12"/>
      <c r="R3093" s="12"/>
      <c r="S3093" s="12"/>
    </row>
    <row r="3094" spans="1:19" ht="14.25" customHeight="1" x14ac:dyDescent="0.2">
      <c r="A3094" s="1" t="s">
        <v>57</v>
      </c>
      <c r="B3094" s="7">
        <v>46107.129826388889</v>
      </c>
      <c r="C3094" s="7">
        <v>46107.139409722222</v>
      </c>
      <c r="D3094" s="8">
        <v>46107</v>
      </c>
      <c r="E3094" s="9">
        <v>0.13940972222189885</v>
      </c>
      <c r="F3094" s="10" t="s">
        <v>3393</v>
      </c>
      <c r="G3094" s="10" t="s">
        <v>21</v>
      </c>
      <c r="H3094" s="10" t="s">
        <v>687</v>
      </c>
      <c r="I3094" s="10" t="s">
        <v>23</v>
      </c>
      <c r="J3094" s="11">
        <v>1.7</v>
      </c>
      <c r="K3094" s="12"/>
      <c r="L3094" s="12"/>
      <c r="M3094" s="12"/>
      <c r="N3094" s="12"/>
      <c r="O3094" s="12"/>
      <c r="P3094" s="12"/>
      <c r="Q3094" s="12"/>
      <c r="R3094" s="12"/>
      <c r="S3094" s="12"/>
    </row>
    <row r="3095" spans="1:19" ht="14.25" customHeight="1" x14ac:dyDescent="0.2">
      <c r="A3095" s="1" t="s">
        <v>19</v>
      </c>
      <c r="B3095" s="7">
        <v>46107.127847222226</v>
      </c>
      <c r="C3095" s="7">
        <v>46107.144837962966</v>
      </c>
      <c r="D3095" s="8">
        <v>46107</v>
      </c>
      <c r="E3095" s="9">
        <v>0.14483796296553919</v>
      </c>
      <c r="F3095" s="10" t="s">
        <v>3394</v>
      </c>
      <c r="G3095" s="10" t="s">
        <v>21</v>
      </c>
      <c r="H3095" s="10" t="s">
        <v>41</v>
      </c>
      <c r="I3095" s="10" t="s">
        <v>23</v>
      </c>
      <c r="J3095" s="11">
        <v>1.77</v>
      </c>
      <c r="K3095" s="12"/>
      <c r="L3095" s="12"/>
      <c r="M3095" s="12"/>
      <c r="N3095" s="12"/>
      <c r="O3095" s="12"/>
      <c r="P3095" s="12"/>
      <c r="Q3095" s="12"/>
      <c r="R3095" s="12"/>
      <c r="S3095" s="12"/>
    </row>
    <row r="3096" spans="1:19" ht="14.25" customHeight="1" x14ac:dyDescent="0.2">
      <c r="A3096" s="1" t="s">
        <v>24</v>
      </c>
      <c r="B3096" s="7">
        <v>46107.121805555558</v>
      </c>
      <c r="C3096" s="7">
        <v>46107.145486111112</v>
      </c>
      <c r="D3096" s="8">
        <v>46107</v>
      </c>
      <c r="E3096" s="9">
        <v>0.14548611111240461</v>
      </c>
      <c r="F3096" s="10" t="s">
        <v>3395</v>
      </c>
      <c r="G3096" s="10" t="s">
        <v>21</v>
      </c>
      <c r="H3096" s="10" t="s">
        <v>41</v>
      </c>
      <c r="I3096" s="10" t="s">
        <v>23</v>
      </c>
      <c r="J3096" s="11">
        <v>1.77</v>
      </c>
      <c r="K3096" s="12"/>
      <c r="L3096" s="12"/>
      <c r="M3096" s="12"/>
      <c r="N3096" s="12"/>
      <c r="O3096" s="12"/>
      <c r="P3096" s="12"/>
      <c r="Q3096" s="12"/>
      <c r="R3096" s="12"/>
      <c r="S3096" s="12"/>
    </row>
    <row r="3097" spans="1:19" ht="14.25" customHeight="1" x14ac:dyDescent="0.2">
      <c r="A3097" s="1" t="s">
        <v>24</v>
      </c>
      <c r="B3097" s="7">
        <v>46107.128217592595</v>
      </c>
      <c r="C3097" s="7">
        <v>46107.146273148152</v>
      </c>
      <c r="D3097" s="8">
        <v>46107</v>
      </c>
      <c r="E3097" s="9">
        <v>0.14627314815152204</v>
      </c>
      <c r="F3097" s="10" t="s">
        <v>3396</v>
      </c>
      <c r="G3097" s="10" t="s">
        <v>21</v>
      </c>
      <c r="H3097" s="10" t="s">
        <v>41</v>
      </c>
      <c r="I3097" s="10" t="s">
        <v>23</v>
      </c>
      <c r="J3097" s="11">
        <v>1.77</v>
      </c>
      <c r="K3097" s="12"/>
      <c r="L3097" s="12"/>
      <c r="M3097" s="12"/>
      <c r="N3097" s="12"/>
      <c r="O3097" s="12"/>
      <c r="P3097" s="12"/>
      <c r="Q3097" s="12"/>
      <c r="R3097" s="12"/>
      <c r="S3097" s="12"/>
    </row>
    <row r="3098" spans="1:19" ht="14.25" customHeight="1" x14ac:dyDescent="0.2">
      <c r="A3098" s="1" t="s">
        <v>24</v>
      </c>
      <c r="B3098" s="7">
        <v>46107.134351851855</v>
      </c>
      <c r="C3098" s="7">
        <v>46107.15011574074</v>
      </c>
      <c r="D3098" s="8">
        <v>46107</v>
      </c>
      <c r="E3098" s="9">
        <v>0.15011574074014788</v>
      </c>
      <c r="F3098" s="10" t="s">
        <v>3397</v>
      </c>
      <c r="G3098" s="10" t="s">
        <v>21</v>
      </c>
      <c r="H3098" s="10" t="s">
        <v>39</v>
      </c>
      <c r="I3098" s="10" t="s">
        <v>23</v>
      </c>
      <c r="J3098" s="11">
        <v>1.77</v>
      </c>
      <c r="K3098" s="12"/>
      <c r="L3098" s="12"/>
      <c r="M3098" s="12"/>
      <c r="N3098" s="12"/>
      <c r="O3098" s="12"/>
      <c r="P3098" s="12"/>
      <c r="Q3098" s="12"/>
      <c r="R3098" s="12"/>
      <c r="S3098" s="12"/>
    </row>
    <row r="3099" spans="1:19" ht="14.25" customHeight="1" x14ac:dyDescent="0.2">
      <c r="A3099" s="1" t="s">
        <v>95</v>
      </c>
      <c r="B3099" s="7">
        <v>46107.140370370369</v>
      </c>
      <c r="C3099" s="7">
        <v>46107.154386574075</v>
      </c>
      <c r="D3099" s="8">
        <v>46107</v>
      </c>
      <c r="E3099" s="9">
        <v>0.15438657407503342</v>
      </c>
      <c r="F3099" s="10" t="s">
        <v>3398</v>
      </c>
      <c r="G3099" s="10" t="s">
        <v>21</v>
      </c>
      <c r="H3099" s="10" t="s">
        <v>110</v>
      </c>
      <c r="I3099" s="10" t="s">
        <v>23</v>
      </c>
      <c r="J3099" s="11">
        <v>0.83</v>
      </c>
      <c r="K3099" s="12"/>
      <c r="L3099" s="12"/>
      <c r="M3099" s="12"/>
      <c r="N3099" s="12"/>
      <c r="O3099" s="12"/>
      <c r="P3099" s="12"/>
      <c r="Q3099" s="12"/>
      <c r="R3099" s="12"/>
      <c r="S3099" s="12"/>
    </row>
    <row r="3100" spans="1:19" ht="14.25" customHeight="1" x14ac:dyDescent="0.2">
      <c r="A3100" s="1" t="s">
        <v>57</v>
      </c>
      <c r="B3100" s="7">
        <v>46107.007708333331</v>
      </c>
      <c r="C3100" s="7">
        <v>46107.16265046296</v>
      </c>
      <c r="D3100" s="8">
        <v>46107</v>
      </c>
      <c r="E3100" s="9">
        <v>0.1626504629603005</v>
      </c>
      <c r="F3100" s="10" t="s">
        <v>3399</v>
      </c>
      <c r="G3100" s="10" t="s">
        <v>21</v>
      </c>
      <c r="H3100" s="10" t="s">
        <v>3219</v>
      </c>
      <c r="I3100" s="10" t="s">
        <v>23</v>
      </c>
      <c r="J3100" s="11">
        <v>0.98</v>
      </c>
      <c r="K3100" s="12"/>
      <c r="L3100" s="12"/>
      <c r="M3100" s="12"/>
      <c r="N3100" s="12"/>
      <c r="O3100" s="12"/>
      <c r="P3100" s="12"/>
      <c r="Q3100" s="12"/>
      <c r="R3100" s="12"/>
      <c r="S3100" s="12"/>
    </row>
    <row r="3101" spans="1:19" ht="14.25" customHeight="1" x14ac:dyDescent="0.2">
      <c r="A3101" s="1" t="s">
        <v>24</v>
      </c>
      <c r="B3101" s="7">
        <v>46107.145173611112</v>
      </c>
      <c r="C3101" s="7">
        <v>46107.162835648145</v>
      </c>
      <c r="D3101" s="8">
        <v>46107</v>
      </c>
      <c r="E3101" s="9">
        <v>0.16283564814511919</v>
      </c>
      <c r="F3101" s="10" t="s">
        <v>3400</v>
      </c>
      <c r="G3101" s="10" t="s">
        <v>26</v>
      </c>
      <c r="H3101" s="10" t="s">
        <v>315</v>
      </c>
      <c r="I3101" s="10" t="s">
        <v>23</v>
      </c>
      <c r="J3101" s="11">
        <v>0.88</v>
      </c>
      <c r="K3101" s="12"/>
      <c r="L3101" s="12"/>
      <c r="M3101" s="12"/>
      <c r="N3101" s="12"/>
      <c r="O3101" s="12"/>
      <c r="P3101" s="12"/>
      <c r="Q3101" s="12"/>
      <c r="R3101" s="12"/>
      <c r="S3101" s="12"/>
    </row>
    <row r="3102" spans="1:19" ht="14.25" customHeight="1" x14ac:dyDescent="0.2">
      <c r="A3102" s="1" t="s">
        <v>42</v>
      </c>
      <c r="B3102" s="7">
        <v>46107.141898148147</v>
      </c>
      <c r="C3102" s="7">
        <v>46107.163472222222</v>
      </c>
      <c r="D3102" s="8">
        <v>46107</v>
      </c>
      <c r="E3102" s="9">
        <v>0.16347222222248092</v>
      </c>
      <c r="F3102" s="10" t="s">
        <v>3401</v>
      </c>
      <c r="G3102" s="10" t="s">
        <v>21</v>
      </c>
      <c r="H3102" s="10" t="s">
        <v>97</v>
      </c>
      <c r="I3102" s="10" t="s">
        <v>23</v>
      </c>
      <c r="J3102" s="11">
        <v>1.77</v>
      </c>
      <c r="K3102" s="12"/>
      <c r="L3102" s="12"/>
      <c r="M3102" s="12"/>
      <c r="N3102" s="12"/>
      <c r="O3102" s="12"/>
      <c r="P3102" s="12"/>
      <c r="Q3102" s="12"/>
      <c r="R3102" s="12"/>
      <c r="S3102" s="12"/>
    </row>
    <row r="3103" spans="1:19" ht="14.25" customHeight="1" x14ac:dyDescent="0.2">
      <c r="A3103" s="1" t="s">
        <v>19</v>
      </c>
      <c r="B3103" s="7">
        <v>46107.151238425926</v>
      </c>
      <c r="C3103" s="7">
        <v>46107.167500000003</v>
      </c>
      <c r="D3103" s="8">
        <v>46107</v>
      </c>
      <c r="E3103" s="9">
        <v>0.16750000000320142</v>
      </c>
      <c r="F3103" s="10" t="s">
        <v>3402</v>
      </c>
      <c r="G3103" s="10" t="s">
        <v>21</v>
      </c>
      <c r="H3103" s="10" t="s">
        <v>22</v>
      </c>
      <c r="I3103" s="10" t="s">
        <v>23</v>
      </c>
      <c r="J3103" s="11">
        <v>0.83</v>
      </c>
      <c r="K3103" s="12"/>
      <c r="L3103" s="12">
        <f>SUM(J3103:J3113)</f>
        <v>13.479999999999999</v>
      </c>
      <c r="M3103" s="13">
        <f>L3103*65</f>
        <v>876.19999999999993</v>
      </c>
      <c r="N3103" s="14">
        <f>MAX(500,M3103)</f>
        <v>876.19999999999993</v>
      </c>
      <c r="O3103" s="12"/>
      <c r="P3103" s="12"/>
      <c r="Q3103" s="12"/>
      <c r="R3103" s="12"/>
      <c r="S3103" s="12"/>
    </row>
    <row r="3104" spans="1:19" ht="14.25" customHeight="1" x14ac:dyDescent="0.2">
      <c r="A3104" s="1" t="s">
        <v>19</v>
      </c>
      <c r="B3104" s="7">
        <v>46107.151250000003</v>
      </c>
      <c r="C3104" s="7">
        <v>46107.16814814815</v>
      </c>
      <c r="D3104" s="8">
        <v>46107</v>
      </c>
      <c r="E3104" s="9">
        <v>0.16814814815006685</v>
      </c>
      <c r="F3104" s="10" t="s">
        <v>3403</v>
      </c>
      <c r="G3104" s="10" t="s">
        <v>21</v>
      </c>
      <c r="H3104" s="10" t="s">
        <v>52</v>
      </c>
      <c r="I3104" s="10" t="s">
        <v>23</v>
      </c>
      <c r="J3104" s="11">
        <v>0.98</v>
      </c>
      <c r="K3104" s="12"/>
      <c r="L3104" s="12"/>
      <c r="M3104" s="12"/>
      <c r="N3104" s="12"/>
      <c r="O3104" s="12"/>
      <c r="P3104" s="12"/>
      <c r="Q3104" s="12"/>
      <c r="R3104" s="12"/>
      <c r="S3104" s="12"/>
    </row>
    <row r="3105" spans="1:19" ht="14.25" customHeight="1" x14ac:dyDescent="0.2">
      <c r="A3105" s="1" t="s">
        <v>33</v>
      </c>
      <c r="B3105" s="7">
        <v>46107.168298611112</v>
      </c>
      <c r="C3105" s="7">
        <v>46107.17359953704</v>
      </c>
      <c r="D3105" s="8">
        <v>46107</v>
      </c>
      <c r="E3105" s="9">
        <v>0.17359953703999054</v>
      </c>
      <c r="F3105" s="10" t="s">
        <v>3404</v>
      </c>
      <c r="G3105" s="10" t="s">
        <v>44</v>
      </c>
      <c r="H3105" s="10" t="s">
        <v>185</v>
      </c>
      <c r="I3105" s="10" t="s">
        <v>23</v>
      </c>
      <c r="J3105" s="11">
        <v>0.18</v>
      </c>
      <c r="K3105" s="12"/>
      <c r="L3105" s="12"/>
      <c r="M3105" s="12"/>
      <c r="N3105" s="12"/>
      <c r="O3105" s="12"/>
      <c r="P3105" s="12"/>
      <c r="Q3105" s="12"/>
      <c r="R3105" s="12"/>
      <c r="S3105" s="12"/>
    </row>
    <row r="3106" spans="1:19" ht="14.25" customHeight="1" x14ac:dyDescent="0.2">
      <c r="A3106" s="1" t="s">
        <v>95</v>
      </c>
      <c r="B3106" s="7">
        <v>46107.164456018516</v>
      </c>
      <c r="C3106" s="7">
        <v>46107.174016203702</v>
      </c>
      <c r="D3106" s="8">
        <v>46107</v>
      </c>
      <c r="E3106" s="9">
        <v>0.17401620370219462</v>
      </c>
      <c r="F3106" s="10" t="s">
        <v>3405</v>
      </c>
      <c r="G3106" s="10" t="s">
        <v>21</v>
      </c>
      <c r="H3106" s="10" t="s">
        <v>97</v>
      </c>
      <c r="I3106" s="10" t="s">
        <v>23</v>
      </c>
      <c r="J3106" s="11">
        <v>1.77</v>
      </c>
      <c r="K3106" s="12"/>
      <c r="L3106" s="12"/>
      <c r="M3106" s="12"/>
      <c r="N3106" s="12"/>
      <c r="O3106" s="12"/>
      <c r="P3106" s="12"/>
      <c r="Q3106" s="12"/>
      <c r="R3106" s="12"/>
      <c r="S3106" s="12"/>
    </row>
    <row r="3107" spans="1:19" ht="14.25" customHeight="1" x14ac:dyDescent="0.2">
      <c r="A3107" s="1" t="s">
        <v>57</v>
      </c>
      <c r="B3107" s="7">
        <v>46107.16815972222</v>
      </c>
      <c r="C3107" s="7">
        <v>46107.179259259261</v>
      </c>
      <c r="D3107" s="8">
        <v>46107</v>
      </c>
      <c r="E3107" s="9">
        <v>0.17925925926101627</v>
      </c>
      <c r="F3107" s="10" t="s">
        <v>3406</v>
      </c>
      <c r="G3107" s="10" t="s">
        <v>21</v>
      </c>
      <c r="H3107" s="10" t="s">
        <v>133</v>
      </c>
      <c r="I3107" s="10" t="s">
        <v>23</v>
      </c>
      <c r="J3107" s="11">
        <v>0.98</v>
      </c>
      <c r="K3107" s="12"/>
      <c r="L3107" s="12"/>
      <c r="M3107" s="12"/>
      <c r="N3107" s="12"/>
      <c r="O3107" s="12"/>
      <c r="P3107" s="12"/>
      <c r="Q3107" s="12"/>
      <c r="R3107" s="12"/>
      <c r="S3107" s="12"/>
    </row>
    <row r="3108" spans="1:19" ht="14.25" customHeight="1" x14ac:dyDescent="0.2">
      <c r="A3108" s="1" t="s">
        <v>57</v>
      </c>
      <c r="B3108" s="7">
        <v>46107.166377314818</v>
      </c>
      <c r="C3108" s="7">
        <v>46107.179861111108</v>
      </c>
      <c r="D3108" s="8">
        <v>46107</v>
      </c>
      <c r="E3108" s="9">
        <v>0.17986111110803904</v>
      </c>
      <c r="F3108" s="10" t="s">
        <v>3407</v>
      </c>
      <c r="G3108" s="10" t="s">
        <v>21</v>
      </c>
      <c r="H3108" s="10" t="s">
        <v>2691</v>
      </c>
      <c r="I3108" s="10" t="s">
        <v>23</v>
      </c>
      <c r="J3108" s="11">
        <v>0.98</v>
      </c>
      <c r="K3108" s="12"/>
      <c r="L3108" s="12"/>
      <c r="M3108" s="12"/>
      <c r="N3108" s="12"/>
      <c r="O3108" s="12"/>
      <c r="P3108" s="12"/>
      <c r="Q3108" s="12"/>
      <c r="R3108" s="12"/>
      <c r="S3108" s="12"/>
    </row>
    <row r="3109" spans="1:19" ht="14.25" customHeight="1" x14ac:dyDescent="0.2">
      <c r="A3109" s="1" t="s">
        <v>33</v>
      </c>
      <c r="B3109" s="7">
        <v>46107.171215277776</v>
      </c>
      <c r="C3109" s="7">
        <v>46107.182916666665</v>
      </c>
      <c r="D3109" s="8">
        <v>46107</v>
      </c>
      <c r="E3109" s="9">
        <v>0.18291666666482342</v>
      </c>
      <c r="F3109" s="10" t="s">
        <v>3408</v>
      </c>
      <c r="G3109" s="10" t="s">
        <v>21</v>
      </c>
      <c r="H3109" s="10" t="s">
        <v>41</v>
      </c>
      <c r="I3109" s="10" t="s">
        <v>23</v>
      </c>
      <c r="J3109" s="11">
        <v>1.77</v>
      </c>
      <c r="K3109" s="12"/>
      <c r="L3109" s="12"/>
      <c r="M3109" s="12"/>
      <c r="N3109" s="12"/>
      <c r="O3109" s="12"/>
      <c r="P3109" s="12"/>
      <c r="Q3109" s="12"/>
      <c r="R3109" s="12"/>
      <c r="S3109" s="12"/>
    </row>
    <row r="3110" spans="1:19" ht="14.25" customHeight="1" x14ac:dyDescent="0.2">
      <c r="A3110" s="1" t="s">
        <v>24</v>
      </c>
      <c r="B3110" s="7">
        <v>46107.169398148151</v>
      </c>
      <c r="C3110" s="7">
        <v>46107.190428240741</v>
      </c>
      <c r="D3110" s="8">
        <v>46107</v>
      </c>
      <c r="E3110" s="9">
        <v>0.19042824074131204</v>
      </c>
      <c r="F3110" s="10" t="s">
        <v>3409</v>
      </c>
      <c r="G3110" s="10" t="s">
        <v>21</v>
      </c>
      <c r="H3110" s="10" t="s">
        <v>39</v>
      </c>
      <c r="I3110" s="10" t="s">
        <v>23</v>
      </c>
      <c r="J3110" s="11">
        <v>1.77</v>
      </c>
      <c r="K3110" s="12"/>
      <c r="L3110" s="12"/>
      <c r="M3110" s="12"/>
      <c r="N3110" s="12"/>
      <c r="O3110" s="12"/>
      <c r="P3110" s="12"/>
      <c r="Q3110" s="12"/>
      <c r="R3110" s="12"/>
      <c r="S3110" s="12"/>
    </row>
    <row r="3111" spans="1:19" ht="14.25" customHeight="1" x14ac:dyDescent="0.2">
      <c r="A3111" s="1" t="s">
        <v>24</v>
      </c>
      <c r="B3111" s="7">
        <v>46107.167696759258</v>
      </c>
      <c r="C3111" s="7">
        <v>46107.19090277778</v>
      </c>
      <c r="D3111" s="8">
        <v>46107</v>
      </c>
      <c r="E3111" s="9">
        <v>0.19090277778013842</v>
      </c>
      <c r="F3111" s="10" t="s">
        <v>3410</v>
      </c>
      <c r="G3111" s="10" t="s">
        <v>26</v>
      </c>
      <c r="H3111" s="10" t="s">
        <v>27</v>
      </c>
      <c r="I3111" s="10" t="s">
        <v>23</v>
      </c>
      <c r="J3111" s="11">
        <v>0.68</v>
      </c>
      <c r="K3111" s="12"/>
      <c r="L3111" s="12"/>
      <c r="M3111" s="12"/>
      <c r="N3111" s="12"/>
      <c r="O3111" s="12"/>
      <c r="P3111" s="12"/>
      <c r="Q3111" s="12"/>
      <c r="R3111" s="12"/>
      <c r="S3111" s="12"/>
    </row>
    <row r="3112" spans="1:19" ht="14.25" customHeight="1" x14ac:dyDescent="0.2">
      <c r="A3112" s="1" t="s">
        <v>95</v>
      </c>
      <c r="B3112" s="7">
        <v>46107.181631944448</v>
      </c>
      <c r="C3112" s="7">
        <v>46107.191354166665</v>
      </c>
      <c r="D3112" s="8">
        <v>46107</v>
      </c>
      <c r="E3112" s="9">
        <v>0.1913541666654055</v>
      </c>
      <c r="F3112" s="10" t="s">
        <v>3411</v>
      </c>
      <c r="G3112" s="10" t="s">
        <v>21</v>
      </c>
      <c r="H3112" s="10" t="s">
        <v>97</v>
      </c>
      <c r="I3112" s="10" t="s">
        <v>23</v>
      </c>
      <c r="J3112" s="11">
        <v>1.77</v>
      </c>
      <c r="K3112" s="12"/>
      <c r="L3112" s="12"/>
      <c r="M3112" s="12"/>
      <c r="N3112" s="12"/>
      <c r="O3112" s="12"/>
      <c r="P3112" s="12"/>
      <c r="Q3112" s="12"/>
      <c r="R3112" s="12"/>
      <c r="S3112" s="12"/>
    </row>
    <row r="3113" spans="1:19" ht="14.25" customHeight="1" x14ac:dyDescent="0.2">
      <c r="A3113" s="1" t="s">
        <v>19</v>
      </c>
      <c r="B3113" s="7">
        <v>46107.178553240738</v>
      </c>
      <c r="C3113" s="7">
        <v>46107.192337962966</v>
      </c>
      <c r="D3113" s="8">
        <v>46107</v>
      </c>
      <c r="E3113" s="9">
        <v>0.19233796296612127</v>
      </c>
      <c r="F3113" s="10" t="s">
        <v>3412</v>
      </c>
      <c r="G3113" s="10" t="s">
        <v>21</v>
      </c>
      <c r="H3113" s="10" t="s">
        <v>41</v>
      </c>
      <c r="I3113" s="10" t="s">
        <v>23</v>
      </c>
      <c r="J3113" s="11">
        <v>1.77</v>
      </c>
      <c r="K3113" s="12"/>
      <c r="L3113" s="12"/>
      <c r="M3113" s="12"/>
      <c r="N3113" s="12"/>
      <c r="O3113" s="12"/>
      <c r="P3113" s="12"/>
      <c r="Q3113" s="12"/>
      <c r="R3113" s="12"/>
      <c r="S3113" s="12"/>
    </row>
    <row r="3114" spans="1:19" ht="14.25" customHeight="1" x14ac:dyDescent="0.2">
      <c r="A3114" s="1" t="s">
        <v>95</v>
      </c>
      <c r="B3114" s="7">
        <v>46107.171550925923</v>
      </c>
      <c r="C3114" s="7">
        <v>46107.209733796299</v>
      </c>
      <c r="D3114" s="8">
        <v>46107</v>
      </c>
      <c r="E3114" s="9">
        <v>0.2097337962986785</v>
      </c>
      <c r="F3114" s="10" t="s">
        <v>3413</v>
      </c>
      <c r="G3114" s="10" t="s">
        <v>21</v>
      </c>
      <c r="H3114" s="10" t="s">
        <v>1382</v>
      </c>
      <c r="I3114" s="10" t="s">
        <v>23</v>
      </c>
      <c r="J3114" s="11">
        <v>1.77</v>
      </c>
      <c r="K3114" s="12"/>
      <c r="L3114" s="12">
        <f>SUM(J3114:J3121)</f>
        <v>10.74</v>
      </c>
      <c r="M3114" s="13">
        <f>L3114*65</f>
        <v>698.1</v>
      </c>
      <c r="N3114" s="14">
        <f>MAX(500,M3114)</f>
        <v>698.1</v>
      </c>
      <c r="O3114" s="12"/>
      <c r="P3114" s="12"/>
      <c r="Q3114" s="12"/>
      <c r="R3114" s="12"/>
      <c r="S3114" s="12"/>
    </row>
    <row r="3115" spans="1:19" ht="14.25" customHeight="1" x14ac:dyDescent="0.2">
      <c r="A3115" s="1" t="s">
        <v>95</v>
      </c>
      <c r="B3115" s="7">
        <v>46107.199293981481</v>
      </c>
      <c r="C3115" s="7">
        <v>46107.210752314815</v>
      </c>
      <c r="D3115" s="8">
        <v>46107</v>
      </c>
      <c r="E3115" s="9">
        <v>0.21075231481518131</v>
      </c>
      <c r="F3115" s="10" t="s">
        <v>3414</v>
      </c>
      <c r="G3115" s="10" t="s">
        <v>21</v>
      </c>
      <c r="H3115" s="10" t="s">
        <v>108</v>
      </c>
      <c r="I3115" s="10" t="s">
        <v>23</v>
      </c>
      <c r="J3115" s="11">
        <v>1.7</v>
      </c>
      <c r="K3115" s="12"/>
      <c r="L3115" s="12"/>
      <c r="M3115" s="12"/>
      <c r="N3115" s="12"/>
      <c r="O3115" s="12"/>
      <c r="P3115" s="12"/>
      <c r="Q3115" s="12"/>
      <c r="R3115" s="12"/>
      <c r="S3115" s="12"/>
    </row>
    <row r="3116" spans="1:19" ht="14.25" customHeight="1" x14ac:dyDescent="0.2">
      <c r="A3116" s="1" t="s">
        <v>33</v>
      </c>
      <c r="B3116" s="7">
        <v>46107.209861111114</v>
      </c>
      <c r="C3116" s="7">
        <v>46107.230312500003</v>
      </c>
      <c r="D3116" s="8">
        <v>46107</v>
      </c>
      <c r="E3116" s="9">
        <v>0.23031250000349246</v>
      </c>
      <c r="F3116" s="10" t="s">
        <v>3415</v>
      </c>
      <c r="G3116" s="10" t="s">
        <v>21</v>
      </c>
      <c r="H3116" s="10" t="s">
        <v>22</v>
      </c>
      <c r="I3116" s="10" t="s">
        <v>23</v>
      </c>
      <c r="J3116" s="11">
        <v>0.83</v>
      </c>
      <c r="K3116" s="12"/>
      <c r="L3116" s="12"/>
      <c r="M3116" s="12"/>
      <c r="N3116" s="12"/>
      <c r="O3116" s="12"/>
      <c r="P3116" s="12"/>
      <c r="Q3116" s="12"/>
      <c r="R3116" s="12"/>
      <c r="S3116" s="12"/>
    </row>
    <row r="3117" spans="1:19" ht="14.25" customHeight="1" x14ac:dyDescent="0.2">
      <c r="A3117" s="1" t="s">
        <v>33</v>
      </c>
      <c r="B3117" s="7">
        <v>46107.218761574077</v>
      </c>
      <c r="C3117" s="7">
        <v>46107.230717592596</v>
      </c>
      <c r="D3117" s="8">
        <v>46107</v>
      </c>
      <c r="E3117" s="9">
        <v>0.23071759259619284</v>
      </c>
      <c r="F3117" s="10" t="s">
        <v>3416</v>
      </c>
      <c r="G3117" s="10" t="s">
        <v>21</v>
      </c>
      <c r="H3117" s="10" t="s">
        <v>22</v>
      </c>
      <c r="I3117" s="10" t="s">
        <v>23</v>
      </c>
      <c r="J3117" s="11">
        <v>0.83</v>
      </c>
      <c r="K3117" s="12"/>
      <c r="L3117" s="12"/>
      <c r="M3117" s="12"/>
      <c r="N3117" s="12"/>
      <c r="O3117" s="12"/>
      <c r="P3117" s="12"/>
      <c r="Q3117" s="12"/>
      <c r="R3117" s="12"/>
      <c r="S3117" s="12"/>
    </row>
    <row r="3118" spans="1:19" ht="14.25" customHeight="1" x14ac:dyDescent="0.2">
      <c r="A3118" s="1" t="s">
        <v>19</v>
      </c>
      <c r="B3118" s="7">
        <v>46107.221203703702</v>
      </c>
      <c r="C3118" s="7">
        <v>46107.235659722224</v>
      </c>
      <c r="D3118" s="8">
        <v>46107</v>
      </c>
      <c r="E3118" s="9">
        <v>0.23565972222422715</v>
      </c>
      <c r="F3118" s="10" t="s">
        <v>3417</v>
      </c>
      <c r="G3118" s="10" t="s">
        <v>21</v>
      </c>
      <c r="H3118" s="10" t="s">
        <v>22</v>
      </c>
      <c r="I3118" s="10" t="s">
        <v>23</v>
      </c>
      <c r="J3118" s="11">
        <v>0.83</v>
      </c>
      <c r="K3118" s="12"/>
      <c r="L3118" s="12"/>
      <c r="M3118" s="12"/>
      <c r="N3118" s="12"/>
      <c r="O3118" s="12"/>
      <c r="P3118" s="12"/>
      <c r="Q3118" s="12"/>
      <c r="R3118" s="12"/>
      <c r="S3118" s="12"/>
    </row>
    <row r="3119" spans="1:19" ht="14.25" customHeight="1" x14ac:dyDescent="0.2">
      <c r="A3119" s="1" t="s">
        <v>24</v>
      </c>
      <c r="B3119" s="7">
        <v>46107.226087962961</v>
      </c>
      <c r="C3119" s="7">
        <v>46107.243032407408</v>
      </c>
      <c r="D3119" s="8">
        <v>46107</v>
      </c>
      <c r="E3119" s="9">
        <v>0.24303240740846377</v>
      </c>
      <c r="F3119" s="10" t="s">
        <v>3418</v>
      </c>
      <c r="G3119" s="10" t="s">
        <v>21</v>
      </c>
      <c r="H3119" s="10" t="s">
        <v>41</v>
      </c>
      <c r="I3119" s="10" t="s">
        <v>23</v>
      </c>
      <c r="J3119" s="11">
        <v>1.77</v>
      </c>
      <c r="K3119" s="12"/>
      <c r="L3119" s="12"/>
      <c r="M3119" s="12"/>
      <c r="N3119" s="12"/>
      <c r="O3119" s="12"/>
      <c r="P3119" s="12"/>
      <c r="Q3119" s="12"/>
      <c r="R3119" s="12"/>
      <c r="S3119" s="12"/>
    </row>
    <row r="3120" spans="1:19" ht="14.25" customHeight="1" x14ac:dyDescent="0.2">
      <c r="A3120" s="1" t="s">
        <v>24</v>
      </c>
      <c r="B3120" s="7">
        <v>46107.224560185183</v>
      </c>
      <c r="C3120" s="7">
        <v>46107.243576388886</v>
      </c>
      <c r="D3120" s="8">
        <v>46107</v>
      </c>
      <c r="E3120" s="9">
        <v>0.24357638888614019</v>
      </c>
      <c r="F3120" s="10" t="s">
        <v>3419</v>
      </c>
      <c r="G3120" s="10" t="s">
        <v>21</v>
      </c>
      <c r="H3120" s="10" t="s">
        <v>2390</v>
      </c>
      <c r="I3120" s="10" t="s">
        <v>23</v>
      </c>
      <c r="J3120" s="11">
        <v>1.24</v>
      </c>
      <c r="K3120" s="12"/>
      <c r="L3120" s="12"/>
      <c r="M3120" s="12"/>
      <c r="N3120" s="12"/>
      <c r="O3120" s="12"/>
      <c r="P3120" s="12"/>
      <c r="Q3120" s="12"/>
      <c r="R3120" s="12"/>
      <c r="S3120" s="12"/>
    </row>
    <row r="3121" spans="1:19" ht="14.25" customHeight="1" x14ac:dyDescent="0.2">
      <c r="A3121" s="1" t="s">
        <v>33</v>
      </c>
      <c r="B3121" s="7">
        <v>46107.237638888888</v>
      </c>
      <c r="C3121" s="7">
        <v>46107.250972222224</v>
      </c>
      <c r="D3121" s="8">
        <v>46107</v>
      </c>
      <c r="E3121" s="9">
        <v>0.25097222222393611</v>
      </c>
      <c r="F3121" s="10" t="s">
        <v>3420</v>
      </c>
      <c r="G3121" s="10" t="s">
        <v>21</v>
      </c>
      <c r="H3121" s="10" t="s">
        <v>39</v>
      </c>
      <c r="I3121" s="10" t="s">
        <v>23</v>
      </c>
      <c r="J3121" s="11">
        <v>1.77</v>
      </c>
      <c r="K3121" s="12"/>
      <c r="L3121" s="12"/>
      <c r="M3121" s="12"/>
      <c r="N3121" s="12"/>
      <c r="O3121" s="12"/>
      <c r="P3121" s="12"/>
      <c r="Q3121" s="12"/>
      <c r="R3121" s="12"/>
      <c r="S3121" s="12"/>
    </row>
    <row r="3122" spans="1:19" ht="14.25" customHeight="1" x14ac:dyDescent="0.2">
      <c r="A3122" s="1" t="s">
        <v>28</v>
      </c>
      <c r="B3122" s="7">
        <v>46107.85837962963</v>
      </c>
      <c r="C3122" s="7">
        <v>46107.879803240743</v>
      </c>
      <c r="D3122" s="8">
        <v>46107</v>
      </c>
      <c r="E3122" s="9">
        <v>0.87980324074305827</v>
      </c>
      <c r="F3122" s="10" t="s">
        <v>3421</v>
      </c>
      <c r="G3122" s="10" t="s">
        <v>26</v>
      </c>
      <c r="H3122" s="10" t="s">
        <v>128</v>
      </c>
      <c r="I3122" s="10" t="s">
        <v>23</v>
      </c>
      <c r="J3122" s="11">
        <v>0.97</v>
      </c>
      <c r="K3122" s="12">
        <f>SUM(J3122:J3126,J3128,J3131:J3136,J3138,J3139,J3141,J3143,J3144,J3146,J3147,J3148,J3149,J3151:J3157,J3159,J3160,J3161,J3163:J3166,J3168,J3169,J3170,J3171,J3172,J3174:J3179,J3182:J3193,J3195:J3198,J3200,J3202,J3204:J3208,J3210:J3241)</f>
        <v>122.89999999999996</v>
      </c>
      <c r="L3122" s="12">
        <f>SUM(J3122:J3140)</f>
        <v>22.9</v>
      </c>
      <c r="M3122" s="13">
        <f>L3122*65</f>
        <v>1488.5</v>
      </c>
      <c r="N3122" s="14">
        <f>MAX(500,M3122)</f>
        <v>1488.5</v>
      </c>
      <c r="O3122" s="12"/>
      <c r="P3122" s="12"/>
      <c r="Q3122" s="12"/>
      <c r="R3122" s="12"/>
      <c r="S3122" s="12"/>
    </row>
    <row r="3123" spans="1:19" ht="14.25" customHeight="1" x14ac:dyDescent="0.2">
      <c r="A3123" s="1" t="s">
        <v>57</v>
      </c>
      <c r="B3123" s="7">
        <v>46107.867962962962</v>
      </c>
      <c r="C3123" s="7">
        <v>46107.880150462966</v>
      </c>
      <c r="D3123" s="8">
        <v>46107</v>
      </c>
      <c r="E3123" s="9">
        <v>0.88015046296641231</v>
      </c>
      <c r="F3123" s="10" t="s">
        <v>3422</v>
      </c>
      <c r="G3123" s="10" t="s">
        <v>21</v>
      </c>
      <c r="H3123" s="10" t="s">
        <v>303</v>
      </c>
      <c r="I3123" s="10" t="s">
        <v>23</v>
      </c>
      <c r="J3123" s="11">
        <v>1.77</v>
      </c>
      <c r="K3123" s="12"/>
      <c r="L3123" s="12"/>
      <c r="M3123" s="12"/>
      <c r="N3123" s="12"/>
      <c r="O3123" s="12"/>
      <c r="P3123" s="12"/>
      <c r="Q3123" s="12"/>
      <c r="R3123" s="12"/>
      <c r="S3123" s="12"/>
    </row>
    <row r="3124" spans="1:19" ht="14.25" customHeight="1" x14ac:dyDescent="0.2">
      <c r="A3124" s="1" t="s">
        <v>42</v>
      </c>
      <c r="B3124" s="7">
        <v>46107.842141203706</v>
      </c>
      <c r="C3124" s="7">
        <v>46107.880868055552</v>
      </c>
      <c r="D3124" s="8">
        <v>46107</v>
      </c>
      <c r="E3124" s="9">
        <v>0.88086805555212777</v>
      </c>
      <c r="F3124" s="10" t="s">
        <v>3423</v>
      </c>
      <c r="G3124" s="10" t="s">
        <v>26</v>
      </c>
      <c r="H3124" s="10" t="s">
        <v>76</v>
      </c>
      <c r="I3124" s="10" t="s">
        <v>23</v>
      </c>
      <c r="J3124" s="11">
        <v>0.75</v>
      </c>
      <c r="K3124" s="12"/>
      <c r="L3124" s="12"/>
      <c r="M3124" s="12"/>
      <c r="N3124" s="12"/>
      <c r="O3124" s="12"/>
      <c r="P3124" s="12"/>
      <c r="Q3124" s="12"/>
      <c r="R3124" s="12"/>
      <c r="S3124" s="12"/>
    </row>
    <row r="3125" spans="1:19" ht="14.25" customHeight="1" x14ac:dyDescent="0.2">
      <c r="A3125" s="1" t="s">
        <v>57</v>
      </c>
      <c r="B3125" s="7">
        <v>46107.840196759258</v>
      </c>
      <c r="C3125" s="7">
        <v>46107.882048611114</v>
      </c>
      <c r="D3125" s="8">
        <v>46107</v>
      </c>
      <c r="E3125" s="9">
        <v>0.88204861111444188</v>
      </c>
      <c r="F3125" s="10" t="s">
        <v>3424</v>
      </c>
      <c r="G3125" s="10" t="s">
        <v>26</v>
      </c>
      <c r="H3125" s="10" t="s">
        <v>3425</v>
      </c>
      <c r="I3125" s="10" t="s">
        <v>23</v>
      </c>
      <c r="J3125" s="11">
        <v>0.97</v>
      </c>
      <c r="K3125" s="12"/>
      <c r="L3125" s="12"/>
      <c r="M3125" s="12"/>
      <c r="N3125" s="12"/>
      <c r="O3125" s="12"/>
      <c r="P3125" s="12"/>
      <c r="Q3125" s="12"/>
      <c r="R3125" s="12"/>
      <c r="S3125" s="12"/>
    </row>
    <row r="3126" spans="1:19" ht="14.25" customHeight="1" x14ac:dyDescent="0.2">
      <c r="A3126" s="1" t="s">
        <v>148</v>
      </c>
      <c r="B3126" s="7">
        <v>46107.854895833334</v>
      </c>
      <c r="C3126" s="7">
        <v>46107.882488425923</v>
      </c>
      <c r="D3126" s="8">
        <v>46107</v>
      </c>
      <c r="E3126" s="9">
        <v>0.88248842592292931</v>
      </c>
      <c r="F3126" s="10" t="s">
        <v>3426</v>
      </c>
      <c r="G3126" s="10" t="s">
        <v>21</v>
      </c>
      <c r="H3126" s="10" t="s">
        <v>1834</v>
      </c>
      <c r="I3126" s="10" t="s">
        <v>23</v>
      </c>
      <c r="J3126" s="11">
        <v>1.7</v>
      </c>
      <c r="K3126" s="12"/>
      <c r="L3126" s="12"/>
      <c r="M3126" s="12"/>
      <c r="N3126" s="12"/>
      <c r="O3126" s="12"/>
      <c r="P3126" s="12"/>
      <c r="Q3126" s="12"/>
      <c r="R3126" s="12"/>
      <c r="S3126" s="12"/>
    </row>
    <row r="3127" spans="1:19" ht="14.25" customHeight="1" x14ac:dyDescent="0.2">
      <c r="A3127" s="22" t="s">
        <v>148</v>
      </c>
      <c r="B3127" s="23">
        <v>46107.876793981479</v>
      </c>
      <c r="C3127" s="23">
        <v>46107.884270833332</v>
      </c>
      <c r="D3127" s="24">
        <v>46107</v>
      </c>
      <c r="E3127" s="25">
        <v>0.88427083333226619</v>
      </c>
      <c r="F3127" s="22" t="s">
        <v>3427</v>
      </c>
      <c r="G3127" s="22" t="s">
        <v>44</v>
      </c>
      <c r="H3127" s="22" t="s">
        <v>790</v>
      </c>
      <c r="I3127" s="22" t="s">
        <v>583</v>
      </c>
      <c r="J3127" s="26">
        <v>0.18</v>
      </c>
      <c r="K3127" s="26"/>
      <c r="L3127" s="26"/>
      <c r="M3127" s="26"/>
      <c r="N3127" s="26"/>
      <c r="O3127" s="26"/>
      <c r="P3127" s="26"/>
      <c r="Q3127" s="26"/>
      <c r="R3127" s="26"/>
      <c r="S3127" s="26"/>
    </row>
    <row r="3128" spans="1:19" ht="14.25" customHeight="1" x14ac:dyDescent="0.2">
      <c r="A3128" s="1" t="s">
        <v>19</v>
      </c>
      <c r="B3128" s="7">
        <v>46107.873576388891</v>
      </c>
      <c r="C3128" s="7">
        <v>46107.890057870369</v>
      </c>
      <c r="D3128" s="8">
        <v>46107</v>
      </c>
      <c r="E3128" s="9">
        <v>0.89005787036876427</v>
      </c>
      <c r="F3128" s="10" t="s">
        <v>3428</v>
      </c>
      <c r="G3128" s="10" t="s">
        <v>21</v>
      </c>
      <c r="H3128" s="10" t="s">
        <v>41</v>
      </c>
      <c r="I3128" s="10" t="s">
        <v>23</v>
      </c>
      <c r="J3128" s="11">
        <v>1.77</v>
      </c>
      <c r="K3128" s="12"/>
      <c r="L3128" s="12"/>
      <c r="M3128" s="12"/>
      <c r="N3128" s="12"/>
      <c r="O3128" s="12"/>
      <c r="P3128" s="12"/>
      <c r="Q3128" s="12"/>
      <c r="R3128" s="12"/>
      <c r="S3128" s="12"/>
    </row>
    <row r="3129" spans="1:19" ht="14.25" customHeight="1" x14ac:dyDescent="0.2">
      <c r="A3129" s="22" t="s">
        <v>19</v>
      </c>
      <c r="B3129" s="23">
        <v>46107.866701388892</v>
      </c>
      <c r="C3129" s="23">
        <v>46107.89335648148</v>
      </c>
      <c r="D3129" s="24">
        <v>46107</v>
      </c>
      <c r="E3129" s="25">
        <v>0.89335648147971369</v>
      </c>
      <c r="F3129" s="22" t="s">
        <v>3429</v>
      </c>
      <c r="G3129" s="22" t="s">
        <v>21</v>
      </c>
      <c r="H3129" s="22" t="s">
        <v>41</v>
      </c>
      <c r="I3129" s="22" t="s">
        <v>583</v>
      </c>
      <c r="J3129" s="26">
        <v>1.77</v>
      </c>
      <c r="K3129" s="26"/>
      <c r="L3129" s="26"/>
      <c r="M3129" s="26"/>
      <c r="N3129" s="26"/>
      <c r="O3129" s="26"/>
      <c r="P3129" s="26"/>
      <c r="Q3129" s="26"/>
      <c r="R3129" s="26"/>
      <c r="S3129" s="26"/>
    </row>
    <row r="3130" spans="1:19" ht="14.25" customHeight="1" x14ac:dyDescent="0.2">
      <c r="A3130" s="22" t="s">
        <v>19</v>
      </c>
      <c r="B3130" s="23">
        <v>46107.864675925928</v>
      </c>
      <c r="C3130" s="23">
        <v>46107.894652777781</v>
      </c>
      <c r="D3130" s="24">
        <v>46107</v>
      </c>
      <c r="E3130" s="25">
        <v>0.8946527777807205</v>
      </c>
      <c r="F3130" s="22" t="s">
        <v>3430</v>
      </c>
      <c r="G3130" s="22" t="s">
        <v>44</v>
      </c>
      <c r="H3130" s="22" t="s">
        <v>185</v>
      </c>
      <c r="I3130" s="22" t="s">
        <v>583</v>
      </c>
      <c r="J3130" s="26">
        <v>0.18</v>
      </c>
      <c r="K3130" s="26"/>
      <c r="L3130" s="26"/>
      <c r="M3130" s="26"/>
      <c r="N3130" s="26"/>
      <c r="O3130" s="26"/>
      <c r="P3130" s="26"/>
      <c r="Q3130" s="26"/>
      <c r="R3130" s="26"/>
      <c r="S3130" s="26"/>
    </row>
    <row r="3131" spans="1:19" ht="14.25" customHeight="1" x14ac:dyDescent="0.2">
      <c r="A3131" s="1" t="s">
        <v>19</v>
      </c>
      <c r="B3131" s="7">
        <v>46107.836331018516</v>
      </c>
      <c r="C3131" s="7">
        <v>46107.895127314812</v>
      </c>
      <c r="D3131" s="8">
        <v>46107</v>
      </c>
      <c r="E3131" s="9">
        <v>0.89512731481227092</v>
      </c>
      <c r="F3131" s="10" t="s">
        <v>3431</v>
      </c>
      <c r="G3131" s="10" t="s">
        <v>21</v>
      </c>
      <c r="H3131" s="10" t="s">
        <v>248</v>
      </c>
      <c r="I3131" s="10" t="s">
        <v>23</v>
      </c>
      <c r="J3131" s="11">
        <v>2.15</v>
      </c>
      <c r="K3131" s="12"/>
      <c r="L3131" s="12"/>
      <c r="M3131" s="12"/>
      <c r="N3131" s="12"/>
      <c r="O3131" s="12"/>
      <c r="P3131" s="12"/>
      <c r="Q3131" s="12"/>
      <c r="R3131" s="12"/>
      <c r="S3131" s="12"/>
    </row>
    <row r="3132" spans="1:19" ht="14.25" customHeight="1" x14ac:dyDescent="0.2">
      <c r="A3132" s="1" t="s">
        <v>24</v>
      </c>
      <c r="B3132" s="7">
        <v>46107.872812499998</v>
      </c>
      <c r="C3132" s="7">
        <v>46107.895949074074</v>
      </c>
      <c r="D3132" s="8">
        <v>46107</v>
      </c>
      <c r="E3132" s="9">
        <v>0.89594907407445135</v>
      </c>
      <c r="F3132" s="10" t="s">
        <v>3432</v>
      </c>
      <c r="G3132" s="10" t="s">
        <v>21</v>
      </c>
      <c r="H3132" s="10" t="s">
        <v>248</v>
      </c>
      <c r="I3132" s="10" t="s">
        <v>23</v>
      </c>
      <c r="J3132" s="11">
        <v>2.15</v>
      </c>
      <c r="K3132" s="12"/>
      <c r="L3132" s="12"/>
      <c r="M3132" s="12"/>
      <c r="N3132" s="12"/>
      <c r="O3132" s="12"/>
      <c r="P3132" s="12"/>
      <c r="Q3132" s="12"/>
      <c r="R3132" s="12"/>
      <c r="S3132" s="12"/>
    </row>
    <row r="3133" spans="1:19" ht="14.25" customHeight="1" x14ac:dyDescent="0.2">
      <c r="A3133" s="1" t="s">
        <v>42</v>
      </c>
      <c r="B3133" s="7">
        <v>46107.884363425925</v>
      </c>
      <c r="C3133" s="7">
        <v>46107.896134259259</v>
      </c>
      <c r="D3133" s="8">
        <v>46107</v>
      </c>
      <c r="E3133" s="9">
        <v>0.89613425925927004</v>
      </c>
      <c r="F3133" s="10" t="s">
        <v>3433</v>
      </c>
      <c r="G3133" s="10" t="s">
        <v>44</v>
      </c>
      <c r="H3133" s="10" t="s">
        <v>2293</v>
      </c>
      <c r="I3133" s="10" t="s">
        <v>23</v>
      </c>
      <c r="J3133" s="11">
        <v>0.17</v>
      </c>
      <c r="K3133" s="12"/>
      <c r="L3133" s="12"/>
      <c r="M3133" s="12"/>
      <c r="N3133" s="12"/>
      <c r="O3133" s="12"/>
      <c r="P3133" s="12"/>
      <c r="Q3133" s="12"/>
      <c r="R3133" s="12"/>
      <c r="S3133" s="12"/>
    </row>
    <row r="3134" spans="1:19" ht="14.25" customHeight="1" x14ac:dyDescent="0.2">
      <c r="A3134" s="1" t="s">
        <v>24</v>
      </c>
      <c r="B3134" s="7">
        <v>46107.876331018517</v>
      </c>
      <c r="C3134" s="7">
        <v>46107.900601851848</v>
      </c>
      <c r="D3134" s="8">
        <v>46107</v>
      </c>
      <c r="E3134" s="9">
        <v>0.90060185184847796</v>
      </c>
      <c r="F3134" s="10" t="s">
        <v>3434</v>
      </c>
      <c r="G3134" s="10" t="s">
        <v>26</v>
      </c>
      <c r="H3134" s="10" t="s">
        <v>1260</v>
      </c>
      <c r="I3134" s="10" t="s">
        <v>23</v>
      </c>
      <c r="J3134" s="11">
        <v>0.57999999999999996</v>
      </c>
      <c r="K3134" s="12"/>
      <c r="L3134" s="12"/>
      <c r="M3134" s="12"/>
      <c r="N3134" s="12"/>
      <c r="O3134" s="12"/>
      <c r="P3134" s="12"/>
      <c r="Q3134" s="12"/>
      <c r="R3134" s="12"/>
      <c r="S3134" s="12"/>
    </row>
    <row r="3135" spans="1:19" ht="14.25" customHeight="1" x14ac:dyDescent="0.2">
      <c r="A3135" s="1" t="s">
        <v>230</v>
      </c>
      <c r="B3135" s="7">
        <v>46107.883067129631</v>
      </c>
      <c r="C3135" s="7">
        <v>46107.901446759257</v>
      </c>
      <c r="D3135" s="8">
        <v>46107</v>
      </c>
      <c r="E3135" s="9">
        <v>0.90144675925694173</v>
      </c>
      <c r="F3135" s="10" t="s">
        <v>3435</v>
      </c>
      <c r="G3135" s="10" t="s">
        <v>21</v>
      </c>
      <c r="H3135" s="10" t="s">
        <v>3436</v>
      </c>
      <c r="I3135" s="10" t="s">
        <v>23</v>
      </c>
      <c r="J3135" s="11">
        <v>1.19</v>
      </c>
      <c r="K3135" s="12"/>
      <c r="L3135" s="12"/>
      <c r="M3135" s="12"/>
      <c r="N3135" s="12"/>
      <c r="O3135" s="12"/>
      <c r="P3135" s="12"/>
      <c r="Q3135" s="12"/>
      <c r="R3135" s="12"/>
      <c r="S3135" s="12"/>
    </row>
    <row r="3136" spans="1:19" ht="14.25" customHeight="1" x14ac:dyDescent="0.2">
      <c r="A3136" s="1" t="s">
        <v>230</v>
      </c>
      <c r="B3136" s="7">
        <v>46107.893275462964</v>
      </c>
      <c r="C3136" s="7">
        <v>46107.902430555558</v>
      </c>
      <c r="D3136" s="8">
        <v>46107</v>
      </c>
      <c r="E3136" s="9">
        <v>0.9024305555576575</v>
      </c>
      <c r="F3136" s="10" t="s">
        <v>3437</v>
      </c>
      <c r="G3136" s="10" t="s">
        <v>21</v>
      </c>
      <c r="H3136" s="10" t="s">
        <v>1431</v>
      </c>
      <c r="I3136" s="10" t="s">
        <v>23</v>
      </c>
      <c r="J3136" s="11">
        <v>1.77</v>
      </c>
      <c r="K3136" s="12"/>
      <c r="L3136" s="12"/>
      <c r="M3136" s="12"/>
      <c r="N3136" s="12"/>
      <c r="O3136" s="12"/>
      <c r="P3136" s="12"/>
      <c r="Q3136" s="12"/>
      <c r="R3136" s="12"/>
      <c r="S3136" s="12"/>
    </row>
    <row r="3137" spans="1:19" ht="14.25" customHeight="1" x14ac:dyDescent="0.2">
      <c r="A3137" s="22" t="s">
        <v>33</v>
      </c>
      <c r="B3137" s="23">
        <v>46107.8828587963</v>
      </c>
      <c r="C3137" s="23">
        <v>46107.905439814815</v>
      </c>
      <c r="D3137" s="24">
        <v>46107</v>
      </c>
      <c r="E3137" s="25">
        <v>0.90543981481459923</v>
      </c>
      <c r="F3137" s="22" t="s">
        <v>3438</v>
      </c>
      <c r="G3137" s="22" t="s">
        <v>21</v>
      </c>
      <c r="H3137" s="22" t="s">
        <v>41</v>
      </c>
      <c r="I3137" s="22" t="s">
        <v>583</v>
      </c>
      <c r="J3137" s="26">
        <v>1.77</v>
      </c>
      <c r="K3137" s="26"/>
      <c r="L3137" s="26"/>
      <c r="M3137" s="26"/>
      <c r="N3137" s="26"/>
      <c r="O3137" s="26"/>
      <c r="P3137" s="26"/>
      <c r="Q3137" s="26"/>
      <c r="R3137" s="26"/>
      <c r="S3137" s="26"/>
    </row>
    <row r="3138" spans="1:19" ht="14.25" customHeight="1" x14ac:dyDescent="0.2">
      <c r="A3138" s="1" t="s">
        <v>24</v>
      </c>
      <c r="B3138" s="7">
        <v>46107.885289351849</v>
      </c>
      <c r="C3138" s="7">
        <v>46107.907418981478</v>
      </c>
      <c r="D3138" s="8">
        <v>46107</v>
      </c>
      <c r="E3138" s="9">
        <v>0.9074189814782585</v>
      </c>
      <c r="F3138" s="10" t="s">
        <v>3439</v>
      </c>
      <c r="G3138" s="10" t="s">
        <v>21</v>
      </c>
      <c r="H3138" s="10" t="s">
        <v>248</v>
      </c>
      <c r="I3138" s="10" t="s">
        <v>23</v>
      </c>
      <c r="J3138" s="11">
        <v>2.15</v>
      </c>
      <c r="K3138" s="12"/>
      <c r="L3138" s="12"/>
      <c r="M3138" s="12"/>
      <c r="N3138" s="12"/>
      <c r="O3138" s="12"/>
      <c r="P3138" s="12"/>
      <c r="Q3138" s="12"/>
      <c r="R3138" s="12"/>
      <c r="S3138" s="12"/>
    </row>
    <row r="3139" spans="1:19" ht="14.25" customHeight="1" x14ac:dyDescent="0.2">
      <c r="A3139" s="1" t="s">
        <v>42</v>
      </c>
      <c r="B3139" s="7">
        <v>46107.875937500001</v>
      </c>
      <c r="C3139" s="7">
        <v>46107.908206018517</v>
      </c>
      <c r="D3139" s="8">
        <v>46107</v>
      </c>
      <c r="E3139" s="9">
        <v>0.90820601851737592</v>
      </c>
      <c r="F3139" s="10" t="s">
        <v>3440</v>
      </c>
      <c r="G3139" s="10" t="s">
        <v>26</v>
      </c>
      <c r="H3139" s="10" t="s">
        <v>56</v>
      </c>
      <c r="I3139" s="10" t="s">
        <v>23</v>
      </c>
      <c r="J3139" s="11">
        <v>0.73</v>
      </c>
      <c r="K3139" s="12"/>
      <c r="L3139" s="12"/>
      <c r="M3139" s="12"/>
      <c r="N3139" s="12"/>
      <c r="O3139" s="12"/>
      <c r="P3139" s="12"/>
      <c r="Q3139" s="12"/>
      <c r="R3139" s="12"/>
      <c r="S3139" s="12"/>
    </row>
    <row r="3140" spans="1:19" ht="14.25" customHeight="1" x14ac:dyDescent="0.2">
      <c r="A3140" s="22" t="s">
        <v>24</v>
      </c>
      <c r="B3140" s="23">
        <v>46107.883055555554</v>
      </c>
      <c r="C3140" s="23">
        <v>46107.91578703704</v>
      </c>
      <c r="D3140" s="24">
        <v>46107</v>
      </c>
      <c r="E3140" s="25">
        <v>0.91578703703999054</v>
      </c>
      <c r="F3140" s="22" t="s">
        <v>3441</v>
      </c>
      <c r="G3140" s="22" t="s">
        <v>44</v>
      </c>
      <c r="H3140" s="22" t="s">
        <v>185</v>
      </c>
      <c r="I3140" s="22" t="s">
        <v>583</v>
      </c>
      <c r="J3140" s="26">
        <v>0.18</v>
      </c>
      <c r="K3140" s="26"/>
      <c r="L3140" s="26"/>
      <c r="M3140" s="26"/>
      <c r="N3140" s="26"/>
      <c r="O3140" s="26"/>
      <c r="P3140" s="26"/>
      <c r="Q3140" s="26"/>
      <c r="R3140" s="26"/>
      <c r="S3140" s="26"/>
    </row>
    <row r="3141" spans="1:19" ht="14.25" customHeight="1" x14ac:dyDescent="0.2">
      <c r="A3141" s="1" t="s">
        <v>33</v>
      </c>
      <c r="B3141" s="7">
        <v>46107.876805555556</v>
      </c>
      <c r="C3141" s="7">
        <v>46107.917048611111</v>
      </c>
      <c r="D3141" s="8">
        <v>46107</v>
      </c>
      <c r="E3141" s="9">
        <v>0.91704861111065838</v>
      </c>
      <c r="F3141" s="10" t="s">
        <v>3442</v>
      </c>
      <c r="G3141" s="10" t="s">
        <v>26</v>
      </c>
      <c r="H3141" s="10" t="s">
        <v>27</v>
      </c>
      <c r="I3141" s="10" t="s">
        <v>23</v>
      </c>
      <c r="J3141" s="11">
        <v>0.68</v>
      </c>
      <c r="K3141" s="12"/>
      <c r="L3141" s="12">
        <f>SUM(J3141:J3170)</f>
        <v>30.31999999999999</v>
      </c>
      <c r="M3141" s="13">
        <f>L3141*65</f>
        <v>1970.7999999999993</v>
      </c>
      <c r="N3141" s="14">
        <f>MAX(500,M3141)</f>
        <v>1970.7999999999993</v>
      </c>
      <c r="O3141" s="12"/>
      <c r="P3141" s="12"/>
      <c r="Q3141" s="12"/>
      <c r="R3141" s="12"/>
      <c r="S3141" s="12"/>
    </row>
    <row r="3142" spans="1:19" ht="14.25" customHeight="1" x14ac:dyDescent="0.2">
      <c r="A3142" s="22" t="s">
        <v>24</v>
      </c>
      <c r="B3142" s="23">
        <v>46107.884039351855</v>
      </c>
      <c r="C3142" s="23">
        <v>46107.918645833335</v>
      </c>
      <c r="D3142" s="24">
        <v>46107</v>
      </c>
      <c r="E3142" s="25">
        <v>0.91864583333517658</v>
      </c>
      <c r="F3142" s="22" t="s">
        <v>3443</v>
      </c>
      <c r="G3142" s="22" t="s">
        <v>44</v>
      </c>
      <c r="H3142" s="22" t="s">
        <v>185</v>
      </c>
      <c r="I3142" s="22" t="s">
        <v>583</v>
      </c>
      <c r="J3142" s="26">
        <v>0.18</v>
      </c>
      <c r="K3142" s="26"/>
      <c r="L3142" s="26"/>
      <c r="M3142" s="26"/>
      <c r="N3142" s="26"/>
      <c r="O3142" s="26"/>
      <c r="P3142" s="26"/>
      <c r="Q3142" s="26"/>
      <c r="R3142" s="26"/>
      <c r="S3142" s="26"/>
    </row>
    <row r="3143" spans="1:19" ht="14.25" customHeight="1" x14ac:dyDescent="0.2">
      <c r="A3143" s="1" t="s">
        <v>19</v>
      </c>
      <c r="B3143" s="7">
        <v>46107.891793981478</v>
      </c>
      <c r="C3143" s="7">
        <v>46107.920358796298</v>
      </c>
      <c r="D3143" s="8">
        <v>46107</v>
      </c>
      <c r="E3143" s="9">
        <v>0.92035879629838746</v>
      </c>
      <c r="F3143" s="10" t="s">
        <v>3444</v>
      </c>
      <c r="G3143" s="10" t="s">
        <v>26</v>
      </c>
      <c r="H3143" s="10" t="s">
        <v>56</v>
      </c>
      <c r="I3143" s="10" t="s">
        <v>23</v>
      </c>
      <c r="J3143" s="11">
        <v>0.73</v>
      </c>
      <c r="K3143" s="12"/>
      <c r="L3143" s="12"/>
      <c r="M3143" s="12"/>
      <c r="N3143" s="12"/>
      <c r="O3143" s="12"/>
      <c r="P3143" s="12"/>
      <c r="Q3143" s="12"/>
      <c r="R3143" s="12"/>
      <c r="S3143" s="12"/>
    </row>
    <row r="3144" spans="1:19" ht="14.25" customHeight="1" x14ac:dyDescent="0.2">
      <c r="A3144" s="1" t="s">
        <v>24</v>
      </c>
      <c r="B3144" s="7">
        <v>46107.902349537035</v>
      </c>
      <c r="C3144" s="7">
        <v>46107.920578703706</v>
      </c>
      <c r="D3144" s="8">
        <v>46107</v>
      </c>
      <c r="E3144" s="9">
        <v>0.92057870370626915</v>
      </c>
      <c r="F3144" s="10" t="s">
        <v>3445</v>
      </c>
      <c r="G3144" s="10" t="s">
        <v>26</v>
      </c>
      <c r="H3144" s="10" t="s">
        <v>1347</v>
      </c>
      <c r="I3144" s="10" t="s">
        <v>23</v>
      </c>
      <c r="J3144" s="11">
        <v>0.44</v>
      </c>
      <c r="K3144" s="12"/>
      <c r="L3144" s="12"/>
      <c r="M3144" s="12"/>
      <c r="N3144" s="12"/>
      <c r="O3144" s="12"/>
      <c r="P3144" s="12"/>
      <c r="Q3144" s="12"/>
      <c r="R3144" s="12"/>
      <c r="S3144" s="12"/>
    </row>
    <row r="3145" spans="1:19" ht="14.25" customHeight="1" x14ac:dyDescent="0.2">
      <c r="A3145" s="22" t="s">
        <v>19</v>
      </c>
      <c r="B3145" s="23">
        <v>46107.877013888887</v>
      </c>
      <c r="C3145" s="23">
        <v>46107.921666666669</v>
      </c>
      <c r="D3145" s="24">
        <v>46107</v>
      </c>
      <c r="E3145" s="25">
        <v>0.92166666666889796</v>
      </c>
      <c r="F3145" s="22" t="s">
        <v>3446</v>
      </c>
      <c r="G3145" s="22" t="s">
        <v>44</v>
      </c>
      <c r="H3145" s="22" t="s">
        <v>185</v>
      </c>
      <c r="I3145" s="22" t="s">
        <v>583</v>
      </c>
      <c r="J3145" s="26">
        <v>0.18</v>
      </c>
      <c r="K3145" s="26"/>
      <c r="L3145" s="26"/>
      <c r="M3145" s="26"/>
      <c r="N3145" s="26"/>
      <c r="O3145" s="26"/>
      <c r="P3145" s="26"/>
      <c r="Q3145" s="26"/>
      <c r="R3145" s="26"/>
      <c r="S3145" s="26"/>
    </row>
    <row r="3146" spans="1:19" ht="14.25" customHeight="1" x14ac:dyDescent="0.2">
      <c r="A3146" s="1" t="s">
        <v>33</v>
      </c>
      <c r="B3146" s="7">
        <v>46107.889930555553</v>
      </c>
      <c r="C3146" s="7">
        <v>46107.924259259256</v>
      </c>
      <c r="D3146" s="8">
        <v>46107</v>
      </c>
      <c r="E3146" s="9">
        <v>0.92425925925635966</v>
      </c>
      <c r="F3146" s="10" t="s">
        <v>3447</v>
      </c>
      <c r="G3146" s="10" t="s">
        <v>180</v>
      </c>
      <c r="H3146" s="10" t="s">
        <v>385</v>
      </c>
      <c r="I3146" s="10" t="s">
        <v>23</v>
      </c>
      <c r="J3146" s="11">
        <v>2.23</v>
      </c>
      <c r="K3146" s="12"/>
      <c r="L3146" s="12"/>
      <c r="M3146" s="12"/>
      <c r="N3146" s="12"/>
      <c r="O3146" s="12"/>
      <c r="P3146" s="12"/>
      <c r="Q3146" s="12"/>
      <c r="R3146" s="12"/>
      <c r="S3146" s="12"/>
    </row>
    <row r="3147" spans="1:19" ht="14.25" customHeight="1" x14ac:dyDescent="0.2">
      <c r="A3147" s="1" t="s">
        <v>24</v>
      </c>
      <c r="B3147" s="7">
        <v>46107.895266203705</v>
      </c>
      <c r="C3147" s="7">
        <v>46107.927453703705</v>
      </c>
      <c r="D3147" s="8">
        <v>46107</v>
      </c>
      <c r="E3147" s="9">
        <v>0.92745370370539604</v>
      </c>
      <c r="F3147" s="10" t="s">
        <v>3448</v>
      </c>
      <c r="G3147" s="10" t="s">
        <v>21</v>
      </c>
      <c r="H3147" s="10" t="s">
        <v>22</v>
      </c>
      <c r="I3147" s="10" t="s">
        <v>23</v>
      </c>
      <c r="J3147" s="11">
        <v>0.83</v>
      </c>
      <c r="K3147" s="12"/>
      <c r="L3147" s="12"/>
      <c r="M3147" s="12"/>
      <c r="N3147" s="12"/>
      <c r="O3147" s="12"/>
      <c r="P3147" s="12"/>
      <c r="Q3147" s="12"/>
      <c r="R3147" s="12"/>
      <c r="S3147" s="12"/>
    </row>
    <row r="3148" spans="1:19" ht="14.25" customHeight="1" x14ac:dyDescent="0.2">
      <c r="A3148" s="1" t="s">
        <v>24</v>
      </c>
      <c r="B3148" s="7">
        <v>46107.895266203705</v>
      </c>
      <c r="C3148" s="7">
        <v>46107.927627314813</v>
      </c>
      <c r="D3148" s="8">
        <v>46107</v>
      </c>
      <c r="E3148" s="9">
        <v>0.92762731481343508</v>
      </c>
      <c r="F3148" s="10" t="s">
        <v>3449</v>
      </c>
      <c r="G3148" s="10" t="s">
        <v>21</v>
      </c>
      <c r="H3148" s="10" t="s">
        <v>52</v>
      </c>
      <c r="I3148" s="10" t="s">
        <v>23</v>
      </c>
      <c r="J3148" s="11">
        <v>0.98</v>
      </c>
      <c r="K3148" s="12"/>
      <c r="L3148" s="12"/>
      <c r="M3148" s="12"/>
      <c r="N3148" s="12"/>
      <c r="O3148" s="12"/>
      <c r="P3148" s="12"/>
      <c r="Q3148" s="12"/>
      <c r="R3148" s="12"/>
      <c r="S3148" s="12"/>
    </row>
    <row r="3149" spans="1:19" ht="14.25" customHeight="1" x14ac:dyDescent="0.2">
      <c r="A3149" s="1" t="s">
        <v>24</v>
      </c>
      <c r="B3149" s="7">
        <v>46107.898136574076</v>
      </c>
      <c r="C3149" s="7">
        <v>46107.92864583333</v>
      </c>
      <c r="D3149" s="8">
        <v>46107</v>
      </c>
      <c r="E3149" s="9">
        <v>0.92864583332993789</v>
      </c>
      <c r="F3149" s="10" t="s">
        <v>3450</v>
      </c>
      <c r="G3149" s="10" t="s">
        <v>21</v>
      </c>
      <c r="H3149" s="10" t="s">
        <v>216</v>
      </c>
      <c r="I3149" s="10" t="s">
        <v>23</v>
      </c>
      <c r="J3149" s="11">
        <v>0.98</v>
      </c>
      <c r="K3149" s="12"/>
      <c r="L3149" s="12"/>
      <c r="M3149" s="12"/>
      <c r="N3149" s="12"/>
      <c r="O3149" s="12"/>
      <c r="P3149" s="12"/>
      <c r="Q3149" s="12"/>
      <c r="R3149" s="12"/>
      <c r="S3149" s="12"/>
    </row>
    <row r="3150" spans="1:19" ht="14.25" customHeight="1" x14ac:dyDescent="0.2">
      <c r="A3150" s="22" t="s">
        <v>57</v>
      </c>
      <c r="B3150" s="23">
        <v>46107.91134259259</v>
      </c>
      <c r="C3150" s="23">
        <v>46107.928807870368</v>
      </c>
      <c r="D3150" s="24">
        <v>46107</v>
      </c>
      <c r="E3150" s="25">
        <v>0.92880787036847323</v>
      </c>
      <c r="F3150" s="22" t="s">
        <v>3451</v>
      </c>
      <c r="G3150" s="22" t="s">
        <v>21</v>
      </c>
      <c r="H3150" s="22" t="s">
        <v>303</v>
      </c>
      <c r="I3150" s="22" t="s">
        <v>583</v>
      </c>
      <c r="J3150" s="26">
        <v>1.77</v>
      </c>
      <c r="K3150" s="26"/>
      <c r="L3150" s="26"/>
      <c r="M3150" s="26"/>
      <c r="N3150" s="26"/>
      <c r="O3150" s="26"/>
      <c r="P3150" s="26"/>
      <c r="Q3150" s="26"/>
      <c r="R3150" s="26"/>
      <c r="S3150" s="26"/>
    </row>
    <row r="3151" spans="1:19" ht="14.25" customHeight="1" x14ac:dyDescent="0.2">
      <c r="A3151" s="1" t="s">
        <v>24</v>
      </c>
      <c r="B3151" s="7">
        <v>46107.907835648148</v>
      </c>
      <c r="C3151" s="7">
        <v>46107.929027777776</v>
      </c>
      <c r="D3151" s="8">
        <v>46107</v>
      </c>
      <c r="E3151" s="9">
        <v>0.92902777777635492</v>
      </c>
      <c r="F3151" s="10" t="s">
        <v>3452</v>
      </c>
      <c r="G3151" s="10" t="s">
        <v>21</v>
      </c>
      <c r="H3151" s="10" t="s">
        <v>3453</v>
      </c>
      <c r="I3151" s="10" t="s">
        <v>23</v>
      </c>
      <c r="J3151" s="11">
        <v>0.98</v>
      </c>
      <c r="K3151" s="12"/>
      <c r="L3151" s="12"/>
      <c r="M3151" s="12"/>
      <c r="N3151" s="12"/>
      <c r="O3151" s="12"/>
      <c r="P3151" s="12"/>
      <c r="Q3151" s="12"/>
      <c r="R3151" s="12"/>
      <c r="S3151" s="12"/>
    </row>
    <row r="3152" spans="1:19" ht="14.25" customHeight="1" x14ac:dyDescent="0.2">
      <c r="A3152" s="1" t="s">
        <v>24</v>
      </c>
      <c r="B3152" s="7">
        <v>46107.907835648148</v>
      </c>
      <c r="C3152" s="7">
        <v>46107.93041666667</v>
      </c>
      <c r="D3152" s="8">
        <v>46107</v>
      </c>
      <c r="E3152" s="9">
        <v>0.93041666666977108</v>
      </c>
      <c r="F3152" s="10" t="s">
        <v>3454</v>
      </c>
      <c r="G3152" s="10" t="s">
        <v>21</v>
      </c>
      <c r="H3152" s="10" t="s">
        <v>3455</v>
      </c>
      <c r="I3152" s="10" t="s">
        <v>23</v>
      </c>
      <c r="J3152" s="11">
        <v>0.98</v>
      </c>
      <c r="K3152" s="12"/>
      <c r="L3152" s="12"/>
      <c r="M3152" s="12"/>
      <c r="N3152" s="12"/>
      <c r="O3152" s="12"/>
      <c r="P3152" s="12"/>
      <c r="Q3152" s="12"/>
      <c r="R3152" s="12"/>
      <c r="S3152" s="12"/>
    </row>
    <row r="3153" spans="1:19" ht="14.25" customHeight="1" x14ac:dyDescent="0.2">
      <c r="A3153" s="1" t="s">
        <v>28</v>
      </c>
      <c r="B3153" s="7">
        <v>46107.912430555552</v>
      </c>
      <c r="C3153" s="7">
        <v>46107.930567129632</v>
      </c>
      <c r="D3153" s="8">
        <v>46107</v>
      </c>
      <c r="E3153" s="9">
        <v>0.93056712963152677</v>
      </c>
      <c r="F3153" s="10" t="s">
        <v>3456</v>
      </c>
      <c r="G3153" s="10" t="s">
        <v>26</v>
      </c>
      <c r="H3153" s="10" t="s">
        <v>86</v>
      </c>
      <c r="I3153" s="10" t="s">
        <v>23</v>
      </c>
      <c r="J3153" s="11">
        <v>0.88</v>
      </c>
      <c r="K3153" s="12"/>
      <c r="L3153" s="12"/>
      <c r="M3153" s="12"/>
      <c r="N3153" s="12"/>
      <c r="O3153" s="12"/>
      <c r="P3153" s="12"/>
      <c r="Q3153" s="12"/>
      <c r="R3153" s="12"/>
      <c r="S3153" s="12"/>
    </row>
    <row r="3154" spans="1:19" ht="14.25" customHeight="1" x14ac:dyDescent="0.2">
      <c r="A3154" s="1" t="s">
        <v>19</v>
      </c>
      <c r="B3154" s="7">
        <v>46107.905844907407</v>
      </c>
      <c r="C3154" s="7">
        <v>46107.936921296299</v>
      </c>
      <c r="D3154" s="8">
        <v>46107</v>
      </c>
      <c r="E3154" s="9">
        <v>0.93692129629926058</v>
      </c>
      <c r="F3154" s="10" t="s">
        <v>3457</v>
      </c>
      <c r="G3154" s="10" t="s">
        <v>21</v>
      </c>
      <c r="H3154" s="10" t="s">
        <v>3458</v>
      </c>
      <c r="I3154" s="10" t="s">
        <v>23</v>
      </c>
      <c r="J3154" s="11">
        <v>1.96</v>
      </c>
      <c r="K3154" s="12"/>
      <c r="L3154" s="12"/>
      <c r="M3154" s="12"/>
      <c r="N3154" s="12"/>
      <c r="O3154" s="12"/>
      <c r="P3154" s="12"/>
      <c r="Q3154" s="12"/>
      <c r="R3154" s="12"/>
      <c r="S3154" s="12"/>
    </row>
    <row r="3155" spans="1:19" ht="14.25" customHeight="1" x14ac:dyDescent="0.2">
      <c r="A3155" s="1" t="s">
        <v>19</v>
      </c>
      <c r="B3155" s="7">
        <v>46107.922511574077</v>
      </c>
      <c r="C3155" s="7">
        <v>46107.937337962961</v>
      </c>
      <c r="D3155" s="8">
        <v>46107</v>
      </c>
      <c r="E3155" s="9">
        <v>0.93733796296146465</v>
      </c>
      <c r="F3155" s="10" t="s">
        <v>3459</v>
      </c>
      <c r="G3155" s="10" t="s">
        <v>21</v>
      </c>
      <c r="H3155" s="10" t="s">
        <v>22</v>
      </c>
      <c r="I3155" s="10" t="s">
        <v>23</v>
      </c>
      <c r="J3155" s="11">
        <v>0.83</v>
      </c>
      <c r="K3155" s="12"/>
      <c r="L3155" s="12"/>
      <c r="M3155" s="12"/>
      <c r="N3155" s="12"/>
      <c r="O3155" s="12"/>
      <c r="P3155" s="12"/>
      <c r="Q3155" s="12"/>
      <c r="R3155" s="12"/>
      <c r="S3155" s="12"/>
    </row>
    <row r="3156" spans="1:19" ht="14.25" customHeight="1" x14ac:dyDescent="0.2">
      <c r="A3156" s="1" t="s">
        <v>24</v>
      </c>
      <c r="B3156" s="7">
        <v>46107.914988425924</v>
      </c>
      <c r="C3156" s="7">
        <v>46107.9375</v>
      </c>
      <c r="D3156" s="8">
        <v>46107</v>
      </c>
      <c r="E3156" s="9">
        <v>0.9375</v>
      </c>
      <c r="F3156" s="10" t="s">
        <v>3460</v>
      </c>
      <c r="G3156" s="10" t="s">
        <v>21</v>
      </c>
      <c r="H3156" s="10" t="s">
        <v>22</v>
      </c>
      <c r="I3156" s="10" t="s">
        <v>23</v>
      </c>
      <c r="J3156" s="11">
        <v>0.83</v>
      </c>
      <c r="K3156" s="12"/>
      <c r="L3156" s="12"/>
      <c r="M3156" s="12"/>
      <c r="N3156" s="12"/>
      <c r="O3156" s="12"/>
      <c r="P3156" s="12"/>
      <c r="Q3156" s="12"/>
      <c r="R3156" s="12"/>
      <c r="S3156" s="12"/>
    </row>
    <row r="3157" spans="1:19" ht="14.25" customHeight="1" x14ac:dyDescent="0.2">
      <c r="A3157" s="1" t="s">
        <v>24</v>
      </c>
      <c r="B3157" s="7">
        <v>46107.914988425924</v>
      </c>
      <c r="C3157" s="7">
        <v>46107.937789351854</v>
      </c>
      <c r="D3157" s="8">
        <v>46107</v>
      </c>
      <c r="E3157" s="9">
        <v>0.93778935185400769</v>
      </c>
      <c r="F3157" s="10" t="s">
        <v>3461</v>
      </c>
      <c r="G3157" s="10" t="s">
        <v>21</v>
      </c>
      <c r="H3157" s="10" t="s">
        <v>142</v>
      </c>
      <c r="I3157" s="10" t="s">
        <v>23</v>
      </c>
      <c r="J3157" s="11">
        <v>0.83</v>
      </c>
      <c r="K3157" s="12"/>
      <c r="L3157" s="12"/>
      <c r="M3157" s="12"/>
      <c r="N3157" s="12"/>
      <c r="O3157" s="12"/>
      <c r="P3157" s="12"/>
      <c r="Q3157" s="12"/>
      <c r="R3157" s="12"/>
      <c r="S3157" s="12"/>
    </row>
    <row r="3158" spans="1:19" ht="14.25" customHeight="1" x14ac:dyDescent="0.2">
      <c r="A3158" s="22" t="s">
        <v>19</v>
      </c>
      <c r="B3158" s="23">
        <v>46107.907581018517</v>
      </c>
      <c r="C3158" s="23">
        <v>46107.937905092593</v>
      </c>
      <c r="D3158" s="24">
        <v>46107</v>
      </c>
      <c r="E3158" s="25">
        <v>0.93790509259270038</v>
      </c>
      <c r="F3158" s="22" t="s">
        <v>3462</v>
      </c>
      <c r="G3158" s="22" t="s">
        <v>21</v>
      </c>
      <c r="H3158" s="22" t="s">
        <v>22</v>
      </c>
      <c r="I3158" s="22" t="s">
        <v>583</v>
      </c>
      <c r="J3158" s="26">
        <v>0.83</v>
      </c>
      <c r="K3158" s="26"/>
      <c r="L3158" s="26"/>
      <c r="M3158" s="26"/>
      <c r="N3158" s="26"/>
      <c r="O3158" s="26"/>
      <c r="P3158" s="26"/>
      <c r="Q3158" s="26"/>
      <c r="R3158" s="26"/>
      <c r="S3158" s="26"/>
    </row>
    <row r="3159" spans="1:19" ht="14.25" customHeight="1" x14ac:dyDescent="0.2">
      <c r="A3159" s="1" t="s">
        <v>19</v>
      </c>
      <c r="B3159" s="7">
        <v>46107.926041666666</v>
      </c>
      <c r="C3159" s="7">
        <v>46107.938275462962</v>
      </c>
      <c r="D3159" s="8">
        <v>46107</v>
      </c>
      <c r="E3159" s="9">
        <v>0.93827546296233777</v>
      </c>
      <c r="F3159" s="10" t="s">
        <v>3463</v>
      </c>
      <c r="G3159" s="10" t="s">
        <v>21</v>
      </c>
      <c r="H3159" s="10" t="s">
        <v>31</v>
      </c>
      <c r="I3159" s="10" t="s">
        <v>23</v>
      </c>
      <c r="J3159" s="11">
        <v>0.98</v>
      </c>
      <c r="K3159" s="12"/>
      <c r="L3159" s="12"/>
      <c r="M3159" s="12"/>
      <c r="N3159" s="12"/>
      <c r="O3159" s="12"/>
      <c r="P3159" s="12"/>
      <c r="Q3159" s="12"/>
      <c r="R3159" s="12"/>
      <c r="S3159" s="12"/>
    </row>
    <row r="3160" spans="1:19" ht="14.25" customHeight="1" x14ac:dyDescent="0.2">
      <c r="A3160" s="1" t="s">
        <v>28</v>
      </c>
      <c r="B3160" s="7">
        <v>46107.92224537037</v>
      </c>
      <c r="C3160" s="7">
        <v>46107.940092592595</v>
      </c>
      <c r="D3160" s="8">
        <v>46107</v>
      </c>
      <c r="E3160" s="9">
        <v>0.94009259259473765</v>
      </c>
      <c r="F3160" s="10" t="s">
        <v>3464</v>
      </c>
      <c r="G3160" s="10" t="s">
        <v>26</v>
      </c>
      <c r="H3160" s="10" t="s">
        <v>92</v>
      </c>
      <c r="I3160" s="10" t="s">
        <v>23</v>
      </c>
      <c r="J3160" s="11">
        <v>0.63</v>
      </c>
      <c r="K3160" s="12"/>
      <c r="L3160" s="12"/>
      <c r="M3160" s="12"/>
      <c r="N3160" s="12"/>
      <c r="O3160" s="12"/>
      <c r="P3160" s="12"/>
      <c r="Q3160" s="12"/>
      <c r="R3160" s="12"/>
      <c r="S3160" s="12"/>
    </row>
    <row r="3161" spans="1:19" ht="14.25" customHeight="1" x14ac:dyDescent="0.2">
      <c r="A3161" s="1" t="s">
        <v>42</v>
      </c>
      <c r="B3161" s="7">
        <v>46107.921122685184</v>
      </c>
      <c r="C3161" s="7">
        <v>46107.947071759256</v>
      </c>
      <c r="D3161" s="8">
        <v>46107</v>
      </c>
      <c r="E3161" s="9">
        <v>0.94707175925577758</v>
      </c>
      <c r="F3161" s="10" t="s">
        <v>3465</v>
      </c>
      <c r="G3161" s="10" t="s">
        <v>26</v>
      </c>
      <c r="H3161" s="10" t="s">
        <v>125</v>
      </c>
      <c r="I3161" s="10" t="s">
        <v>23</v>
      </c>
      <c r="J3161" s="11">
        <v>0.63</v>
      </c>
      <c r="K3161" s="12"/>
      <c r="L3161" s="12"/>
      <c r="M3161" s="12"/>
      <c r="N3161" s="12"/>
      <c r="O3161" s="12"/>
      <c r="P3161" s="12"/>
      <c r="Q3161" s="12"/>
      <c r="R3161" s="12"/>
      <c r="S3161" s="12"/>
    </row>
    <row r="3162" spans="1:19" ht="14.25" customHeight="1" x14ac:dyDescent="0.2">
      <c r="A3162" s="22" t="s">
        <v>19</v>
      </c>
      <c r="B3162" s="23">
        <v>46107.891250000001</v>
      </c>
      <c r="C3162" s="23">
        <v>46107.947337962964</v>
      </c>
      <c r="D3162" s="24">
        <v>46107</v>
      </c>
      <c r="E3162" s="25">
        <v>0.94733796296350192</v>
      </c>
      <c r="F3162" s="22" t="s">
        <v>3466</v>
      </c>
      <c r="G3162" s="22" t="s">
        <v>21</v>
      </c>
      <c r="H3162" s="22" t="s">
        <v>41</v>
      </c>
      <c r="I3162" s="22" t="s">
        <v>583</v>
      </c>
      <c r="J3162" s="26">
        <v>1.77</v>
      </c>
      <c r="K3162" s="26"/>
      <c r="L3162" s="26"/>
      <c r="M3162" s="26"/>
      <c r="N3162" s="26"/>
      <c r="O3162" s="26"/>
      <c r="P3162" s="26"/>
      <c r="Q3162" s="26"/>
      <c r="R3162" s="26"/>
      <c r="S3162" s="26"/>
    </row>
    <row r="3163" spans="1:19" ht="14.25" customHeight="1" x14ac:dyDescent="0.2">
      <c r="A3163" s="1" t="s">
        <v>24</v>
      </c>
      <c r="B3163" s="7">
        <v>46107.921782407408</v>
      </c>
      <c r="C3163" s="7">
        <v>46107.951469907406</v>
      </c>
      <c r="D3163" s="8">
        <v>46107</v>
      </c>
      <c r="E3163" s="9">
        <v>0.95146990740613546</v>
      </c>
      <c r="F3163" s="10" t="s">
        <v>3467</v>
      </c>
      <c r="G3163" s="10" t="s">
        <v>21</v>
      </c>
      <c r="H3163" s="10" t="s">
        <v>39</v>
      </c>
      <c r="I3163" s="10" t="s">
        <v>23</v>
      </c>
      <c r="J3163" s="11">
        <v>1.77</v>
      </c>
      <c r="K3163" s="12"/>
      <c r="L3163" s="12"/>
      <c r="M3163" s="12"/>
      <c r="N3163" s="12"/>
      <c r="O3163" s="12"/>
      <c r="P3163" s="12"/>
      <c r="Q3163" s="12"/>
      <c r="R3163" s="12"/>
      <c r="S3163" s="12"/>
    </row>
    <row r="3164" spans="1:19" ht="14.25" customHeight="1" x14ac:dyDescent="0.2">
      <c r="A3164" s="1" t="s">
        <v>33</v>
      </c>
      <c r="B3164" s="7">
        <v>46107.933796296296</v>
      </c>
      <c r="C3164" s="7">
        <v>46107.951921296299</v>
      </c>
      <c r="D3164" s="8">
        <v>46107</v>
      </c>
      <c r="E3164" s="9">
        <v>0.9519212962986785</v>
      </c>
      <c r="F3164" s="10" t="s">
        <v>3468</v>
      </c>
      <c r="G3164" s="10" t="s">
        <v>21</v>
      </c>
      <c r="H3164" s="10" t="s">
        <v>39</v>
      </c>
      <c r="I3164" s="10" t="s">
        <v>23</v>
      </c>
      <c r="J3164" s="11">
        <v>1.77</v>
      </c>
      <c r="K3164" s="12"/>
      <c r="L3164" s="12"/>
      <c r="M3164" s="12"/>
      <c r="N3164" s="12"/>
      <c r="O3164" s="12"/>
      <c r="P3164" s="12"/>
      <c r="Q3164" s="12"/>
      <c r="R3164" s="12"/>
      <c r="S3164" s="12"/>
    </row>
    <row r="3165" spans="1:19" ht="14.25" customHeight="1" x14ac:dyDescent="0.2">
      <c r="A3165" s="1" t="s">
        <v>57</v>
      </c>
      <c r="B3165" s="7">
        <v>46107.941307870373</v>
      </c>
      <c r="C3165" s="7">
        <v>46107.952407407407</v>
      </c>
      <c r="D3165" s="8">
        <v>46107</v>
      </c>
      <c r="E3165" s="9">
        <v>0.95240740740700858</v>
      </c>
      <c r="F3165" s="10" t="s">
        <v>3469</v>
      </c>
      <c r="G3165" s="10" t="s">
        <v>21</v>
      </c>
      <c r="H3165" s="10" t="s">
        <v>448</v>
      </c>
      <c r="I3165" s="10" t="s">
        <v>23</v>
      </c>
      <c r="J3165" s="11">
        <v>1.25</v>
      </c>
      <c r="K3165" s="12"/>
      <c r="L3165" s="12"/>
      <c r="M3165" s="12"/>
      <c r="N3165" s="12"/>
      <c r="O3165" s="12"/>
      <c r="P3165" s="12"/>
      <c r="Q3165" s="12"/>
      <c r="R3165" s="12"/>
      <c r="S3165" s="12"/>
    </row>
    <row r="3166" spans="1:19" ht="14.25" customHeight="1" x14ac:dyDescent="0.2">
      <c r="A3166" s="1" t="s">
        <v>19</v>
      </c>
      <c r="B3166" s="7">
        <v>46107.925243055557</v>
      </c>
      <c r="C3166" s="7">
        <v>46107.953310185185</v>
      </c>
      <c r="D3166" s="8">
        <v>46107</v>
      </c>
      <c r="E3166" s="9">
        <v>0.95331018518481869</v>
      </c>
      <c r="F3166" s="10" t="s">
        <v>3470</v>
      </c>
      <c r="G3166" s="10" t="s">
        <v>26</v>
      </c>
      <c r="H3166" s="10" t="s">
        <v>202</v>
      </c>
      <c r="I3166" s="10" t="s">
        <v>23</v>
      </c>
      <c r="J3166" s="11">
        <v>0.57999999999999996</v>
      </c>
      <c r="K3166" s="12"/>
      <c r="L3166" s="12"/>
      <c r="M3166" s="12"/>
      <c r="N3166" s="12"/>
      <c r="O3166" s="12"/>
      <c r="P3166" s="12"/>
      <c r="Q3166" s="12"/>
      <c r="R3166" s="12"/>
      <c r="S3166" s="12"/>
    </row>
    <row r="3167" spans="1:19" ht="14.25" customHeight="1" x14ac:dyDescent="0.2">
      <c r="A3167" s="22" t="s">
        <v>33</v>
      </c>
      <c r="B3167" s="23">
        <v>46107.933796296296</v>
      </c>
      <c r="C3167" s="23">
        <v>46107.953796296293</v>
      </c>
      <c r="D3167" s="24">
        <v>46107</v>
      </c>
      <c r="E3167" s="25">
        <v>0.95379629629314877</v>
      </c>
      <c r="F3167" s="22" t="s">
        <v>3471</v>
      </c>
      <c r="G3167" s="22" t="s">
        <v>21</v>
      </c>
      <c r="H3167" s="22" t="s">
        <v>22</v>
      </c>
      <c r="I3167" s="22" t="s">
        <v>583</v>
      </c>
      <c r="J3167" s="26">
        <v>0.83</v>
      </c>
      <c r="K3167" s="26"/>
      <c r="L3167" s="26"/>
      <c r="M3167" s="26"/>
      <c r="N3167" s="26"/>
      <c r="O3167" s="26"/>
      <c r="P3167" s="26"/>
      <c r="Q3167" s="26"/>
      <c r="R3167" s="26"/>
      <c r="S3167" s="26"/>
    </row>
    <row r="3168" spans="1:19" ht="14.25" customHeight="1" x14ac:dyDescent="0.2">
      <c r="A3168" s="1" t="s">
        <v>42</v>
      </c>
      <c r="B3168" s="7">
        <v>46107.904513888891</v>
      </c>
      <c r="C3168" s="7">
        <v>46107.954375000001</v>
      </c>
      <c r="D3168" s="8">
        <v>46107</v>
      </c>
      <c r="E3168" s="9">
        <v>0.95437500000116415</v>
      </c>
      <c r="F3168" s="10" t="s">
        <v>3472</v>
      </c>
      <c r="G3168" s="10" t="s">
        <v>26</v>
      </c>
      <c r="H3168" s="10" t="s">
        <v>56</v>
      </c>
      <c r="I3168" s="10" t="s">
        <v>23</v>
      </c>
      <c r="J3168" s="11">
        <v>0.73</v>
      </c>
      <c r="K3168" s="12"/>
      <c r="L3168" s="12"/>
      <c r="M3168" s="12"/>
      <c r="N3168" s="12"/>
      <c r="O3168" s="12"/>
      <c r="P3168" s="12"/>
      <c r="Q3168" s="12"/>
      <c r="R3168" s="12"/>
      <c r="S3168" s="12"/>
    </row>
    <row r="3169" spans="1:19" ht="14.25" customHeight="1" x14ac:dyDescent="0.2">
      <c r="A3169" s="1" t="s">
        <v>24</v>
      </c>
      <c r="B3169" s="7">
        <v>46107.939641203702</v>
      </c>
      <c r="C3169" s="7">
        <v>46107.954745370371</v>
      </c>
      <c r="D3169" s="8">
        <v>46107</v>
      </c>
      <c r="E3169" s="9">
        <v>0.95474537037080154</v>
      </c>
      <c r="F3169" s="10" t="s">
        <v>3473</v>
      </c>
      <c r="G3169" s="10" t="s">
        <v>21</v>
      </c>
      <c r="H3169" s="10" t="s">
        <v>41</v>
      </c>
      <c r="I3169" s="10" t="s">
        <v>23</v>
      </c>
      <c r="J3169" s="11">
        <v>1.77</v>
      </c>
      <c r="K3169" s="12"/>
      <c r="L3169" s="12"/>
      <c r="M3169" s="12"/>
      <c r="N3169" s="12"/>
      <c r="O3169" s="12"/>
      <c r="P3169" s="12"/>
      <c r="Q3169" s="12"/>
      <c r="R3169" s="12"/>
      <c r="S3169" s="12"/>
    </row>
    <row r="3170" spans="1:19" ht="14.25" customHeight="1" x14ac:dyDescent="0.2">
      <c r="A3170" s="1" t="s">
        <v>24</v>
      </c>
      <c r="B3170" s="7">
        <v>46107.921516203707</v>
      </c>
      <c r="C3170" s="7">
        <v>46107.955185185187</v>
      </c>
      <c r="D3170" s="8">
        <v>46107</v>
      </c>
      <c r="E3170" s="9">
        <v>0.95518518518656492</v>
      </c>
      <c r="F3170" s="10" t="s">
        <v>3474</v>
      </c>
      <c r="G3170" s="10" t="s">
        <v>26</v>
      </c>
      <c r="H3170" s="10" t="s">
        <v>1367</v>
      </c>
      <c r="I3170" s="10" t="s">
        <v>23</v>
      </c>
      <c r="J3170" s="11">
        <v>0.49</v>
      </c>
      <c r="K3170" s="12"/>
      <c r="L3170" s="12"/>
      <c r="M3170" s="12"/>
      <c r="N3170" s="12"/>
      <c r="O3170" s="12"/>
      <c r="P3170" s="12"/>
      <c r="Q3170" s="12"/>
      <c r="R3170" s="12"/>
      <c r="S3170" s="12"/>
    </row>
    <row r="3171" spans="1:19" ht="14.25" customHeight="1" x14ac:dyDescent="0.2">
      <c r="A3171" s="1" t="s">
        <v>28</v>
      </c>
      <c r="B3171" s="7">
        <v>46107.952372685184</v>
      </c>
      <c r="C3171" s="7">
        <v>46107.966111111113</v>
      </c>
      <c r="D3171" s="8">
        <v>46107</v>
      </c>
      <c r="E3171" s="9">
        <v>0.96611111111269565</v>
      </c>
      <c r="F3171" s="10" t="s">
        <v>3475</v>
      </c>
      <c r="G3171" s="10" t="s">
        <v>21</v>
      </c>
      <c r="H3171" s="10" t="s">
        <v>41</v>
      </c>
      <c r="I3171" s="10" t="s">
        <v>23</v>
      </c>
      <c r="J3171" s="11">
        <v>1.77</v>
      </c>
      <c r="K3171" s="12"/>
      <c r="L3171" s="12">
        <f>SUM(J3171:J3177)</f>
        <v>8.6</v>
      </c>
      <c r="M3171" s="13">
        <f>L3171*65</f>
        <v>559</v>
      </c>
      <c r="N3171" s="14">
        <f>MAX(500,M3171)</f>
        <v>559</v>
      </c>
      <c r="O3171" s="12"/>
      <c r="P3171" s="12"/>
      <c r="Q3171" s="12"/>
      <c r="R3171" s="12"/>
      <c r="S3171" s="12"/>
    </row>
    <row r="3172" spans="1:19" ht="14.25" customHeight="1" x14ac:dyDescent="0.2">
      <c r="A3172" s="1" t="s">
        <v>95</v>
      </c>
      <c r="B3172" s="7">
        <v>46107.951770833337</v>
      </c>
      <c r="C3172" s="7">
        <v>46107.968831018516</v>
      </c>
      <c r="D3172" s="8">
        <v>46107</v>
      </c>
      <c r="E3172" s="9">
        <v>0.96883101851562969</v>
      </c>
      <c r="F3172" s="10" t="s">
        <v>3476</v>
      </c>
      <c r="G3172" s="10" t="s">
        <v>44</v>
      </c>
      <c r="H3172" s="10" t="s">
        <v>45</v>
      </c>
      <c r="I3172" s="10" t="s">
        <v>23</v>
      </c>
      <c r="J3172" s="11">
        <v>0.18</v>
      </c>
      <c r="K3172" s="12"/>
      <c r="L3172" s="12"/>
      <c r="M3172" s="12"/>
      <c r="N3172" s="12"/>
      <c r="O3172" s="12"/>
      <c r="P3172" s="12"/>
      <c r="Q3172" s="12"/>
      <c r="R3172" s="12"/>
      <c r="S3172" s="12"/>
    </row>
    <row r="3173" spans="1:19" ht="14.25" customHeight="1" x14ac:dyDescent="0.2">
      <c r="A3173" s="22" t="s">
        <v>24</v>
      </c>
      <c r="B3173" s="23">
        <v>46107.950185185182</v>
      </c>
      <c r="C3173" s="23">
        <v>46107.971388888887</v>
      </c>
      <c r="D3173" s="24">
        <v>46107</v>
      </c>
      <c r="E3173" s="25">
        <v>0.97138888888730435</v>
      </c>
      <c r="F3173" s="22" t="s">
        <v>3477</v>
      </c>
      <c r="G3173" s="22" t="s">
        <v>21</v>
      </c>
      <c r="H3173" s="22" t="s">
        <v>39</v>
      </c>
      <c r="I3173" s="22" t="s">
        <v>583</v>
      </c>
      <c r="J3173" s="26">
        <v>1.77</v>
      </c>
      <c r="K3173" s="26"/>
      <c r="L3173" s="26"/>
      <c r="M3173" s="26"/>
      <c r="N3173" s="26"/>
      <c r="O3173" s="26"/>
      <c r="P3173" s="26"/>
      <c r="Q3173" s="26"/>
      <c r="R3173" s="26"/>
      <c r="S3173" s="26"/>
    </row>
    <row r="3174" spans="1:19" ht="14.25" customHeight="1" x14ac:dyDescent="0.2">
      <c r="A3174" s="1" t="s">
        <v>33</v>
      </c>
      <c r="B3174" s="7">
        <v>46107.93482638889</v>
      </c>
      <c r="C3174" s="7">
        <v>46107.971990740742</v>
      </c>
      <c r="D3174" s="8">
        <v>46107</v>
      </c>
      <c r="E3174" s="9">
        <v>0.97199074074160308</v>
      </c>
      <c r="F3174" s="10" t="s">
        <v>3478</v>
      </c>
      <c r="G3174" s="10" t="s">
        <v>26</v>
      </c>
      <c r="H3174" s="10" t="s">
        <v>1019</v>
      </c>
      <c r="I3174" s="10" t="s">
        <v>23</v>
      </c>
      <c r="J3174" s="11">
        <v>0.67</v>
      </c>
      <c r="K3174" s="12"/>
      <c r="L3174" s="12"/>
      <c r="M3174" s="12"/>
      <c r="N3174" s="12"/>
      <c r="O3174" s="12"/>
      <c r="P3174" s="12"/>
      <c r="Q3174" s="12"/>
      <c r="R3174" s="12"/>
      <c r="S3174" s="12"/>
    </row>
    <row r="3175" spans="1:19" ht="14.25" customHeight="1" x14ac:dyDescent="0.2">
      <c r="A3175" s="1" t="s">
        <v>42</v>
      </c>
      <c r="B3175" s="7">
        <v>46107.9375462963</v>
      </c>
      <c r="C3175" s="7">
        <v>46107.972604166665</v>
      </c>
      <c r="D3175" s="8">
        <v>46107</v>
      </c>
      <c r="E3175" s="9">
        <v>0.9726041666654055</v>
      </c>
      <c r="F3175" s="10" t="s">
        <v>3479</v>
      </c>
      <c r="G3175" s="10" t="s">
        <v>26</v>
      </c>
      <c r="H3175" s="10" t="s">
        <v>391</v>
      </c>
      <c r="I3175" s="10" t="s">
        <v>23</v>
      </c>
      <c r="J3175" s="11">
        <v>0.67</v>
      </c>
      <c r="K3175" s="12"/>
      <c r="L3175" s="12"/>
      <c r="M3175" s="12"/>
      <c r="N3175" s="12"/>
      <c r="O3175" s="12"/>
      <c r="P3175" s="12"/>
      <c r="Q3175" s="12"/>
      <c r="R3175" s="12"/>
      <c r="S3175" s="12"/>
    </row>
    <row r="3176" spans="1:19" ht="14.25" customHeight="1" x14ac:dyDescent="0.2">
      <c r="A3176" s="1" t="s">
        <v>19</v>
      </c>
      <c r="B3176" s="7">
        <v>46107.961226851854</v>
      </c>
      <c r="C3176" s="7">
        <v>46107.975370370368</v>
      </c>
      <c r="D3176" s="8">
        <v>46107</v>
      </c>
      <c r="E3176" s="9">
        <v>0.97537037036818219</v>
      </c>
      <c r="F3176" s="10" t="s">
        <v>3480</v>
      </c>
      <c r="G3176" s="10" t="s">
        <v>21</v>
      </c>
      <c r="H3176" s="10" t="s">
        <v>41</v>
      </c>
      <c r="I3176" s="10" t="s">
        <v>23</v>
      </c>
      <c r="J3176" s="11">
        <v>1.77</v>
      </c>
      <c r="K3176" s="12"/>
      <c r="L3176" s="12"/>
      <c r="M3176" s="12"/>
      <c r="N3176" s="12"/>
      <c r="O3176" s="12"/>
      <c r="P3176" s="12"/>
      <c r="Q3176" s="12"/>
      <c r="R3176" s="12"/>
      <c r="S3176" s="12"/>
    </row>
    <row r="3177" spans="1:19" ht="14.25" customHeight="1" x14ac:dyDescent="0.2">
      <c r="A3177" s="1" t="s">
        <v>28</v>
      </c>
      <c r="B3177" s="7">
        <v>46107.982314814813</v>
      </c>
      <c r="C3177" s="7">
        <v>46107.999479166669</v>
      </c>
      <c r="D3177" s="8">
        <v>46107</v>
      </c>
      <c r="E3177" s="9">
        <v>0.99947916666860692</v>
      </c>
      <c r="F3177" s="10" t="s">
        <v>3481</v>
      </c>
      <c r="G3177" s="10" t="s">
        <v>21</v>
      </c>
      <c r="H3177" s="10" t="s">
        <v>39</v>
      </c>
      <c r="I3177" s="10" t="s">
        <v>23</v>
      </c>
      <c r="J3177" s="11">
        <v>1.77</v>
      </c>
      <c r="K3177" s="12"/>
      <c r="L3177" s="12"/>
      <c r="M3177" s="12"/>
      <c r="N3177" s="12"/>
      <c r="O3177" s="12"/>
      <c r="P3177" s="12"/>
      <c r="Q3177" s="12"/>
      <c r="R3177" s="12"/>
      <c r="S3177" s="12"/>
    </row>
    <row r="3178" spans="1:19" ht="14.25" customHeight="1" x14ac:dyDescent="0.2">
      <c r="A3178" s="1" t="s">
        <v>33</v>
      </c>
      <c r="B3178" s="7">
        <v>46107.982719907406</v>
      </c>
      <c r="C3178" s="7">
        <v>46108.000648148147</v>
      </c>
      <c r="D3178" s="8">
        <v>46108</v>
      </c>
      <c r="E3178" s="9">
        <v>6.4814814686542377E-4</v>
      </c>
      <c r="F3178" s="10" t="s">
        <v>3482</v>
      </c>
      <c r="G3178" s="10" t="s">
        <v>21</v>
      </c>
      <c r="H3178" s="10" t="s">
        <v>22</v>
      </c>
      <c r="I3178" s="10" t="s">
        <v>23</v>
      </c>
      <c r="J3178" s="11">
        <v>0.83</v>
      </c>
      <c r="K3178" s="12"/>
      <c r="L3178" s="12">
        <f>SUM(J3178:J3210)</f>
        <v>40.14</v>
      </c>
      <c r="M3178" s="13">
        <f>L3178*65</f>
        <v>2609.1</v>
      </c>
      <c r="N3178" s="14">
        <f>MAX(500,M3178)</f>
        <v>2609.1</v>
      </c>
      <c r="O3178" s="12"/>
      <c r="P3178" s="12"/>
      <c r="Q3178" s="12"/>
      <c r="R3178" s="12"/>
      <c r="S3178" s="12"/>
    </row>
    <row r="3179" spans="1:19" ht="14.25" customHeight="1" x14ac:dyDescent="0.2">
      <c r="A3179" s="1" t="s">
        <v>33</v>
      </c>
      <c r="B3179" s="7">
        <v>46107.982719907406</v>
      </c>
      <c r="C3179" s="7">
        <v>46108.001273148147</v>
      </c>
      <c r="D3179" s="8">
        <v>46108</v>
      </c>
      <c r="E3179" s="9">
        <v>1.2731481474475004E-3</v>
      </c>
      <c r="F3179" s="10" t="s">
        <v>3483</v>
      </c>
      <c r="G3179" s="10" t="s">
        <v>21</v>
      </c>
      <c r="H3179" s="10" t="s">
        <v>41</v>
      </c>
      <c r="I3179" s="10" t="s">
        <v>23</v>
      </c>
      <c r="J3179" s="11">
        <v>1.77</v>
      </c>
      <c r="K3179" s="12"/>
      <c r="L3179" s="12"/>
      <c r="M3179" s="12"/>
      <c r="N3179" s="12"/>
      <c r="O3179" s="12"/>
      <c r="P3179" s="12"/>
      <c r="Q3179" s="12"/>
      <c r="R3179" s="12"/>
      <c r="S3179" s="12"/>
    </row>
    <row r="3180" spans="1:19" ht="14.25" customHeight="1" x14ac:dyDescent="0.2">
      <c r="A3180" s="22" t="s">
        <v>33</v>
      </c>
      <c r="B3180" s="23">
        <v>46107.959872685184</v>
      </c>
      <c r="C3180" s="23">
        <v>46108.002106481479</v>
      </c>
      <c r="D3180" s="24">
        <v>46108</v>
      </c>
      <c r="E3180" s="25">
        <v>2.1064814791316167E-3</v>
      </c>
      <c r="F3180" s="22" t="s">
        <v>3484</v>
      </c>
      <c r="G3180" s="22" t="s">
        <v>21</v>
      </c>
      <c r="H3180" s="22" t="s">
        <v>41</v>
      </c>
      <c r="I3180" s="22" t="s">
        <v>583</v>
      </c>
      <c r="J3180" s="26">
        <v>1.77</v>
      </c>
      <c r="K3180" s="26"/>
      <c r="L3180" s="26"/>
      <c r="M3180" s="26"/>
      <c r="N3180" s="26"/>
      <c r="O3180" s="26"/>
      <c r="P3180" s="26"/>
      <c r="Q3180" s="26"/>
      <c r="R3180" s="26"/>
      <c r="S3180" s="26"/>
    </row>
    <row r="3181" spans="1:19" ht="14.25" customHeight="1" x14ac:dyDescent="0.2">
      <c r="A3181" s="22" t="s">
        <v>33</v>
      </c>
      <c r="B3181" s="23">
        <v>46107.959872685184</v>
      </c>
      <c r="C3181" s="23">
        <v>46108.002106481479</v>
      </c>
      <c r="D3181" s="24">
        <v>46108</v>
      </c>
      <c r="E3181" s="25">
        <v>2.1064814791316167E-3</v>
      </c>
      <c r="F3181" s="22" t="s">
        <v>3485</v>
      </c>
      <c r="G3181" s="22" t="s">
        <v>21</v>
      </c>
      <c r="H3181" s="22" t="s">
        <v>39</v>
      </c>
      <c r="I3181" s="22" t="s">
        <v>583</v>
      </c>
      <c r="J3181" s="26">
        <v>1.77</v>
      </c>
      <c r="K3181" s="26"/>
      <c r="L3181" s="26"/>
      <c r="M3181" s="26"/>
      <c r="N3181" s="26"/>
      <c r="O3181" s="26"/>
      <c r="P3181" s="26"/>
      <c r="Q3181" s="26"/>
      <c r="R3181" s="26"/>
      <c r="S3181" s="26"/>
    </row>
    <row r="3182" spans="1:19" ht="14.25" customHeight="1" x14ac:dyDescent="0.2">
      <c r="A3182" s="1" t="s">
        <v>28</v>
      </c>
      <c r="B3182" s="7">
        <v>46107.982314814813</v>
      </c>
      <c r="C3182" s="7">
        <v>46108.002314814818</v>
      </c>
      <c r="D3182" s="8">
        <v>46108</v>
      </c>
      <c r="E3182" s="9">
        <v>2.3148148175096139E-3</v>
      </c>
      <c r="F3182" s="10" t="s">
        <v>3486</v>
      </c>
      <c r="G3182" s="10" t="s">
        <v>21</v>
      </c>
      <c r="H3182" s="10" t="s">
        <v>41</v>
      </c>
      <c r="I3182" s="10" t="s">
        <v>23</v>
      </c>
      <c r="J3182" s="11">
        <v>1.77</v>
      </c>
      <c r="K3182" s="12"/>
      <c r="L3182" s="12"/>
      <c r="M3182" s="12"/>
      <c r="N3182" s="12"/>
      <c r="O3182" s="12"/>
      <c r="P3182" s="12"/>
      <c r="Q3182" s="12"/>
      <c r="R3182" s="12"/>
      <c r="S3182" s="12"/>
    </row>
    <row r="3183" spans="1:19" ht="14.25" customHeight="1" x14ac:dyDescent="0.2">
      <c r="A3183" s="1" t="s">
        <v>42</v>
      </c>
      <c r="B3183" s="7">
        <v>46107.960509259261</v>
      </c>
      <c r="C3183" s="7">
        <v>46108.003506944442</v>
      </c>
      <c r="D3183" s="8">
        <v>46108</v>
      </c>
      <c r="E3183" s="9">
        <v>3.5069444420514628E-3</v>
      </c>
      <c r="F3183" s="10" t="s">
        <v>3487</v>
      </c>
      <c r="G3183" s="10" t="s">
        <v>26</v>
      </c>
      <c r="H3183" s="10" t="s">
        <v>391</v>
      </c>
      <c r="I3183" s="10" t="s">
        <v>23</v>
      </c>
      <c r="J3183" s="11">
        <v>0.67</v>
      </c>
      <c r="K3183" s="12"/>
      <c r="L3183" s="12"/>
      <c r="M3183" s="12"/>
      <c r="N3183" s="12"/>
      <c r="O3183" s="12"/>
      <c r="P3183" s="12"/>
      <c r="Q3183" s="12"/>
      <c r="R3183" s="12"/>
      <c r="S3183" s="12"/>
    </row>
    <row r="3184" spans="1:19" ht="14.25" customHeight="1" x14ac:dyDescent="0.2">
      <c r="A3184" s="1" t="s">
        <v>95</v>
      </c>
      <c r="B3184" s="7">
        <v>46107.986215277779</v>
      </c>
      <c r="C3184" s="7">
        <v>46108.003807870373</v>
      </c>
      <c r="D3184" s="8">
        <v>46108</v>
      </c>
      <c r="E3184" s="9">
        <v>3.8078703728388064E-3</v>
      </c>
      <c r="F3184" s="10" t="s">
        <v>3488</v>
      </c>
      <c r="G3184" s="10" t="s">
        <v>44</v>
      </c>
      <c r="H3184" s="10" t="s">
        <v>45</v>
      </c>
      <c r="I3184" s="10" t="s">
        <v>23</v>
      </c>
      <c r="J3184" s="11">
        <v>0.18</v>
      </c>
      <c r="K3184" s="12"/>
      <c r="L3184" s="12"/>
      <c r="M3184" s="12"/>
      <c r="N3184" s="12"/>
      <c r="O3184" s="12"/>
      <c r="P3184" s="12"/>
      <c r="Q3184" s="12"/>
      <c r="R3184" s="12"/>
      <c r="S3184" s="12"/>
    </row>
    <row r="3185" spans="1:19" ht="14.25" customHeight="1" x14ac:dyDescent="0.2">
      <c r="A3185" s="1" t="s">
        <v>95</v>
      </c>
      <c r="B3185" s="7">
        <v>46107.968888888892</v>
      </c>
      <c r="C3185" s="7">
        <v>46108.007465277777</v>
      </c>
      <c r="D3185" s="8">
        <v>46108</v>
      </c>
      <c r="E3185" s="9">
        <v>7.4652777766459621E-3</v>
      </c>
      <c r="F3185" s="10" t="s">
        <v>3489</v>
      </c>
      <c r="G3185" s="10" t="s">
        <v>21</v>
      </c>
      <c r="H3185" s="10" t="s">
        <v>97</v>
      </c>
      <c r="I3185" s="10" t="s">
        <v>23</v>
      </c>
      <c r="J3185" s="11">
        <v>1.77</v>
      </c>
      <c r="K3185" s="12"/>
      <c r="L3185" s="12"/>
      <c r="M3185" s="12"/>
      <c r="N3185" s="12"/>
      <c r="O3185" s="12"/>
      <c r="P3185" s="12"/>
      <c r="Q3185" s="12"/>
      <c r="R3185" s="12"/>
      <c r="S3185" s="12"/>
    </row>
    <row r="3186" spans="1:19" ht="14.25" customHeight="1" x14ac:dyDescent="0.2">
      <c r="A3186" s="1" t="s">
        <v>95</v>
      </c>
      <c r="B3186" s="7">
        <v>46107.994432870371</v>
      </c>
      <c r="C3186" s="7">
        <v>46108.007777777777</v>
      </c>
      <c r="D3186" s="8">
        <v>46108</v>
      </c>
      <c r="E3186" s="9">
        <v>7.7777777769370005E-3</v>
      </c>
      <c r="F3186" s="10" t="s">
        <v>3490</v>
      </c>
      <c r="G3186" s="10" t="s">
        <v>21</v>
      </c>
      <c r="H3186" s="10" t="s">
        <v>110</v>
      </c>
      <c r="I3186" s="10" t="s">
        <v>23</v>
      </c>
      <c r="J3186" s="11">
        <v>0.83</v>
      </c>
      <c r="K3186" s="12"/>
      <c r="L3186" s="12"/>
      <c r="M3186" s="12"/>
      <c r="N3186" s="12"/>
      <c r="O3186" s="12"/>
      <c r="P3186" s="12"/>
      <c r="Q3186" s="12"/>
      <c r="R3186" s="12"/>
      <c r="S3186" s="12"/>
    </row>
    <row r="3187" spans="1:19" ht="14.25" customHeight="1" x14ac:dyDescent="0.2">
      <c r="A3187" s="1" t="s">
        <v>95</v>
      </c>
      <c r="B3187" s="7">
        <v>46107.962476851855</v>
      </c>
      <c r="C3187" s="7">
        <v>46108.008263888885</v>
      </c>
      <c r="D3187" s="8">
        <v>46108</v>
      </c>
      <c r="E3187" s="9">
        <v>8.2638888852670789E-3</v>
      </c>
      <c r="F3187" s="10" t="s">
        <v>3491</v>
      </c>
      <c r="G3187" s="10" t="s">
        <v>21</v>
      </c>
      <c r="H3187" s="10" t="s">
        <v>97</v>
      </c>
      <c r="I3187" s="10" t="s">
        <v>23</v>
      </c>
      <c r="J3187" s="11">
        <v>1.77</v>
      </c>
      <c r="K3187" s="12"/>
      <c r="L3187" s="12"/>
      <c r="M3187" s="12"/>
      <c r="N3187" s="12"/>
      <c r="O3187" s="12"/>
      <c r="P3187" s="12"/>
      <c r="Q3187" s="12"/>
      <c r="R3187" s="12"/>
      <c r="S3187" s="12"/>
    </row>
    <row r="3188" spans="1:19" ht="14.25" customHeight="1" x14ac:dyDescent="0.2">
      <c r="A3188" s="1" t="s">
        <v>95</v>
      </c>
      <c r="B3188" s="7">
        <v>46107.987997685188</v>
      </c>
      <c r="C3188" s="7">
        <v>46108.009618055556</v>
      </c>
      <c r="D3188" s="8">
        <v>46108</v>
      </c>
      <c r="E3188" s="9">
        <v>9.6180555556202307E-3</v>
      </c>
      <c r="F3188" s="10" t="s">
        <v>3492</v>
      </c>
      <c r="G3188" s="10" t="s">
        <v>21</v>
      </c>
      <c r="H3188" s="10" t="s">
        <v>97</v>
      </c>
      <c r="I3188" s="10" t="s">
        <v>23</v>
      </c>
      <c r="J3188" s="11">
        <v>1.77</v>
      </c>
      <c r="K3188" s="12"/>
      <c r="L3188" s="12"/>
      <c r="M3188" s="12"/>
      <c r="N3188" s="12"/>
      <c r="O3188" s="12"/>
      <c r="P3188" s="12"/>
      <c r="Q3188" s="12"/>
      <c r="R3188" s="12"/>
      <c r="S3188" s="12"/>
    </row>
    <row r="3189" spans="1:19" ht="14.25" customHeight="1" x14ac:dyDescent="0.2">
      <c r="A3189" s="1" t="s">
        <v>57</v>
      </c>
      <c r="B3189" s="7">
        <v>46108.004247685189</v>
      </c>
      <c r="C3189" s="7">
        <v>46108.012997685182</v>
      </c>
      <c r="D3189" s="8">
        <v>46108</v>
      </c>
      <c r="E3189" s="9">
        <v>1.2997685182199348E-2</v>
      </c>
      <c r="F3189" s="10" t="s">
        <v>3493</v>
      </c>
      <c r="G3189" s="10" t="s">
        <v>21</v>
      </c>
      <c r="H3189" s="10" t="s">
        <v>59</v>
      </c>
      <c r="I3189" s="10" t="s">
        <v>23</v>
      </c>
      <c r="J3189" s="11">
        <v>0.83</v>
      </c>
      <c r="K3189" s="12"/>
      <c r="L3189" s="12"/>
      <c r="M3189" s="12"/>
      <c r="N3189" s="12"/>
      <c r="O3189" s="12"/>
      <c r="P3189" s="12"/>
      <c r="Q3189" s="12"/>
      <c r="R3189" s="12"/>
      <c r="S3189" s="12"/>
    </row>
    <row r="3190" spans="1:19" ht="14.25" customHeight="1" x14ac:dyDescent="0.2">
      <c r="A3190" s="1" t="s">
        <v>95</v>
      </c>
      <c r="B3190" s="7">
        <v>46108.003182870372</v>
      </c>
      <c r="C3190" s="7">
        <v>46108.013425925928</v>
      </c>
      <c r="D3190" s="8">
        <v>46108</v>
      </c>
      <c r="E3190" s="9">
        <v>1.3425925928459037E-2</v>
      </c>
      <c r="F3190" s="10" t="s">
        <v>3494</v>
      </c>
      <c r="G3190" s="10" t="s">
        <v>21</v>
      </c>
      <c r="H3190" s="10" t="s">
        <v>110</v>
      </c>
      <c r="I3190" s="10" t="s">
        <v>23</v>
      </c>
      <c r="J3190" s="11">
        <v>0.83</v>
      </c>
      <c r="K3190" s="12"/>
      <c r="L3190" s="12"/>
      <c r="M3190" s="12"/>
      <c r="N3190" s="12"/>
      <c r="O3190" s="12"/>
      <c r="P3190" s="12"/>
      <c r="Q3190" s="12"/>
      <c r="R3190" s="12"/>
      <c r="S3190" s="12"/>
    </row>
    <row r="3191" spans="1:19" ht="14.25" customHeight="1" x14ac:dyDescent="0.2">
      <c r="A3191" s="1" t="s">
        <v>95</v>
      </c>
      <c r="B3191" s="7">
        <v>46108.000497685185</v>
      </c>
      <c r="C3191" s="7">
        <v>46108.013668981483</v>
      </c>
      <c r="D3191" s="8">
        <v>46108</v>
      </c>
      <c r="E3191" s="9">
        <v>1.3668981482624076E-2</v>
      </c>
      <c r="F3191" s="10" t="s">
        <v>3495</v>
      </c>
      <c r="G3191" s="10" t="s">
        <v>21</v>
      </c>
      <c r="H3191" s="10" t="s">
        <v>52</v>
      </c>
      <c r="I3191" s="10" t="s">
        <v>23</v>
      </c>
      <c r="J3191" s="11">
        <v>0.98</v>
      </c>
      <c r="K3191" s="12"/>
      <c r="L3191" s="12"/>
      <c r="M3191" s="12"/>
      <c r="N3191" s="12"/>
      <c r="O3191" s="12"/>
      <c r="P3191" s="12"/>
      <c r="Q3191" s="12"/>
      <c r="R3191" s="12"/>
      <c r="S3191" s="12"/>
    </row>
    <row r="3192" spans="1:19" ht="14.25" customHeight="1" x14ac:dyDescent="0.2">
      <c r="A3192" s="1" t="s">
        <v>95</v>
      </c>
      <c r="B3192" s="7">
        <v>46107.990405092591</v>
      </c>
      <c r="C3192" s="7">
        <v>46108.014224537037</v>
      </c>
      <c r="D3192" s="8">
        <v>46108</v>
      </c>
      <c r="E3192" s="9">
        <v>1.4224537037080154E-2</v>
      </c>
      <c r="F3192" s="10" t="s">
        <v>3496</v>
      </c>
      <c r="G3192" s="10" t="s">
        <v>21</v>
      </c>
      <c r="H3192" s="10" t="s">
        <v>216</v>
      </c>
      <c r="I3192" s="10" t="s">
        <v>23</v>
      </c>
      <c r="J3192" s="11">
        <v>0.98</v>
      </c>
      <c r="K3192" s="12"/>
      <c r="L3192" s="12"/>
      <c r="M3192" s="12"/>
      <c r="N3192" s="12"/>
      <c r="O3192" s="12"/>
      <c r="P3192" s="12"/>
      <c r="Q3192" s="12"/>
      <c r="R3192" s="12"/>
      <c r="S3192" s="12"/>
    </row>
    <row r="3193" spans="1:19" ht="14.25" customHeight="1" x14ac:dyDescent="0.2">
      <c r="A3193" s="1" t="s">
        <v>24</v>
      </c>
      <c r="B3193" s="7">
        <v>46107.996539351851</v>
      </c>
      <c r="C3193" s="7">
        <v>46108.014513888891</v>
      </c>
      <c r="D3193" s="8">
        <v>46108</v>
      </c>
      <c r="E3193" s="9">
        <v>1.4513888891087845E-2</v>
      </c>
      <c r="F3193" s="10" t="s">
        <v>3497</v>
      </c>
      <c r="G3193" s="10" t="s">
        <v>26</v>
      </c>
      <c r="H3193" s="10" t="s">
        <v>1019</v>
      </c>
      <c r="I3193" s="10" t="s">
        <v>23</v>
      </c>
      <c r="J3193" s="11">
        <v>0.67</v>
      </c>
      <c r="K3193" s="12"/>
      <c r="L3193" s="12"/>
      <c r="M3193" s="12"/>
      <c r="N3193" s="12"/>
      <c r="O3193" s="12"/>
      <c r="P3193" s="12"/>
      <c r="Q3193" s="12"/>
      <c r="R3193" s="12"/>
      <c r="S3193" s="12"/>
    </row>
    <row r="3194" spans="1:19" ht="14.25" customHeight="1" x14ac:dyDescent="0.2">
      <c r="A3194" s="22" t="s">
        <v>95</v>
      </c>
      <c r="B3194" s="23">
        <v>46107.953368055554</v>
      </c>
      <c r="C3194" s="23">
        <v>46108.017534722225</v>
      </c>
      <c r="D3194" s="24">
        <v>46108</v>
      </c>
      <c r="E3194" s="25">
        <v>1.7534722224809229E-2</v>
      </c>
      <c r="F3194" s="22" t="s">
        <v>3498</v>
      </c>
      <c r="G3194" s="22" t="s">
        <v>21</v>
      </c>
      <c r="H3194" s="22" t="s">
        <v>97</v>
      </c>
      <c r="I3194" s="22" t="s">
        <v>583</v>
      </c>
      <c r="J3194" s="26">
        <v>1.77</v>
      </c>
      <c r="K3194" s="26"/>
      <c r="L3194" s="26"/>
      <c r="M3194" s="26"/>
      <c r="N3194" s="26"/>
      <c r="O3194" s="26"/>
      <c r="P3194" s="26"/>
      <c r="Q3194" s="26"/>
      <c r="R3194" s="26"/>
      <c r="S3194" s="26"/>
    </row>
    <row r="3195" spans="1:19" ht="14.25" customHeight="1" x14ac:dyDescent="0.2">
      <c r="A3195" s="1" t="s">
        <v>95</v>
      </c>
      <c r="B3195" s="7">
        <v>46107.976180555554</v>
      </c>
      <c r="C3195" s="7">
        <v>46108.022094907406</v>
      </c>
      <c r="D3195" s="8">
        <v>46108</v>
      </c>
      <c r="E3195" s="9">
        <v>2.2094907406426501E-2</v>
      </c>
      <c r="F3195" s="10" t="s">
        <v>3499</v>
      </c>
      <c r="G3195" s="10" t="s">
        <v>21</v>
      </c>
      <c r="H3195" s="10" t="s">
        <v>154</v>
      </c>
      <c r="I3195" s="10" t="s">
        <v>23</v>
      </c>
      <c r="J3195" s="11">
        <v>1.77</v>
      </c>
      <c r="K3195" s="12"/>
      <c r="L3195" s="12"/>
      <c r="M3195" s="12"/>
      <c r="N3195" s="12"/>
      <c r="O3195" s="12"/>
      <c r="P3195" s="12"/>
      <c r="Q3195" s="12"/>
      <c r="R3195" s="12"/>
      <c r="S3195" s="12"/>
    </row>
    <row r="3196" spans="1:19" ht="14.25" customHeight="1" x14ac:dyDescent="0.2">
      <c r="A3196" s="1" t="s">
        <v>24</v>
      </c>
      <c r="B3196" s="7">
        <v>46108.005520833336</v>
      </c>
      <c r="C3196" s="7">
        <v>46108.022534722222</v>
      </c>
      <c r="D3196" s="8">
        <v>46108</v>
      </c>
      <c r="E3196" s="9">
        <v>2.2534722222189885E-2</v>
      </c>
      <c r="F3196" s="10" t="s">
        <v>3500</v>
      </c>
      <c r="G3196" s="10" t="s">
        <v>21</v>
      </c>
      <c r="H3196" s="10" t="s">
        <v>41</v>
      </c>
      <c r="I3196" s="10" t="s">
        <v>23</v>
      </c>
      <c r="J3196" s="11">
        <v>1.77</v>
      </c>
      <c r="K3196" s="12"/>
      <c r="L3196" s="12"/>
      <c r="M3196" s="12"/>
      <c r="N3196" s="12"/>
      <c r="O3196" s="12"/>
      <c r="P3196" s="12"/>
      <c r="Q3196" s="12"/>
      <c r="R3196" s="12"/>
      <c r="S3196" s="12"/>
    </row>
    <row r="3197" spans="1:19" ht="14.25" customHeight="1" x14ac:dyDescent="0.2">
      <c r="A3197" s="1" t="s">
        <v>24</v>
      </c>
      <c r="B3197" s="7">
        <v>46108.000775462962</v>
      </c>
      <c r="C3197" s="7">
        <v>46108.0234375</v>
      </c>
      <c r="D3197" s="8">
        <v>46108</v>
      </c>
      <c r="E3197" s="9">
        <v>2.34375E-2</v>
      </c>
      <c r="F3197" s="10" t="s">
        <v>3501</v>
      </c>
      <c r="G3197" s="10" t="s">
        <v>21</v>
      </c>
      <c r="H3197" s="10" t="s">
        <v>620</v>
      </c>
      <c r="I3197" s="10" t="s">
        <v>23</v>
      </c>
      <c r="J3197" s="11">
        <v>1.06</v>
      </c>
      <c r="K3197" s="12"/>
      <c r="L3197" s="12"/>
      <c r="M3197" s="12"/>
      <c r="N3197" s="12"/>
      <c r="O3197" s="12"/>
      <c r="P3197" s="12"/>
      <c r="Q3197" s="12"/>
      <c r="R3197" s="12"/>
      <c r="S3197" s="12"/>
    </row>
    <row r="3198" spans="1:19" ht="14.25" customHeight="1" x14ac:dyDescent="0.2">
      <c r="A3198" s="1" t="s">
        <v>95</v>
      </c>
      <c r="B3198" s="7">
        <v>46107.995196759257</v>
      </c>
      <c r="C3198" s="7">
        <v>46108.023912037039</v>
      </c>
      <c r="D3198" s="8">
        <v>46108</v>
      </c>
      <c r="E3198" s="9">
        <v>2.3912037038826384E-2</v>
      </c>
      <c r="F3198" s="10" t="s">
        <v>3502</v>
      </c>
      <c r="G3198" s="10" t="s">
        <v>21</v>
      </c>
      <c r="H3198" s="10" t="s">
        <v>1382</v>
      </c>
      <c r="I3198" s="10" t="s">
        <v>23</v>
      </c>
      <c r="J3198" s="11">
        <v>1.77</v>
      </c>
      <c r="K3198" s="12"/>
      <c r="L3198" s="12"/>
      <c r="M3198" s="12"/>
      <c r="N3198" s="12"/>
      <c r="O3198" s="12"/>
      <c r="P3198" s="12"/>
      <c r="Q3198" s="12"/>
      <c r="R3198" s="12"/>
      <c r="S3198" s="12"/>
    </row>
    <row r="3199" spans="1:19" ht="14.25" customHeight="1" x14ac:dyDescent="0.2">
      <c r="A3199" s="22" t="s">
        <v>24</v>
      </c>
      <c r="B3199" s="23">
        <v>46107.990069444444</v>
      </c>
      <c r="C3199" s="23">
        <v>46108.025578703702</v>
      </c>
      <c r="D3199" s="24">
        <v>46108</v>
      </c>
      <c r="E3199" s="25">
        <v>2.5578703702194616E-2</v>
      </c>
      <c r="F3199" s="22" t="s">
        <v>3503</v>
      </c>
      <c r="G3199" s="22" t="s">
        <v>21</v>
      </c>
      <c r="H3199" s="22" t="s">
        <v>41</v>
      </c>
      <c r="I3199" s="22" t="s">
        <v>583</v>
      </c>
      <c r="J3199" s="26">
        <v>1.77</v>
      </c>
      <c r="K3199" s="26"/>
      <c r="L3199" s="26"/>
      <c r="M3199" s="26"/>
      <c r="N3199" s="26"/>
      <c r="O3199" s="26"/>
      <c r="P3199" s="26"/>
      <c r="Q3199" s="26"/>
      <c r="R3199" s="26"/>
      <c r="S3199" s="26"/>
    </row>
    <row r="3200" spans="1:19" ht="14.25" customHeight="1" x14ac:dyDescent="0.2">
      <c r="A3200" s="1" t="s">
        <v>95</v>
      </c>
      <c r="B3200" s="7">
        <v>46108.013807870368</v>
      </c>
      <c r="C3200" s="7">
        <v>46108.029456018521</v>
      </c>
      <c r="D3200" s="8">
        <v>46108</v>
      </c>
      <c r="E3200" s="9">
        <v>2.9456018521159422E-2</v>
      </c>
      <c r="F3200" s="10" t="s">
        <v>3504</v>
      </c>
      <c r="G3200" s="10" t="s">
        <v>21</v>
      </c>
      <c r="H3200" s="10" t="s">
        <v>110</v>
      </c>
      <c r="I3200" s="10" t="s">
        <v>23</v>
      </c>
      <c r="J3200" s="11">
        <v>0.83</v>
      </c>
      <c r="K3200" s="12"/>
      <c r="L3200" s="12"/>
      <c r="M3200" s="12"/>
      <c r="N3200" s="12"/>
      <c r="O3200" s="12"/>
      <c r="P3200" s="12"/>
      <c r="Q3200" s="12"/>
      <c r="R3200" s="12"/>
      <c r="S3200" s="12"/>
    </row>
    <row r="3201" spans="1:19" ht="14.25" customHeight="1" x14ac:dyDescent="0.2">
      <c r="A3201" s="22" t="s">
        <v>33</v>
      </c>
      <c r="B3201" s="23">
        <v>46107.935983796298</v>
      </c>
      <c r="C3201" s="23">
        <v>46108.029965277776</v>
      </c>
      <c r="D3201" s="24">
        <v>46108</v>
      </c>
      <c r="E3201" s="25">
        <v>2.9965277775772847E-2</v>
      </c>
      <c r="F3201" s="22" t="s">
        <v>3505</v>
      </c>
      <c r="G3201" s="22" t="s">
        <v>44</v>
      </c>
      <c r="H3201" s="22" t="s">
        <v>185</v>
      </c>
      <c r="I3201" s="22" t="s">
        <v>583</v>
      </c>
      <c r="J3201" s="26">
        <v>0.18</v>
      </c>
      <c r="K3201" s="26"/>
      <c r="L3201" s="26"/>
      <c r="M3201" s="26"/>
      <c r="N3201" s="26"/>
      <c r="O3201" s="26"/>
      <c r="P3201" s="26"/>
      <c r="Q3201" s="26"/>
      <c r="R3201" s="26"/>
      <c r="S3201" s="26"/>
    </row>
    <row r="3202" spans="1:19" ht="14.25" customHeight="1" x14ac:dyDescent="0.2">
      <c r="A3202" s="1" t="s">
        <v>19</v>
      </c>
      <c r="B3202" s="7">
        <v>46107.95653935185</v>
      </c>
      <c r="C3202" s="7">
        <v>46108.030543981484</v>
      </c>
      <c r="D3202" s="8">
        <v>46108</v>
      </c>
      <c r="E3202" s="9">
        <v>3.054398148378823E-2</v>
      </c>
      <c r="F3202" s="10" t="s">
        <v>3506</v>
      </c>
      <c r="G3202" s="10" t="s">
        <v>26</v>
      </c>
      <c r="H3202" s="10" t="s">
        <v>284</v>
      </c>
      <c r="I3202" s="10" t="s">
        <v>23</v>
      </c>
      <c r="J3202" s="11">
        <v>0.88</v>
      </c>
      <c r="K3202" s="12"/>
      <c r="L3202" s="12"/>
      <c r="M3202" s="12"/>
      <c r="N3202" s="12"/>
      <c r="O3202" s="12"/>
      <c r="P3202" s="12"/>
      <c r="Q3202" s="12"/>
      <c r="R3202" s="12"/>
      <c r="S3202" s="12"/>
    </row>
    <row r="3203" spans="1:19" ht="14.25" customHeight="1" x14ac:dyDescent="0.2">
      <c r="A3203" s="22" t="s">
        <v>28</v>
      </c>
      <c r="B3203" s="23">
        <v>46107.871064814812</v>
      </c>
      <c r="C3203" s="23">
        <v>46108.032210648147</v>
      </c>
      <c r="D3203" s="24">
        <v>46108</v>
      </c>
      <c r="E3203" s="25">
        <v>3.2210648147156462E-2</v>
      </c>
      <c r="F3203" s="22" t="s">
        <v>3507</v>
      </c>
      <c r="G3203" s="22" t="s">
        <v>44</v>
      </c>
      <c r="H3203" s="22" t="s">
        <v>185</v>
      </c>
      <c r="I3203" s="22" t="s">
        <v>583</v>
      </c>
      <c r="J3203" s="26">
        <v>0.18</v>
      </c>
      <c r="K3203" s="26"/>
      <c r="L3203" s="26"/>
      <c r="M3203" s="26"/>
      <c r="N3203" s="26"/>
      <c r="O3203" s="26"/>
      <c r="P3203" s="26"/>
      <c r="Q3203" s="26"/>
      <c r="R3203" s="26"/>
      <c r="S3203" s="26"/>
    </row>
    <row r="3204" spans="1:19" ht="14.25" customHeight="1" x14ac:dyDescent="0.2">
      <c r="A3204" s="1" t="s">
        <v>19</v>
      </c>
      <c r="B3204" s="7">
        <v>46108.021180555559</v>
      </c>
      <c r="C3204" s="7">
        <v>46108.035069444442</v>
      </c>
      <c r="D3204" s="8">
        <v>46108</v>
      </c>
      <c r="E3204" s="9">
        <v>3.5069444442342501E-2</v>
      </c>
      <c r="F3204" s="10" t="s">
        <v>3508</v>
      </c>
      <c r="G3204" s="10" t="s">
        <v>21</v>
      </c>
      <c r="H3204" s="10" t="s">
        <v>3458</v>
      </c>
      <c r="I3204" s="10" t="s">
        <v>23</v>
      </c>
      <c r="J3204" s="11">
        <v>1.96</v>
      </c>
      <c r="K3204" s="12"/>
      <c r="L3204" s="12"/>
      <c r="M3204" s="12"/>
      <c r="N3204" s="12"/>
      <c r="O3204" s="12"/>
      <c r="P3204" s="12"/>
      <c r="Q3204" s="12"/>
      <c r="R3204" s="12"/>
      <c r="S3204" s="12"/>
    </row>
    <row r="3205" spans="1:19" ht="14.25" customHeight="1" x14ac:dyDescent="0.2">
      <c r="A3205" s="1" t="s">
        <v>33</v>
      </c>
      <c r="B3205" s="7">
        <v>46108.001030092593</v>
      </c>
      <c r="C3205" s="7">
        <v>46108.035358796296</v>
      </c>
      <c r="D3205" s="8">
        <v>46108</v>
      </c>
      <c r="E3205" s="9">
        <v>3.5358796296350192E-2</v>
      </c>
      <c r="F3205" s="10" t="s">
        <v>3509</v>
      </c>
      <c r="G3205" s="10" t="s">
        <v>21</v>
      </c>
      <c r="H3205" s="10" t="s">
        <v>1358</v>
      </c>
      <c r="I3205" s="10" t="s">
        <v>23</v>
      </c>
      <c r="J3205" s="11">
        <v>0.98</v>
      </c>
      <c r="K3205" s="12"/>
      <c r="L3205" s="12"/>
      <c r="M3205" s="12"/>
      <c r="N3205" s="12"/>
      <c r="O3205" s="12"/>
      <c r="P3205" s="12"/>
      <c r="Q3205" s="12"/>
      <c r="R3205" s="12"/>
      <c r="S3205" s="12"/>
    </row>
    <row r="3206" spans="1:19" ht="14.25" customHeight="1" x14ac:dyDescent="0.2">
      <c r="A3206" s="1" t="s">
        <v>95</v>
      </c>
      <c r="B3206" s="7">
        <v>46108.018611111111</v>
      </c>
      <c r="C3206" s="7">
        <v>46108.035775462966</v>
      </c>
      <c r="D3206" s="8">
        <v>46108</v>
      </c>
      <c r="E3206" s="9">
        <v>3.5775462965830229E-2</v>
      </c>
      <c r="F3206" s="10" t="s">
        <v>3510</v>
      </c>
      <c r="G3206" s="10" t="s">
        <v>21</v>
      </c>
      <c r="H3206" s="10" t="s">
        <v>108</v>
      </c>
      <c r="I3206" s="10" t="s">
        <v>23</v>
      </c>
      <c r="J3206" s="11">
        <v>1.7</v>
      </c>
      <c r="K3206" s="12"/>
      <c r="L3206" s="12"/>
      <c r="M3206" s="12"/>
      <c r="N3206" s="12"/>
      <c r="O3206" s="12"/>
      <c r="P3206" s="12"/>
      <c r="Q3206" s="12"/>
      <c r="R3206" s="12"/>
      <c r="S3206" s="12"/>
    </row>
    <row r="3207" spans="1:19" ht="14.25" customHeight="1" x14ac:dyDescent="0.2">
      <c r="A3207" s="1" t="s">
        <v>95</v>
      </c>
      <c r="B3207" s="7">
        <v>46108.015474537038</v>
      </c>
      <c r="C3207" s="7">
        <v>46108.036145833335</v>
      </c>
      <c r="D3207" s="8">
        <v>46108</v>
      </c>
      <c r="E3207" s="9">
        <v>3.6145833335467614E-2</v>
      </c>
      <c r="F3207" s="10" t="s">
        <v>3511</v>
      </c>
      <c r="G3207" s="10" t="s">
        <v>21</v>
      </c>
      <c r="H3207" s="10" t="s">
        <v>551</v>
      </c>
      <c r="I3207" s="10" t="s">
        <v>23</v>
      </c>
      <c r="J3207" s="11">
        <v>1.06</v>
      </c>
      <c r="K3207" s="12"/>
      <c r="L3207" s="12"/>
      <c r="M3207" s="12"/>
      <c r="N3207" s="12"/>
      <c r="O3207" s="12"/>
      <c r="P3207" s="12"/>
      <c r="Q3207" s="12"/>
      <c r="R3207" s="12"/>
      <c r="S3207" s="12"/>
    </row>
    <row r="3208" spans="1:19" ht="14.25" customHeight="1" x14ac:dyDescent="0.2">
      <c r="A3208" s="1" t="s">
        <v>24</v>
      </c>
      <c r="B3208" s="7">
        <v>46108.017511574071</v>
      </c>
      <c r="C3208" s="7">
        <v>46108.036435185182</v>
      </c>
      <c r="D3208" s="8">
        <v>46108</v>
      </c>
      <c r="E3208" s="9">
        <v>3.6435185182199348E-2</v>
      </c>
      <c r="F3208" s="10" t="s">
        <v>3512</v>
      </c>
      <c r="G3208" s="10" t="s">
        <v>26</v>
      </c>
      <c r="H3208" s="10" t="s">
        <v>1019</v>
      </c>
      <c r="I3208" s="10" t="s">
        <v>23</v>
      </c>
      <c r="J3208" s="11">
        <v>0.67</v>
      </c>
      <c r="K3208" s="12"/>
      <c r="L3208" s="12"/>
      <c r="M3208" s="12"/>
      <c r="N3208" s="12"/>
      <c r="O3208" s="12"/>
      <c r="P3208" s="12"/>
      <c r="Q3208" s="12"/>
      <c r="R3208" s="12"/>
      <c r="S3208" s="12"/>
    </row>
    <row r="3209" spans="1:19" ht="14.25" customHeight="1" x14ac:dyDescent="0.2">
      <c r="A3209" s="22" t="s">
        <v>95</v>
      </c>
      <c r="B3209" s="23">
        <v>46107.966435185182</v>
      </c>
      <c r="C3209" s="23">
        <v>46108.039444444446</v>
      </c>
      <c r="D3209" s="24">
        <v>46108</v>
      </c>
      <c r="E3209" s="25">
        <v>3.9444444446417037E-2</v>
      </c>
      <c r="F3209" s="22" t="s">
        <v>3513</v>
      </c>
      <c r="G3209" s="22" t="s">
        <v>21</v>
      </c>
      <c r="H3209" s="22" t="s">
        <v>110</v>
      </c>
      <c r="I3209" s="22" t="s">
        <v>583</v>
      </c>
      <c r="J3209" s="26">
        <v>0.83</v>
      </c>
      <c r="K3209" s="26"/>
      <c r="L3209" s="26"/>
      <c r="M3209" s="26"/>
      <c r="N3209" s="26"/>
      <c r="O3209" s="26"/>
      <c r="P3209" s="26"/>
      <c r="Q3209" s="26"/>
      <c r="R3209" s="26"/>
      <c r="S3209" s="26"/>
    </row>
    <row r="3210" spans="1:19" ht="14.25" customHeight="1" x14ac:dyDescent="0.2">
      <c r="A3210" s="1" t="s">
        <v>24</v>
      </c>
      <c r="B3210" s="7">
        <v>46108.012187499997</v>
      </c>
      <c r="C3210" s="7">
        <v>46108.040069444447</v>
      </c>
      <c r="D3210" s="8">
        <v>46108</v>
      </c>
      <c r="E3210" s="9">
        <v>4.0069444446999114E-2</v>
      </c>
      <c r="F3210" s="10" t="s">
        <v>3514</v>
      </c>
      <c r="G3210" s="10" t="s">
        <v>21</v>
      </c>
      <c r="H3210" s="10" t="s">
        <v>41</v>
      </c>
      <c r="I3210" s="10" t="s">
        <v>23</v>
      </c>
      <c r="J3210" s="11">
        <v>1.77</v>
      </c>
      <c r="K3210" s="12"/>
      <c r="L3210" s="12"/>
      <c r="M3210" s="12"/>
      <c r="N3210" s="12"/>
      <c r="O3210" s="12"/>
      <c r="P3210" s="12"/>
      <c r="Q3210" s="12"/>
      <c r="R3210" s="12"/>
      <c r="S3210" s="12"/>
    </row>
    <row r="3211" spans="1:19" ht="14.25" customHeight="1" x14ac:dyDescent="0.2">
      <c r="A3211" s="1" t="s">
        <v>95</v>
      </c>
      <c r="B3211" s="7">
        <v>46108.041377314818</v>
      </c>
      <c r="C3211" s="7">
        <v>46108.04891203704</v>
      </c>
      <c r="D3211" s="8">
        <v>46108</v>
      </c>
      <c r="E3211" s="9">
        <v>4.8912037040281575E-2</v>
      </c>
      <c r="F3211" s="10" t="s">
        <v>3515</v>
      </c>
      <c r="G3211" s="10" t="s">
        <v>21</v>
      </c>
      <c r="H3211" s="10" t="s">
        <v>110</v>
      </c>
      <c r="I3211" s="10" t="s">
        <v>23</v>
      </c>
      <c r="J3211" s="11">
        <v>0.83</v>
      </c>
      <c r="K3211" s="12"/>
      <c r="L3211" s="12">
        <f>SUM(J3211:J3224)</f>
        <v>19.199999999999996</v>
      </c>
      <c r="M3211" s="13">
        <f>L3211*65</f>
        <v>1247.9999999999998</v>
      </c>
      <c r="N3211" s="14">
        <f>MAX(500,M3211)</f>
        <v>1247.9999999999998</v>
      </c>
      <c r="O3211" s="12"/>
      <c r="P3211" s="12"/>
      <c r="Q3211" s="12"/>
      <c r="R3211" s="12"/>
      <c r="S3211" s="12"/>
    </row>
    <row r="3212" spans="1:19" ht="14.25" customHeight="1" x14ac:dyDescent="0.2">
      <c r="A3212" s="1" t="s">
        <v>95</v>
      </c>
      <c r="B3212" s="7">
        <v>46108.029062499998</v>
      </c>
      <c r="C3212" s="7">
        <v>46108.04928240741</v>
      </c>
      <c r="D3212" s="8">
        <v>46108</v>
      </c>
      <c r="E3212" s="9">
        <v>4.928240740991896E-2</v>
      </c>
      <c r="F3212" s="10" t="s">
        <v>3516</v>
      </c>
      <c r="G3212" s="10" t="s">
        <v>21</v>
      </c>
      <c r="H3212" s="10" t="s">
        <v>52</v>
      </c>
      <c r="I3212" s="10" t="s">
        <v>23</v>
      </c>
      <c r="J3212" s="11">
        <v>0.98</v>
      </c>
      <c r="K3212" s="12"/>
      <c r="L3212" s="12"/>
      <c r="M3212" s="12"/>
      <c r="N3212" s="12"/>
      <c r="O3212" s="12"/>
      <c r="P3212" s="12"/>
      <c r="Q3212" s="12"/>
      <c r="R3212" s="12"/>
      <c r="S3212" s="12"/>
    </row>
    <row r="3213" spans="1:19" ht="14.25" customHeight="1" x14ac:dyDescent="0.2">
      <c r="A3213" s="1" t="s">
        <v>95</v>
      </c>
      <c r="B3213" s="7">
        <v>46108.015474537038</v>
      </c>
      <c r="C3213" s="7">
        <v>46108.049733796295</v>
      </c>
      <c r="D3213" s="8">
        <v>46108</v>
      </c>
      <c r="E3213" s="9">
        <v>4.9733796295186039E-2</v>
      </c>
      <c r="F3213" s="10" t="s">
        <v>3517</v>
      </c>
      <c r="G3213" s="10" t="s">
        <v>21</v>
      </c>
      <c r="H3213" s="10" t="s">
        <v>216</v>
      </c>
      <c r="I3213" s="10" t="s">
        <v>23</v>
      </c>
      <c r="J3213" s="11">
        <v>0.98</v>
      </c>
      <c r="K3213" s="12"/>
      <c r="L3213" s="12"/>
      <c r="M3213" s="12"/>
      <c r="N3213" s="12"/>
      <c r="O3213" s="12"/>
      <c r="P3213" s="12"/>
      <c r="Q3213" s="12"/>
      <c r="R3213" s="12"/>
      <c r="S3213" s="12"/>
    </row>
    <row r="3214" spans="1:19" ht="14.25" customHeight="1" x14ac:dyDescent="0.2">
      <c r="A3214" s="1" t="s">
        <v>57</v>
      </c>
      <c r="B3214" s="7">
        <v>46108.040335648147</v>
      </c>
      <c r="C3214" s="7">
        <v>46108.050173611111</v>
      </c>
      <c r="D3214" s="8">
        <v>46108</v>
      </c>
      <c r="E3214" s="9">
        <v>5.0173611110949423E-2</v>
      </c>
      <c r="F3214" s="10" t="s">
        <v>3518</v>
      </c>
      <c r="G3214" s="10" t="s">
        <v>21</v>
      </c>
      <c r="H3214" s="10" t="s">
        <v>2791</v>
      </c>
      <c r="I3214" s="10" t="s">
        <v>23</v>
      </c>
      <c r="J3214" s="11">
        <v>1.05</v>
      </c>
      <c r="K3214" s="12"/>
      <c r="L3214" s="12"/>
      <c r="M3214" s="12"/>
      <c r="N3214" s="12"/>
      <c r="O3214" s="12"/>
      <c r="P3214" s="12"/>
      <c r="Q3214" s="12"/>
      <c r="R3214" s="12"/>
      <c r="S3214" s="12"/>
    </row>
    <row r="3215" spans="1:19" ht="14.25" customHeight="1" x14ac:dyDescent="0.2">
      <c r="A3215" s="1" t="s">
        <v>42</v>
      </c>
      <c r="B3215" s="7">
        <v>46108.020567129628</v>
      </c>
      <c r="C3215" s="7">
        <v>46108.053611111114</v>
      </c>
      <c r="D3215" s="8">
        <v>46108</v>
      </c>
      <c r="E3215" s="9">
        <v>5.3611111114150845E-2</v>
      </c>
      <c r="F3215" s="10" t="s">
        <v>3519</v>
      </c>
      <c r="G3215" s="10" t="s">
        <v>26</v>
      </c>
      <c r="H3215" s="10" t="s">
        <v>125</v>
      </c>
      <c r="I3215" s="10" t="s">
        <v>23</v>
      </c>
      <c r="J3215" s="11">
        <v>0.63</v>
      </c>
      <c r="K3215" s="12"/>
      <c r="L3215" s="12"/>
      <c r="M3215" s="12"/>
      <c r="N3215" s="12"/>
      <c r="O3215" s="12"/>
      <c r="P3215" s="12"/>
      <c r="Q3215" s="12"/>
      <c r="R3215" s="12"/>
      <c r="S3215" s="12"/>
    </row>
    <row r="3216" spans="1:19" ht="14.25" customHeight="1" x14ac:dyDescent="0.2">
      <c r="A3216" s="1" t="s">
        <v>19</v>
      </c>
      <c r="B3216" s="7">
        <v>46107.873773148145</v>
      </c>
      <c r="C3216" s="7">
        <v>46108.054664351854</v>
      </c>
      <c r="D3216" s="8">
        <v>46108</v>
      </c>
      <c r="E3216" s="9">
        <v>5.4664351853716653E-2</v>
      </c>
      <c r="F3216" s="10" t="s">
        <v>3520</v>
      </c>
      <c r="G3216" s="10" t="s">
        <v>21</v>
      </c>
      <c r="H3216" s="10" t="s">
        <v>399</v>
      </c>
      <c r="I3216" s="10" t="s">
        <v>23</v>
      </c>
      <c r="J3216" s="11">
        <v>3.92</v>
      </c>
      <c r="K3216" s="12"/>
      <c r="L3216" s="12"/>
      <c r="M3216" s="12"/>
      <c r="N3216" s="12"/>
      <c r="O3216" s="12"/>
      <c r="P3216" s="12"/>
      <c r="Q3216" s="12"/>
      <c r="R3216" s="12"/>
      <c r="S3216" s="12"/>
    </row>
    <row r="3217" spans="1:19" ht="14.25" customHeight="1" x14ac:dyDescent="0.2">
      <c r="A3217" s="1" t="s">
        <v>95</v>
      </c>
      <c r="B3217" s="7">
        <v>46108.030578703707</v>
      </c>
      <c r="C3217" s="7">
        <v>46108.054988425924</v>
      </c>
      <c r="D3217" s="8">
        <v>46108</v>
      </c>
      <c r="E3217" s="9">
        <v>5.4988425923511386E-2</v>
      </c>
      <c r="F3217" s="10" t="s">
        <v>3521</v>
      </c>
      <c r="G3217" s="10" t="s">
        <v>21</v>
      </c>
      <c r="H3217" s="10" t="s">
        <v>110</v>
      </c>
      <c r="I3217" s="10" t="s">
        <v>23</v>
      </c>
      <c r="J3217" s="11">
        <v>0.83</v>
      </c>
      <c r="K3217" s="12"/>
      <c r="L3217" s="12"/>
      <c r="M3217" s="12"/>
      <c r="N3217" s="12"/>
      <c r="O3217" s="12"/>
      <c r="P3217" s="12"/>
      <c r="Q3217" s="12"/>
      <c r="R3217" s="12"/>
      <c r="S3217" s="12"/>
    </row>
    <row r="3218" spans="1:19" ht="14.25" customHeight="1" x14ac:dyDescent="0.2">
      <c r="A3218" s="1" t="s">
        <v>19</v>
      </c>
      <c r="B3218" s="7">
        <v>46108.038402777776</v>
      </c>
      <c r="C3218" s="7">
        <v>46108.055648148147</v>
      </c>
      <c r="D3218" s="8">
        <v>46108</v>
      </c>
      <c r="E3218" s="9">
        <v>5.5648148147156462E-2</v>
      </c>
      <c r="F3218" s="10" t="s">
        <v>3522</v>
      </c>
      <c r="G3218" s="10" t="s">
        <v>21</v>
      </c>
      <c r="H3218" s="10" t="s">
        <v>3458</v>
      </c>
      <c r="I3218" s="10" t="s">
        <v>23</v>
      </c>
      <c r="J3218" s="11">
        <v>1.96</v>
      </c>
      <c r="K3218" s="12"/>
      <c r="L3218" s="12"/>
      <c r="M3218" s="12"/>
      <c r="N3218" s="12"/>
      <c r="O3218" s="12"/>
      <c r="P3218" s="12"/>
      <c r="Q3218" s="12"/>
      <c r="R3218" s="12"/>
      <c r="S3218" s="12"/>
    </row>
    <row r="3219" spans="1:19" ht="14.25" customHeight="1" x14ac:dyDescent="0.2">
      <c r="A3219" s="1" t="s">
        <v>33</v>
      </c>
      <c r="B3219" s="7">
        <v>46108.045624999999</v>
      </c>
      <c r="C3219" s="7">
        <v>46108.058854166666</v>
      </c>
      <c r="D3219" s="8">
        <v>46108</v>
      </c>
      <c r="E3219" s="9">
        <v>5.8854166665696539E-2</v>
      </c>
      <c r="F3219" s="10" t="s">
        <v>3523</v>
      </c>
      <c r="G3219" s="10" t="s">
        <v>21</v>
      </c>
      <c r="H3219" s="10" t="s">
        <v>41</v>
      </c>
      <c r="I3219" s="10" t="s">
        <v>23</v>
      </c>
      <c r="J3219" s="11">
        <v>1.77</v>
      </c>
      <c r="K3219" s="12"/>
      <c r="L3219" s="12"/>
      <c r="M3219" s="12"/>
      <c r="N3219" s="12"/>
      <c r="O3219" s="12"/>
      <c r="P3219" s="12"/>
      <c r="Q3219" s="12"/>
      <c r="R3219" s="12"/>
      <c r="S3219" s="12"/>
    </row>
    <row r="3220" spans="1:19" ht="14.25" customHeight="1" x14ac:dyDescent="0.2">
      <c r="A3220" s="1" t="s">
        <v>19</v>
      </c>
      <c r="B3220" s="7">
        <v>46108.050659722219</v>
      </c>
      <c r="C3220" s="7">
        <v>46108.063715277778</v>
      </c>
      <c r="D3220" s="8">
        <v>46108</v>
      </c>
      <c r="E3220" s="9">
        <v>6.3715277778101154E-2</v>
      </c>
      <c r="F3220" s="10" t="s">
        <v>3524</v>
      </c>
      <c r="G3220" s="10" t="s">
        <v>21</v>
      </c>
      <c r="H3220" s="10" t="s">
        <v>41</v>
      </c>
      <c r="I3220" s="10" t="s">
        <v>23</v>
      </c>
      <c r="J3220" s="11">
        <v>1.77</v>
      </c>
      <c r="K3220" s="12"/>
      <c r="L3220" s="12"/>
      <c r="M3220" s="12"/>
      <c r="N3220" s="12"/>
      <c r="O3220" s="12"/>
      <c r="P3220" s="12"/>
      <c r="Q3220" s="12"/>
      <c r="R3220" s="12"/>
      <c r="S3220" s="12"/>
    </row>
    <row r="3221" spans="1:19" ht="14.25" customHeight="1" x14ac:dyDescent="0.2">
      <c r="A3221" s="1" t="s">
        <v>24</v>
      </c>
      <c r="B3221" s="7">
        <v>46108.042569444442</v>
      </c>
      <c r="C3221" s="7">
        <v>46108.070659722223</v>
      </c>
      <c r="D3221" s="8">
        <v>46108</v>
      </c>
      <c r="E3221" s="9">
        <v>7.0659722223354038E-2</v>
      </c>
      <c r="F3221" s="10" t="s">
        <v>3525</v>
      </c>
      <c r="G3221" s="10" t="s">
        <v>26</v>
      </c>
      <c r="H3221" s="10" t="s">
        <v>948</v>
      </c>
      <c r="I3221" s="10" t="s">
        <v>23</v>
      </c>
      <c r="J3221" s="11">
        <v>0.75</v>
      </c>
      <c r="K3221" s="12"/>
      <c r="L3221" s="12"/>
      <c r="M3221" s="12"/>
      <c r="N3221" s="12"/>
      <c r="O3221" s="12"/>
      <c r="P3221" s="12"/>
      <c r="Q3221" s="12"/>
      <c r="R3221" s="12"/>
      <c r="S3221" s="12"/>
    </row>
    <row r="3222" spans="1:19" ht="14.25" customHeight="1" x14ac:dyDescent="0.2">
      <c r="A3222" s="1" t="s">
        <v>95</v>
      </c>
      <c r="B3222" s="7">
        <v>46108.050173611111</v>
      </c>
      <c r="C3222" s="7">
        <v>46108.071238425924</v>
      </c>
      <c r="D3222" s="8">
        <v>46108</v>
      </c>
      <c r="E3222" s="9">
        <v>7.1238425924093463E-2</v>
      </c>
      <c r="F3222" s="10" t="s">
        <v>3526</v>
      </c>
      <c r="G3222" s="10" t="s">
        <v>21</v>
      </c>
      <c r="H3222" s="10" t="s">
        <v>183</v>
      </c>
      <c r="I3222" s="10" t="s">
        <v>23</v>
      </c>
      <c r="J3222" s="11">
        <v>1.1299999999999999</v>
      </c>
      <c r="K3222" s="12"/>
      <c r="L3222" s="12"/>
      <c r="M3222" s="12"/>
      <c r="N3222" s="12"/>
      <c r="O3222" s="12"/>
      <c r="P3222" s="12"/>
      <c r="Q3222" s="12"/>
      <c r="R3222" s="12"/>
      <c r="S3222" s="12"/>
    </row>
    <row r="3223" spans="1:19" ht="14.25" customHeight="1" x14ac:dyDescent="0.2">
      <c r="A3223" s="1" t="s">
        <v>24</v>
      </c>
      <c r="B3223" s="7">
        <v>46108.030601851853</v>
      </c>
      <c r="C3223" s="7">
        <v>46108.081620370373</v>
      </c>
      <c r="D3223" s="8">
        <v>46108</v>
      </c>
      <c r="E3223" s="9">
        <v>8.1620370372547768E-2</v>
      </c>
      <c r="F3223" s="10" t="s">
        <v>3527</v>
      </c>
      <c r="G3223" s="10" t="s">
        <v>21</v>
      </c>
      <c r="H3223" s="10" t="s">
        <v>22</v>
      </c>
      <c r="I3223" s="10" t="s">
        <v>23</v>
      </c>
      <c r="J3223" s="11">
        <v>0.83</v>
      </c>
      <c r="K3223" s="12"/>
      <c r="L3223" s="12"/>
      <c r="M3223" s="12"/>
      <c r="N3223" s="12"/>
      <c r="O3223" s="12"/>
      <c r="P3223" s="12"/>
      <c r="Q3223" s="12"/>
      <c r="R3223" s="12"/>
      <c r="S3223" s="12"/>
    </row>
    <row r="3224" spans="1:19" ht="14.25" customHeight="1" x14ac:dyDescent="0.2">
      <c r="A3224" s="1" t="s">
        <v>24</v>
      </c>
      <c r="B3224" s="7">
        <v>46108.037592592591</v>
      </c>
      <c r="C3224" s="7">
        <v>46108.082106481481</v>
      </c>
      <c r="D3224" s="8">
        <v>46108</v>
      </c>
      <c r="E3224" s="9">
        <v>8.2106481480877846E-2</v>
      </c>
      <c r="F3224" s="10" t="s">
        <v>3528</v>
      </c>
      <c r="G3224" s="10" t="s">
        <v>21</v>
      </c>
      <c r="H3224" s="10" t="s">
        <v>41</v>
      </c>
      <c r="I3224" s="10" t="s">
        <v>23</v>
      </c>
      <c r="J3224" s="11">
        <v>1.77</v>
      </c>
      <c r="K3224" s="12"/>
      <c r="L3224" s="12"/>
      <c r="M3224" s="12"/>
      <c r="N3224" s="12"/>
      <c r="O3224" s="12"/>
      <c r="P3224" s="12"/>
      <c r="Q3224" s="12"/>
      <c r="R3224" s="12"/>
      <c r="S3224" s="12"/>
    </row>
    <row r="3225" spans="1:19" ht="14.25" customHeight="1" x14ac:dyDescent="0.2">
      <c r="A3225" s="1" t="s">
        <v>24</v>
      </c>
      <c r="B3225" s="7">
        <v>46108.031990740739</v>
      </c>
      <c r="C3225" s="7">
        <v>46108.083599537036</v>
      </c>
      <c r="D3225" s="8">
        <v>46108</v>
      </c>
      <c r="E3225" s="9">
        <v>8.3599537036207039E-2</v>
      </c>
      <c r="F3225" s="10" t="s">
        <v>3529</v>
      </c>
      <c r="G3225" s="10" t="s">
        <v>21</v>
      </c>
      <c r="H3225" s="10" t="s">
        <v>101</v>
      </c>
      <c r="I3225" s="10" t="s">
        <v>23</v>
      </c>
      <c r="J3225" s="11">
        <v>1.7</v>
      </c>
      <c r="K3225" s="12"/>
      <c r="L3225" s="12">
        <f>SUM(J3225:J3241)</f>
        <v>21.419999999999998</v>
      </c>
      <c r="M3225" s="13">
        <f>L3225*65</f>
        <v>1392.3</v>
      </c>
      <c r="N3225" s="14">
        <f>MAX(500,M3225)</f>
        <v>1392.3</v>
      </c>
      <c r="O3225" s="12"/>
      <c r="P3225" s="12"/>
      <c r="Q3225" s="12"/>
      <c r="R3225" s="12"/>
      <c r="S3225" s="12"/>
    </row>
    <row r="3226" spans="1:19" ht="14.25" customHeight="1" x14ac:dyDescent="0.2">
      <c r="A3226" s="1" t="s">
        <v>24</v>
      </c>
      <c r="B3226" s="7">
        <v>46108.069120370368</v>
      </c>
      <c r="C3226" s="7">
        <v>46108.086446759262</v>
      </c>
      <c r="D3226" s="8">
        <v>46108</v>
      </c>
      <c r="E3226" s="9">
        <v>8.6446759261889383E-2</v>
      </c>
      <c r="F3226" s="10" t="s">
        <v>3530</v>
      </c>
      <c r="G3226" s="10" t="s">
        <v>21</v>
      </c>
      <c r="H3226" s="10" t="s">
        <v>22</v>
      </c>
      <c r="I3226" s="10" t="s">
        <v>23</v>
      </c>
      <c r="J3226" s="11">
        <v>0.83</v>
      </c>
      <c r="K3226" s="12"/>
      <c r="L3226" s="12"/>
      <c r="M3226" s="12"/>
      <c r="N3226" s="12"/>
      <c r="O3226" s="12"/>
      <c r="P3226" s="12"/>
      <c r="Q3226" s="12"/>
      <c r="R3226" s="12"/>
      <c r="S3226" s="12"/>
    </row>
    <row r="3227" spans="1:19" ht="14.25" customHeight="1" x14ac:dyDescent="0.2">
      <c r="A3227" s="1" t="s">
        <v>33</v>
      </c>
      <c r="B3227" s="7">
        <v>46108.082962962966</v>
      </c>
      <c r="C3227" s="7">
        <v>46108.091874999998</v>
      </c>
      <c r="D3227" s="8">
        <v>46108</v>
      </c>
      <c r="E3227" s="9">
        <v>9.187499999825377E-2</v>
      </c>
      <c r="F3227" s="10" t="s">
        <v>3531</v>
      </c>
      <c r="G3227" s="10" t="s">
        <v>21</v>
      </c>
      <c r="H3227" s="10" t="s">
        <v>22</v>
      </c>
      <c r="I3227" s="10" t="s">
        <v>23</v>
      </c>
      <c r="J3227" s="11">
        <v>0.83</v>
      </c>
      <c r="K3227" s="12"/>
      <c r="L3227" s="12"/>
      <c r="M3227" s="12"/>
      <c r="N3227" s="12"/>
      <c r="O3227" s="12"/>
      <c r="P3227" s="12"/>
      <c r="Q3227" s="12"/>
      <c r="R3227" s="12"/>
      <c r="S3227" s="12"/>
    </row>
    <row r="3228" spans="1:19" ht="14.25" customHeight="1" x14ac:dyDescent="0.2">
      <c r="A3228" s="1" t="s">
        <v>95</v>
      </c>
      <c r="B3228" s="7">
        <v>46108.087824074071</v>
      </c>
      <c r="C3228" s="7">
        <v>46108.09207175926</v>
      </c>
      <c r="D3228" s="8">
        <v>46108</v>
      </c>
      <c r="E3228" s="9">
        <v>9.2071759259852115E-2</v>
      </c>
      <c r="F3228" s="10" t="s">
        <v>3532</v>
      </c>
      <c r="G3228" s="10" t="s">
        <v>21</v>
      </c>
      <c r="H3228" s="10" t="s">
        <v>110</v>
      </c>
      <c r="I3228" s="10" t="s">
        <v>23</v>
      </c>
      <c r="J3228" s="11">
        <v>0.83</v>
      </c>
      <c r="K3228" s="12"/>
      <c r="L3228" s="12"/>
      <c r="M3228" s="12"/>
      <c r="N3228" s="12"/>
      <c r="O3228" s="12"/>
      <c r="P3228" s="12"/>
      <c r="Q3228" s="12"/>
      <c r="R3228" s="12"/>
      <c r="S3228" s="12"/>
    </row>
    <row r="3229" spans="1:19" ht="14.25" customHeight="1" x14ac:dyDescent="0.2">
      <c r="A3229" s="1" t="s">
        <v>24</v>
      </c>
      <c r="B3229" s="7">
        <v>46108.076678240737</v>
      </c>
      <c r="C3229" s="7">
        <v>46108.093460648146</v>
      </c>
      <c r="D3229" s="8">
        <v>46108</v>
      </c>
      <c r="E3229" s="9">
        <v>9.3460648145992309E-2</v>
      </c>
      <c r="F3229" s="10" t="s">
        <v>3533</v>
      </c>
      <c r="G3229" s="10" t="s">
        <v>21</v>
      </c>
      <c r="H3229" s="10" t="s">
        <v>41</v>
      </c>
      <c r="I3229" s="10" t="s">
        <v>23</v>
      </c>
      <c r="J3229" s="11">
        <v>1.77</v>
      </c>
      <c r="K3229" s="12"/>
      <c r="L3229" s="12"/>
      <c r="M3229" s="12"/>
      <c r="N3229" s="12"/>
      <c r="O3229" s="12"/>
      <c r="P3229" s="12"/>
      <c r="Q3229" s="12"/>
      <c r="R3229" s="12"/>
      <c r="S3229" s="12"/>
    </row>
    <row r="3230" spans="1:19" ht="14.25" customHeight="1" x14ac:dyDescent="0.2">
      <c r="A3230" s="1" t="s">
        <v>33</v>
      </c>
      <c r="B3230" s="7">
        <v>46108.060914351852</v>
      </c>
      <c r="C3230" s="7">
        <v>46108.093923611108</v>
      </c>
      <c r="D3230" s="8">
        <v>46108</v>
      </c>
      <c r="E3230" s="9">
        <v>9.392361110803904E-2</v>
      </c>
      <c r="F3230" s="10" t="s">
        <v>3534</v>
      </c>
      <c r="G3230" s="10" t="s">
        <v>44</v>
      </c>
      <c r="H3230" s="10" t="s">
        <v>185</v>
      </c>
      <c r="I3230" s="10" t="s">
        <v>23</v>
      </c>
      <c r="J3230" s="11">
        <v>0.18</v>
      </c>
      <c r="K3230" s="12"/>
      <c r="L3230" s="12"/>
      <c r="M3230" s="12"/>
      <c r="N3230" s="12"/>
      <c r="O3230" s="12"/>
      <c r="P3230" s="12"/>
      <c r="Q3230" s="12"/>
      <c r="R3230" s="12"/>
      <c r="S3230" s="12"/>
    </row>
    <row r="3231" spans="1:19" ht="14.25" customHeight="1" x14ac:dyDescent="0.2">
      <c r="A3231" s="1" t="s">
        <v>33</v>
      </c>
      <c r="B3231" s="7">
        <v>46107.978113425925</v>
      </c>
      <c r="C3231" s="7">
        <v>46108.101168981484</v>
      </c>
      <c r="D3231" s="8">
        <v>46108</v>
      </c>
      <c r="E3231" s="9">
        <v>0.10116898148407927</v>
      </c>
      <c r="F3231" s="10" t="s">
        <v>3535</v>
      </c>
      <c r="G3231" s="10" t="s">
        <v>26</v>
      </c>
      <c r="H3231" s="10" t="s">
        <v>86</v>
      </c>
      <c r="I3231" s="10" t="s">
        <v>23</v>
      </c>
      <c r="J3231" s="11">
        <v>0.88</v>
      </c>
      <c r="K3231" s="12"/>
      <c r="L3231" s="12"/>
      <c r="M3231" s="12"/>
      <c r="N3231" s="12"/>
      <c r="O3231" s="12"/>
      <c r="P3231" s="12"/>
      <c r="Q3231" s="12"/>
      <c r="R3231" s="12"/>
      <c r="S3231" s="12"/>
    </row>
    <row r="3232" spans="1:19" ht="14.25" customHeight="1" x14ac:dyDescent="0.2">
      <c r="A3232" s="1" t="s">
        <v>19</v>
      </c>
      <c r="B3232" s="7">
        <v>46108.055509259262</v>
      </c>
      <c r="C3232" s="7">
        <v>46108.101550925923</v>
      </c>
      <c r="D3232" s="8">
        <v>46108</v>
      </c>
      <c r="E3232" s="9">
        <v>0.10155092592322035</v>
      </c>
      <c r="F3232" s="10" t="s">
        <v>3536</v>
      </c>
      <c r="G3232" s="10" t="s">
        <v>26</v>
      </c>
      <c r="H3232" s="10" t="s">
        <v>1019</v>
      </c>
      <c r="I3232" s="10" t="s">
        <v>23</v>
      </c>
      <c r="J3232" s="11">
        <v>0.67</v>
      </c>
      <c r="K3232" s="12"/>
      <c r="L3232" s="12"/>
      <c r="M3232" s="12"/>
      <c r="N3232" s="12"/>
      <c r="O3232" s="12"/>
      <c r="P3232" s="12"/>
      <c r="Q3232" s="12"/>
      <c r="R3232" s="12"/>
      <c r="S3232" s="12"/>
    </row>
    <row r="3233" spans="1:19" ht="14.25" customHeight="1" x14ac:dyDescent="0.2">
      <c r="A3233" s="1" t="s">
        <v>95</v>
      </c>
      <c r="B3233" s="7">
        <v>46108.092442129629</v>
      </c>
      <c r="C3233" s="7">
        <v>46108.109814814816</v>
      </c>
      <c r="D3233" s="8">
        <v>46108</v>
      </c>
      <c r="E3233" s="9">
        <v>0.10981481481576338</v>
      </c>
      <c r="F3233" s="10" t="s">
        <v>3537</v>
      </c>
      <c r="G3233" s="10" t="s">
        <v>21</v>
      </c>
      <c r="H3233" s="10" t="s">
        <v>598</v>
      </c>
      <c r="I3233" s="10" t="s">
        <v>23</v>
      </c>
      <c r="J3233" s="11">
        <v>0.98</v>
      </c>
      <c r="K3233" s="12"/>
      <c r="L3233" s="12"/>
      <c r="M3233" s="12"/>
      <c r="N3233" s="12"/>
      <c r="O3233" s="12"/>
      <c r="P3233" s="12"/>
      <c r="Q3233" s="12"/>
      <c r="R3233" s="12"/>
      <c r="S3233" s="12"/>
    </row>
    <row r="3234" spans="1:19" ht="14.25" customHeight="1" x14ac:dyDescent="0.2">
      <c r="A3234" s="1" t="s">
        <v>95</v>
      </c>
      <c r="B3234" s="7">
        <v>46108.08935185185</v>
      </c>
      <c r="C3234" s="7">
        <v>46108.110023148147</v>
      </c>
      <c r="D3234" s="8">
        <v>46108</v>
      </c>
      <c r="E3234" s="9">
        <v>0.11002314814686542</v>
      </c>
      <c r="F3234" s="10" t="s">
        <v>3538</v>
      </c>
      <c r="G3234" s="10" t="s">
        <v>21</v>
      </c>
      <c r="H3234" s="10" t="s">
        <v>52</v>
      </c>
      <c r="I3234" s="10" t="s">
        <v>23</v>
      </c>
      <c r="J3234" s="11">
        <v>0.98</v>
      </c>
      <c r="K3234" s="12"/>
      <c r="L3234" s="12"/>
      <c r="M3234" s="12"/>
      <c r="N3234" s="12"/>
      <c r="O3234" s="12"/>
      <c r="P3234" s="12"/>
      <c r="Q3234" s="12"/>
      <c r="R3234" s="12"/>
      <c r="S3234" s="12"/>
    </row>
    <row r="3235" spans="1:19" ht="14.25" customHeight="1" x14ac:dyDescent="0.2">
      <c r="A3235" s="1" t="s">
        <v>19</v>
      </c>
      <c r="B3235" s="7">
        <v>46108.079421296294</v>
      </c>
      <c r="C3235" s="7">
        <v>46108.110821759263</v>
      </c>
      <c r="D3235" s="8">
        <v>46108</v>
      </c>
      <c r="E3235" s="9">
        <v>0.1108217592627625</v>
      </c>
      <c r="F3235" s="10" t="s">
        <v>3539</v>
      </c>
      <c r="G3235" s="10" t="s">
        <v>21</v>
      </c>
      <c r="H3235" s="10" t="s">
        <v>3458</v>
      </c>
      <c r="I3235" s="10" t="s">
        <v>23</v>
      </c>
      <c r="J3235" s="11">
        <v>1.96</v>
      </c>
      <c r="K3235" s="12"/>
      <c r="L3235" s="12"/>
      <c r="M3235" s="12"/>
      <c r="N3235" s="12"/>
      <c r="O3235" s="12"/>
      <c r="P3235" s="12"/>
      <c r="Q3235" s="12"/>
      <c r="R3235" s="12"/>
      <c r="S3235" s="12"/>
    </row>
    <row r="3236" spans="1:19" ht="14.25" customHeight="1" x14ac:dyDescent="0.2">
      <c r="A3236" s="1" t="s">
        <v>33</v>
      </c>
      <c r="B3236" s="7">
        <v>46108.093495370369</v>
      </c>
      <c r="C3236" s="7">
        <v>46108.111493055556</v>
      </c>
      <c r="D3236" s="8">
        <v>46108</v>
      </c>
      <c r="E3236" s="9">
        <v>0.11149305555591127</v>
      </c>
      <c r="F3236" s="10" t="s">
        <v>3540</v>
      </c>
      <c r="G3236" s="10" t="s">
        <v>21</v>
      </c>
      <c r="H3236" s="10" t="s">
        <v>41</v>
      </c>
      <c r="I3236" s="10" t="s">
        <v>23</v>
      </c>
      <c r="J3236" s="11">
        <v>1.77</v>
      </c>
      <c r="K3236" s="12"/>
      <c r="L3236" s="12"/>
      <c r="M3236" s="12"/>
      <c r="N3236" s="12"/>
      <c r="O3236" s="12"/>
      <c r="P3236" s="12"/>
      <c r="Q3236" s="12"/>
      <c r="R3236" s="12"/>
      <c r="S3236" s="12"/>
    </row>
    <row r="3237" spans="1:19" ht="14.25" customHeight="1" x14ac:dyDescent="0.2">
      <c r="A3237" s="1" t="s">
        <v>95</v>
      </c>
      <c r="B3237" s="7">
        <v>46108.105613425927</v>
      </c>
      <c r="C3237" s="7">
        <v>46108.111701388887</v>
      </c>
      <c r="D3237" s="8">
        <v>46108</v>
      </c>
      <c r="E3237" s="9">
        <v>0.11170138888701331</v>
      </c>
      <c r="F3237" s="10" t="s">
        <v>3541</v>
      </c>
      <c r="G3237" s="10" t="s">
        <v>21</v>
      </c>
      <c r="H3237" s="10" t="s">
        <v>110</v>
      </c>
      <c r="I3237" s="10" t="s">
        <v>23</v>
      </c>
      <c r="J3237" s="11">
        <v>0.83</v>
      </c>
      <c r="K3237" s="12"/>
      <c r="L3237" s="12"/>
      <c r="M3237" s="12"/>
      <c r="N3237" s="12"/>
      <c r="O3237" s="12"/>
      <c r="P3237" s="12"/>
      <c r="Q3237" s="12"/>
      <c r="R3237" s="12"/>
      <c r="S3237" s="12"/>
    </row>
    <row r="3238" spans="1:19" ht="14.25" customHeight="1" x14ac:dyDescent="0.2">
      <c r="A3238" s="1" t="s">
        <v>19</v>
      </c>
      <c r="B3238" s="7">
        <v>46108.098460648151</v>
      </c>
      <c r="C3238" s="7">
        <v>46108.112002314818</v>
      </c>
      <c r="D3238" s="8">
        <v>46108</v>
      </c>
      <c r="E3238" s="9">
        <v>0.11200231481780065</v>
      </c>
      <c r="F3238" s="10" t="s">
        <v>3542</v>
      </c>
      <c r="G3238" s="10" t="s">
        <v>21</v>
      </c>
      <c r="H3238" s="10" t="s">
        <v>3458</v>
      </c>
      <c r="I3238" s="10" t="s">
        <v>23</v>
      </c>
      <c r="J3238" s="11">
        <v>1.96</v>
      </c>
      <c r="K3238" s="12"/>
      <c r="L3238" s="12"/>
      <c r="M3238" s="12"/>
      <c r="N3238" s="12"/>
      <c r="O3238" s="12"/>
      <c r="P3238" s="12"/>
      <c r="Q3238" s="12"/>
      <c r="R3238" s="12"/>
      <c r="S3238" s="12"/>
    </row>
    <row r="3239" spans="1:19" ht="14.25" customHeight="1" x14ac:dyDescent="0.2">
      <c r="A3239" s="1" t="s">
        <v>95</v>
      </c>
      <c r="B3239" s="7">
        <v>46108.066724537035</v>
      </c>
      <c r="C3239" s="7">
        <v>46108.112337962964</v>
      </c>
      <c r="D3239" s="8">
        <v>46108</v>
      </c>
      <c r="E3239" s="9">
        <v>0.11233796296437504</v>
      </c>
      <c r="F3239" s="10" t="s">
        <v>3543</v>
      </c>
      <c r="G3239" s="10" t="s">
        <v>21</v>
      </c>
      <c r="H3239" s="10" t="s">
        <v>1382</v>
      </c>
      <c r="I3239" s="10" t="s">
        <v>23</v>
      </c>
      <c r="J3239" s="11">
        <v>1.77</v>
      </c>
      <c r="K3239" s="12"/>
      <c r="L3239" s="12"/>
      <c r="M3239" s="12"/>
      <c r="N3239" s="12"/>
      <c r="O3239" s="12"/>
      <c r="P3239" s="12"/>
      <c r="Q3239" s="12"/>
      <c r="R3239" s="12"/>
      <c r="S3239" s="12"/>
    </row>
    <row r="3240" spans="1:19" ht="14.25" customHeight="1" x14ac:dyDescent="0.2">
      <c r="A3240" s="1" t="s">
        <v>19</v>
      </c>
      <c r="B3240" s="7">
        <v>46108.102337962962</v>
      </c>
      <c r="C3240" s="7">
        <v>46108.118564814817</v>
      </c>
      <c r="D3240" s="8">
        <v>46108</v>
      </c>
      <c r="E3240" s="9">
        <v>0.1185648148166365</v>
      </c>
      <c r="F3240" s="10" t="s">
        <v>3544</v>
      </c>
      <c r="G3240" s="10" t="s">
        <v>21</v>
      </c>
      <c r="H3240" s="10" t="s">
        <v>41</v>
      </c>
      <c r="I3240" s="10" t="s">
        <v>23</v>
      </c>
      <c r="J3240" s="11">
        <v>1.77</v>
      </c>
      <c r="K3240" s="12"/>
      <c r="L3240" s="12"/>
      <c r="M3240" s="12"/>
      <c r="N3240" s="12"/>
      <c r="O3240" s="12"/>
      <c r="P3240" s="12"/>
      <c r="Q3240" s="12"/>
      <c r="R3240" s="12"/>
      <c r="S3240" s="12"/>
    </row>
    <row r="3241" spans="1:19" ht="14.25" customHeight="1" x14ac:dyDescent="0.2">
      <c r="A3241" s="1" t="s">
        <v>95</v>
      </c>
      <c r="B3241" s="7">
        <v>46108.061990740738</v>
      </c>
      <c r="C3241" s="7">
        <v>46108.123263888891</v>
      </c>
      <c r="D3241" s="8">
        <v>46108</v>
      </c>
      <c r="E3241" s="9">
        <v>0.12326388889050577</v>
      </c>
      <c r="F3241" s="10" t="s">
        <v>3545</v>
      </c>
      <c r="G3241" s="10" t="s">
        <v>21</v>
      </c>
      <c r="H3241" s="10" t="s">
        <v>3546</v>
      </c>
      <c r="I3241" s="10" t="s">
        <v>23</v>
      </c>
      <c r="J3241" s="11">
        <v>1.71</v>
      </c>
      <c r="K3241" s="12"/>
      <c r="L3241" s="12"/>
      <c r="M3241" s="12"/>
      <c r="N3241" s="12"/>
      <c r="O3241" s="12"/>
      <c r="P3241" s="12"/>
      <c r="Q3241" s="12"/>
      <c r="R3241" s="12"/>
      <c r="S3241" s="12"/>
    </row>
    <row r="3242" spans="1:19" ht="14.25" customHeight="1" x14ac:dyDescent="0.2">
      <c r="A3242" s="1" t="s">
        <v>95</v>
      </c>
      <c r="B3242" s="7">
        <v>46108.096053240741</v>
      </c>
      <c r="C3242" s="7">
        <v>46108.125868055555</v>
      </c>
      <c r="D3242" s="8">
        <v>46108</v>
      </c>
      <c r="E3242" s="9">
        <v>0.12586805555474712</v>
      </c>
      <c r="F3242" s="10" t="s">
        <v>3547</v>
      </c>
      <c r="G3242" s="10" t="s">
        <v>21</v>
      </c>
      <c r="H3242" s="10" t="s">
        <v>110</v>
      </c>
      <c r="I3242" s="10" t="s">
        <v>23</v>
      </c>
      <c r="J3242" s="11">
        <v>0.83</v>
      </c>
      <c r="K3242" s="12">
        <f>SUM(J3242:J3258)</f>
        <v>19.05</v>
      </c>
      <c r="L3242" s="12">
        <f>SUM(J3242:J3247)</f>
        <v>8.68</v>
      </c>
      <c r="M3242" s="13">
        <f>L3242*65</f>
        <v>564.19999999999993</v>
      </c>
      <c r="N3242" s="14">
        <f>MAX(500,M3242)</f>
        <v>564.19999999999993</v>
      </c>
      <c r="O3242" s="12"/>
      <c r="P3242" s="12"/>
      <c r="Q3242" s="12"/>
      <c r="R3242" s="12"/>
      <c r="S3242" s="12"/>
    </row>
    <row r="3243" spans="1:19" ht="14.25" customHeight="1" x14ac:dyDescent="0.2">
      <c r="A3243" s="1" t="s">
        <v>95</v>
      </c>
      <c r="B3243" s="7">
        <v>46108.104861111111</v>
      </c>
      <c r="C3243" s="7">
        <v>46108.126331018517</v>
      </c>
      <c r="D3243" s="8">
        <v>46108</v>
      </c>
      <c r="E3243" s="9">
        <v>0.12633101851679385</v>
      </c>
      <c r="F3243" s="10" t="s">
        <v>3548</v>
      </c>
      <c r="G3243" s="10" t="s">
        <v>21</v>
      </c>
      <c r="H3243" s="10" t="s">
        <v>110</v>
      </c>
      <c r="I3243" s="10" t="s">
        <v>23</v>
      </c>
      <c r="J3243" s="11">
        <v>0.83</v>
      </c>
      <c r="K3243" s="12"/>
      <c r="L3243" s="12"/>
      <c r="M3243" s="12"/>
      <c r="N3243" s="12"/>
      <c r="O3243" s="12"/>
      <c r="P3243" s="12"/>
      <c r="Q3243" s="12"/>
      <c r="R3243" s="12"/>
      <c r="S3243" s="12"/>
    </row>
    <row r="3244" spans="1:19" ht="14.25" customHeight="1" x14ac:dyDescent="0.2">
      <c r="A3244" s="1" t="s">
        <v>95</v>
      </c>
      <c r="B3244" s="7">
        <v>46108.098437499997</v>
      </c>
      <c r="C3244" s="7">
        <v>46108.132511574076</v>
      </c>
      <c r="D3244" s="8">
        <v>46108</v>
      </c>
      <c r="E3244" s="9">
        <v>0.13251157407648861</v>
      </c>
      <c r="F3244" s="10" t="s">
        <v>3549</v>
      </c>
      <c r="G3244" s="10" t="s">
        <v>21</v>
      </c>
      <c r="H3244" s="10" t="s">
        <v>105</v>
      </c>
      <c r="I3244" s="10" t="s">
        <v>23</v>
      </c>
      <c r="J3244" s="11">
        <v>2.5</v>
      </c>
      <c r="K3244" s="12"/>
      <c r="L3244" s="12"/>
      <c r="M3244" s="12"/>
      <c r="N3244" s="12"/>
      <c r="O3244" s="12"/>
      <c r="P3244" s="12"/>
      <c r="Q3244" s="12"/>
      <c r="R3244" s="12"/>
      <c r="S3244" s="12"/>
    </row>
    <row r="3245" spans="1:19" ht="14.25" customHeight="1" x14ac:dyDescent="0.2">
      <c r="A3245" s="1" t="s">
        <v>95</v>
      </c>
      <c r="B3245" s="7">
        <v>46108.109791666669</v>
      </c>
      <c r="C3245" s="7">
        <v>46108.140115740738</v>
      </c>
      <c r="D3245" s="8">
        <v>46108</v>
      </c>
      <c r="E3245" s="9">
        <v>0.14011574073811062</v>
      </c>
      <c r="F3245" s="10" t="s">
        <v>3550</v>
      </c>
      <c r="G3245" s="10" t="s">
        <v>21</v>
      </c>
      <c r="H3245" s="10" t="s">
        <v>97</v>
      </c>
      <c r="I3245" s="10" t="s">
        <v>23</v>
      </c>
      <c r="J3245" s="11">
        <v>1.77</v>
      </c>
      <c r="K3245" s="12"/>
      <c r="L3245" s="12"/>
      <c r="M3245" s="12"/>
      <c r="N3245" s="12"/>
      <c r="O3245" s="12"/>
      <c r="P3245" s="12"/>
      <c r="Q3245" s="12"/>
      <c r="R3245" s="12"/>
      <c r="S3245" s="12"/>
    </row>
    <row r="3246" spans="1:19" ht="14.25" customHeight="1" x14ac:dyDescent="0.2">
      <c r="A3246" s="1" t="s">
        <v>95</v>
      </c>
      <c r="B3246" s="7">
        <v>46108.144780092596</v>
      </c>
      <c r="C3246" s="7">
        <v>46108.151863425926</v>
      </c>
      <c r="D3246" s="8">
        <v>46108</v>
      </c>
      <c r="E3246" s="9">
        <v>0.15186342592642177</v>
      </c>
      <c r="F3246" s="10" t="s">
        <v>3551</v>
      </c>
      <c r="G3246" s="10" t="s">
        <v>21</v>
      </c>
      <c r="H3246" s="10" t="s">
        <v>97</v>
      </c>
      <c r="I3246" s="10" t="s">
        <v>23</v>
      </c>
      <c r="J3246" s="11">
        <v>1.77</v>
      </c>
      <c r="K3246" s="12"/>
      <c r="L3246" s="12"/>
      <c r="M3246" s="12"/>
      <c r="N3246" s="12"/>
      <c r="O3246" s="12"/>
      <c r="P3246" s="12"/>
      <c r="Q3246" s="12"/>
      <c r="R3246" s="12"/>
      <c r="S3246" s="12"/>
    </row>
    <row r="3247" spans="1:19" ht="14.25" customHeight="1" x14ac:dyDescent="0.2">
      <c r="A3247" s="1" t="s">
        <v>33</v>
      </c>
      <c r="B3247" s="7">
        <v>46108.144907407404</v>
      </c>
      <c r="C3247" s="7">
        <v>46108.157858796294</v>
      </c>
      <c r="D3247" s="8">
        <v>46108</v>
      </c>
      <c r="E3247" s="9">
        <v>0.15785879629402189</v>
      </c>
      <c r="F3247" s="10" t="s">
        <v>3552</v>
      </c>
      <c r="G3247" s="10" t="s">
        <v>21</v>
      </c>
      <c r="H3247" s="10" t="s">
        <v>3553</v>
      </c>
      <c r="I3247" s="10" t="s">
        <v>23</v>
      </c>
      <c r="J3247" s="11">
        <v>0.98</v>
      </c>
      <c r="K3247" s="12"/>
      <c r="L3247" s="12"/>
      <c r="M3247" s="12"/>
      <c r="N3247" s="12"/>
      <c r="O3247" s="12"/>
      <c r="P3247" s="12"/>
      <c r="Q3247" s="12"/>
      <c r="R3247" s="12"/>
      <c r="S3247" s="12"/>
    </row>
    <row r="3248" spans="1:19" ht="14.25" customHeight="1" x14ac:dyDescent="0.2">
      <c r="A3248" s="1" t="s">
        <v>57</v>
      </c>
      <c r="B3248" s="7">
        <v>46108.168981481482</v>
      </c>
      <c r="C3248" s="7">
        <v>46108.181527777779</v>
      </c>
      <c r="D3248" s="8">
        <v>46108</v>
      </c>
      <c r="E3248" s="9">
        <v>0.18152777777868323</v>
      </c>
      <c r="F3248" s="10" t="s">
        <v>3554</v>
      </c>
      <c r="G3248" s="10" t="s">
        <v>21</v>
      </c>
      <c r="H3248" s="10" t="s">
        <v>59</v>
      </c>
      <c r="I3248" s="10" t="s">
        <v>23</v>
      </c>
      <c r="J3248" s="11">
        <v>0.83</v>
      </c>
      <c r="K3248" s="12"/>
      <c r="L3248" s="12">
        <f>SUM(J3248:J3250)</f>
        <v>2.6399999999999997</v>
      </c>
      <c r="M3248" s="13">
        <f>L3248*65</f>
        <v>171.59999999999997</v>
      </c>
      <c r="N3248" s="14">
        <f>MAX(500,M3248)</f>
        <v>500</v>
      </c>
      <c r="O3248" s="12"/>
      <c r="P3248" s="12"/>
      <c r="Q3248" s="12"/>
      <c r="R3248" s="12"/>
      <c r="S3248" s="12"/>
    </row>
    <row r="3249" spans="1:19" ht="14.25" customHeight="1" x14ac:dyDescent="0.2">
      <c r="A3249" s="1" t="s">
        <v>63</v>
      </c>
      <c r="B3249" s="7">
        <v>46108.17863425926</v>
      </c>
      <c r="C3249" s="7">
        <v>46108.203692129631</v>
      </c>
      <c r="D3249" s="8">
        <v>46108</v>
      </c>
      <c r="E3249" s="9">
        <v>0.20369212963123573</v>
      </c>
      <c r="F3249" s="10" t="s">
        <v>3555</v>
      </c>
      <c r="G3249" s="10" t="s">
        <v>21</v>
      </c>
      <c r="H3249" s="10" t="s">
        <v>110</v>
      </c>
      <c r="I3249" s="10" t="s">
        <v>23</v>
      </c>
      <c r="J3249" s="11">
        <v>0.83</v>
      </c>
      <c r="K3249" s="12"/>
      <c r="L3249" s="12"/>
      <c r="M3249" s="12"/>
      <c r="N3249" s="12"/>
      <c r="O3249" s="12"/>
      <c r="P3249" s="12"/>
      <c r="Q3249" s="12"/>
      <c r="R3249" s="12"/>
      <c r="S3249" s="12"/>
    </row>
    <row r="3250" spans="1:19" ht="14.25" customHeight="1" x14ac:dyDescent="0.2">
      <c r="A3250" s="1" t="s">
        <v>63</v>
      </c>
      <c r="B3250" s="7">
        <v>46108.179814814815</v>
      </c>
      <c r="C3250" s="7">
        <v>46108.204062500001</v>
      </c>
      <c r="D3250" s="8">
        <v>46108</v>
      </c>
      <c r="E3250" s="9">
        <v>0.20406250000087311</v>
      </c>
      <c r="F3250" s="10" t="s">
        <v>3556</v>
      </c>
      <c r="G3250" s="10" t="s">
        <v>21</v>
      </c>
      <c r="H3250" s="10" t="s">
        <v>3557</v>
      </c>
      <c r="I3250" s="10" t="s">
        <v>23</v>
      </c>
      <c r="J3250" s="11">
        <v>0.98</v>
      </c>
      <c r="K3250" s="12"/>
      <c r="L3250" s="12"/>
      <c r="M3250" s="12"/>
      <c r="N3250" s="12"/>
      <c r="O3250" s="12"/>
      <c r="P3250" s="12"/>
      <c r="Q3250" s="12"/>
      <c r="R3250" s="12"/>
      <c r="S3250" s="12"/>
    </row>
    <row r="3251" spans="1:19" ht="14.25" customHeight="1" x14ac:dyDescent="0.2">
      <c r="A3251" s="1" t="s">
        <v>33</v>
      </c>
      <c r="B3251" s="7">
        <v>46108.009155092594</v>
      </c>
      <c r="C3251" s="7">
        <v>46108.20925925926</v>
      </c>
      <c r="D3251" s="8">
        <v>46108</v>
      </c>
      <c r="E3251" s="9">
        <v>0.20925925925985212</v>
      </c>
      <c r="F3251" s="10" t="s">
        <v>3558</v>
      </c>
      <c r="G3251" s="10" t="s">
        <v>26</v>
      </c>
      <c r="H3251" s="10" t="s">
        <v>1347</v>
      </c>
      <c r="I3251" s="10" t="s">
        <v>23</v>
      </c>
      <c r="J3251" s="11">
        <v>0.44</v>
      </c>
      <c r="K3251" s="12"/>
      <c r="L3251" s="12">
        <f>SUM(J3251:J3258)</f>
        <v>7.7299999999999986</v>
      </c>
      <c r="M3251" s="13">
        <f>L3251*65</f>
        <v>502.44999999999993</v>
      </c>
      <c r="N3251" s="14">
        <f>MAX(500,M3251)</f>
        <v>502.44999999999993</v>
      </c>
      <c r="O3251" s="12"/>
      <c r="P3251" s="12"/>
      <c r="Q3251" s="12"/>
      <c r="R3251" s="12"/>
      <c r="S3251" s="12"/>
    </row>
    <row r="3252" spans="1:19" ht="14.25" customHeight="1" x14ac:dyDescent="0.2">
      <c r="A3252" s="1" t="s">
        <v>63</v>
      </c>
      <c r="B3252" s="7">
        <v>46108.181747685187</v>
      </c>
      <c r="C3252" s="7">
        <v>46108.209537037037</v>
      </c>
      <c r="D3252" s="8">
        <v>46108</v>
      </c>
      <c r="E3252" s="9">
        <v>0.20953703703708015</v>
      </c>
      <c r="F3252" s="10" t="s">
        <v>3559</v>
      </c>
      <c r="G3252" s="10" t="s">
        <v>21</v>
      </c>
      <c r="H3252" s="10" t="s">
        <v>320</v>
      </c>
      <c r="I3252" s="10" t="s">
        <v>23</v>
      </c>
      <c r="J3252" s="11">
        <v>0.98</v>
      </c>
      <c r="K3252" s="12"/>
      <c r="L3252" s="12"/>
      <c r="M3252" s="12"/>
      <c r="N3252" s="12"/>
      <c r="O3252" s="12"/>
      <c r="P3252" s="12"/>
      <c r="Q3252" s="12"/>
      <c r="R3252" s="12"/>
      <c r="S3252" s="12"/>
    </row>
    <row r="3253" spans="1:19" ht="14.25" customHeight="1" x14ac:dyDescent="0.2">
      <c r="A3253" s="1" t="s">
        <v>63</v>
      </c>
      <c r="B3253" s="7">
        <v>46108.181747685187</v>
      </c>
      <c r="C3253" s="7">
        <v>46108.210034722222</v>
      </c>
      <c r="D3253" s="8">
        <v>46108</v>
      </c>
      <c r="E3253" s="9">
        <v>0.21003472222218988</v>
      </c>
      <c r="F3253" s="10" t="s">
        <v>3560</v>
      </c>
      <c r="G3253" s="10" t="s">
        <v>21</v>
      </c>
      <c r="H3253" s="10" t="s">
        <v>216</v>
      </c>
      <c r="I3253" s="10" t="s">
        <v>23</v>
      </c>
      <c r="J3253" s="11">
        <v>0.98</v>
      </c>
      <c r="K3253" s="12"/>
      <c r="L3253" s="12"/>
      <c r="M3253" s="12"/>
      <c r="N3253" s="12"/>
      <c r="O3253" s="12"/>
      <c r="P3253" s="12"/>
      <c r="Q3253" s="12"/>
      <c r="R3253" s="12"/>
      <c r="S3253" s="12"/>
    </row>
    <row r="3254" spans="1:19" ht="14.25" customHeight="1" x14ac:dyDescent="0.2">
      <c r="A3254" s="1" t="s">
        <v>33</v>
      </c>
      <c r="B3254" s="7">
        <v>46108.040081018517</v>
      </c>
      <c r="C3254" s="7">
        <v>46108.211064814815</v>
      </c>
      <c r="D3254" s="8">
        <v>46108</v>
      </c>
      <c r="E3254" s="9">
        <v>0.21106481481547235</v>
      </c>
      <c r="F3254" s="10" t="s">
        <v>3561</v>
      </c>
      <c r="G3254" s="10" t="s">
        <v>26</v>
      </c>
      <c r="H3254" s="10" t="s">
        <v>3562</v>
      </c>
      <c r="I3254" s="10" t="s">
        <v>23</v>
      </c>
      <c r="J3254" s="11">
        <v>0.78</v>
      </c>
      <c r="K3254" s="12"/>
      <c r="L3254" s="12"/>
      <c r="M3254" s="12"/>
      <c r="N3254" s="12"/>
      <c r="O3254" s="12"/>
      <c r="P3254" s="12"/>
      <c r="Q3254" s="12"/>
      <c r="R3254" s="12"/>
      <c r="S3254" s="12"/>
    </row>
    <row r="3255" spans="1:19" ht="14.25" customHeight="1" x14ac:dyDescent="0.2">
      <c r="A3255" s="1" t="s">
        <v>95</v>
      </c>
      <c r="B3255" s="7">
        <v>46108.224432870367</v>
      </c>
      <c r="C3255" s="7">
        <v>46108.228032407409</v>
      </c>
      <c r="D3255" s="8">
        <v>46108</v>
      </c>
      <c r="E3255" s="9">
        <v>0.22803240740904585</v>
      </c>
      <c r="F3255" s="10" t="s">
        <v>3563</v>
      </c>
      <c r="G3255" s="10" t="s">
        <v>21</v>
      </c>
      <c r="H3255" s="10" t="s">
        <v>110</v>
      </c>
      <c r="I3255" s="10" t="s">
        <v>23</v>
      </c>
      <c r="J3255" s="11">
        <v>0.83</v>
      </c>
      <c r="K3255" s="12"/>
      <c r="L3255" s="12"/>
      <c r="M3255" s="12"/>
      <c r="N3255" s="12"/>
      <c r="O3255" s="12"/>
      <c r="P3255" s="12"/>
      <c r="Q3255" s="12"/>
      <c r="R3255" s="12"/>
      <c r="S3255" s="12"/>
    </row>
    <row r="3256" spans="1:19" ht="14.25" customHeight="1" x14ac:dyDescent="0.2">
      <c r="A3256" s="1" t="s">
        <v>24</v>
      </c>
      <c r="B3256" s="7">
        <v>46108.154918981483</v>
      </c>
      <c r="C3256" s="7">
        <v>46108.228402777779</v>
      </c>
      <c r="D3256" s="8">
        <v>46108</v>
      </c>
      <c r="E3256" s="9">
        <v>0.22840277777868323</v>
      </c>
      <c r="F3256" s="10" t="s">
        <v>3564</v>
      </c>
      <c r="G3256" s="10" t="s">
        <v>21</v>
      </c>
      <c r="H3256" s="10" t="s">
        <v>41</v>
      </c>
      <c r="I3256" s="10" t="s">
        <v>23</v>
      </c>
      <c r="J3256" s="11">
        <v>1.77</v>
      </c>
      <c r="K3256" s="12"/>
      <c r="L3256" s="12"/>
      <c r="M3256" s="12"/>
      <c r="N3256" s="12"/>
      <c r="O3256" s="12"/>
      <c r="P3256" s="12"/>
      <c r="Q3256" s="12"/>
      <c r="R3256" s="12"/>
      <c r="S3256" s="12"/>
    </row>
    <row r="3257" spans="1:19" ht="14.25" customHeight="1" x14ac:dyDescent="0.2">
      <c r="A3257" s="1" t="s">
        <v>42</v>
      </c>
      <c r="B3257" s="7">
        <v>46108.183958333335</v>
      </c>
      <c r="C3257" s="7">
        <v>46108.240752314814</v>
      </c>
      <c r="D3257" s="8">
        <v>46108</v>
      </c>
      <c r="E3257" s="9">
        <v>0.24075231481401715</v>
      </c>
      <c r="F3257" s="10" t="s">
        <v>3565</v>
      </c>
      <c r="G3257" s="10" t="s">
        <v>44</v>
      </c>
      <c r="H3257" s="10" t="s">
        <v>45</v>
      </c>
      <c r="I3257" s="10" t="s">
        <v>23</v>
      </c>
      <c r="J3257" s="11">
        <v>0.18</v>
      </c>
      <c r="K3257" s="12"/>
      <c r="L3257" s="12"/>
      <c r="M3257" s="12"/>
      <c r="N3257" s="12"/>
      <c r="O3257" s="12"/>
      <c r="P3257" s="12"/>
      <c r="Q3257" s="12"/>
      <c r="R3257" s="12"/>
      <c r="S3257" s="12"/>
    </row>
    <row r="3258" spans="1:19" ht="14.25" customHeight="1" x14ac:dyDescent="0.2">
      <c r="A3258" s="1" t="s">
        <v>95</v>
      </c>
      <c r="B3258" s="7">
        <v>46108.224826388891</v>
      </c>
      <c r="C3258" s="7">
        <v>46108.246782407405</v>
      </c>
      <c r="D3258" s="8">
        <v>46108</v>
      </c>
      <c r="E3258" s="9">
        <v>0.24678240740468027</v>
      </c>
      <c r="F3258" s="10" t="s">
        <v>3566</v>
      </c>
      <c r="G3258" s="10" t="s">
        <v>21</v>
      </c>
      <c r="H3258" s="10" t="s">
        <v>1382</v>
      </c>
      <c r="I3258" s="10" t="s">
        <v>23</v>
      </c>
      <c r="J3258" s="11">
        <v>1.77</v>
      </c>
      <c r="K3258" s="12"/>
      <c r="L3258" s="12"/>
      <c r="M3258" s="12"/>
      <c r="N3258" s="12"/>
      <c r="O3258" s="12"/>
      <c r="P3258" s="12"/>
      <c r="Q3258" s="12"/>
      <c r="R3258" s="12"/>
      <c r="S3258" s="12"/>
    </row>
    <row r="3259" spans="1:19" ht="14.25" customHeight="1" x14ac:dyDescent="0.2">
      <c r="A3259" s="1" t="s">
        <v>19</v>
      </c>
      <c r="B3259" s="7">
        <v>46108.821331018517</v>
      </c>
      <c r="C3259" s="7">
        <v>46108.878344907411</v>
      </c>
      <c r="D3259" s="8">
        <v>46108</v>
      </c>
      <c r="E3259" s="9">
        <v>0.87834490741079208</v>
      </c>
      <c r="F3259" s="10" t="s">
        <v>3567</v>
      </c>
      <c r="G3259" s="10" t="s">
        <v>26</v>
      </c>
      <c r="H3259" s="10" t="s">
        <v>315</v>
      </c>
      <c r="I3259" s="10" t="s">
        <v>23</v>
      </c>
      <c r="J3259" s="11">
        <v>0.88</v>
      </c>
      <c r="K3259" s="12">
        <f>SUM(J3259:J3351)</f>
        <v>108.16000000000004</v>
      </c>
      <c r="L3259" s="12">
        <f>SUM(J3259:J3286)</f>
        <v>33.709999999999994</v>
      </c>
      <c r="M3259" s="13">
        <f>L3259*65</f>
        <v>2191.1499999999996</v>
      </c>
      <c r="N3259" s="14">
        <f>MAX(500,M3259)</f>
        <v>2191.1499999999996</v>
      </c>
      <c r="O3259" s="12"/>
      <c r="P3259" s="12"/>
      <c r="Q3259" s="12"/>
      <c r="R3259" s="12"/>
      <c r="S3259" s="12"/>
    </row>
    <row r="3260" spans="1:19" ht="14.25" customHeight="1" x14ac:dyDescent="0.2">
      <c r="A3260" s="1" t="s">
        <v>42</v>
      </c>
      <c r="B3260" s="7">
        <v>46108.865381944444</v>
      </c>
      <c r="C3260" s="7">
        <v>46108.880868055552</v>
      </c>
      <c r="D3260" s="8">
        <v>46108</v>
      </c>
      <c r="E3260" s="9">
        <v>0.88086805555212777</v>
      </c>
      <c r="F3260" s="10" t="s">
        <v>3568</v>
      </c>
      <c r="G3260" s="10" t="s">
        <v>21</v>
      </c>
      <c r="H3260" s="10" t="s">
        <v>108</v>
      </c>
      <c r="I3260" s="10" t="s">
        <v>23</v>
      </c>
      <c r="J3260" s="11">
        <v>1.7</v>
      </c>
      <c r="K3260" s="12"/>
      <c r="L3260" s="12"/>
      <c r="M3260" s="12"/>
      <c r="N3260" s="12"/>
      <c r="O3260" s="12"/>
      <c r="P3260" s="12"/>
      <c r="Q3260" s="12"/>
      <c r="R3260" s="12"/>
      <c r="S3260" s="12"/>
    </row>
    <row r="3261" spans="1:19" ht="14.25" customHeight="1" x14ac:dyDescent="0.2">
      <c r="A3261" s="1" t="s">
        <v>57</v>
      </c>
      <c r="B3261" s="7">
        <v>46108.862384259257</v>
      </c>
      <c r="C3261" s="7">
        <v>46108.881736111114</v>
      </c>
      <c r="D3261" s="8">
        <v>46108</v>
      </c>
      <c r="E3261" s="9">
        <v>0.88173611111415084</v>
      </c>
      <c r="F3261" s="10" t="s">
        <v>3569</v>
      </c>
      <c r="G3261" s="10" t="s">
        <v>26</v>
      </c>
      <c r="H3261" s="10" t="s">
        <v>1988</v>
      </c>
      <c r="I3261" s="10" t="s">
        <v>23</v>
      </c>
      <c r="J3261" s="11">
        <v>0.44</v>
      </c>
      <c r="K3261" s="12"/>
      <c r="L3261" s="12"/>
      <c r="M3261" s="12"/>
      <c r="N3261" s="12"/>
      <c r="O3261" s="12"/>
      <c r="P3261" s="12"/>
      <c r="Q3261" s="12"/>
      <c r="R3261" s="12"/>
      <c r="S3261" s="12"/>
    </row>
    <row r="3262" spans="1:19" ht="14.25" customHeight="1" x14ac:dyDescent="0.2">
      <c r="A3262" s="1" t="s">
        <v>24</v>
      </c>
      <c r="B3262" s="7">
        <v>46108.852569444447</v>
      </c>
      <c r="C3262" s="7">
        <v>46108.881909722222</v>
      </c>
      <c r="D3262" s="8">
        <v>46108</v>
      </c>
      <c r="E3262" s="9">
        <v>0.88190972222218988</v>
      </c>
      <c r="F3262" s="10" t="s">
        <v>3570</v>
      </c>
      <c r="G3262" s="10" t="s">
        <v>21</v>
      </c>
      <c r="H3262" s="10" t="s">
        <v>22</v>
      </c>
      <c r="I3262" s="10" t="s">
        <v>23</v>
      </c>
      <c r="J3262" s="11">
        <v>0.83</v>
      </c>
      <c r="K3262" s="12"/>
      <c r="L3262" s="12"/>
      <c r="M3262" s="12"/>
      <c r="N3262" s="12"/>
      <c r="O3262" s="12"/>
      <c r="P3262" s="12"/>
      <c r="Q3262" s="12"/>
      <c r="R3262" s="12"/>
      <c r="S3262" s="12"/>
    </row>
    <row r="3263" spans="1:19" ht="14.25" customHeight="1" x14ac:dyDescent="0.2">
      <c r="A3263" s="1" t="s">
        <v>24</v>
      </c>
      <c r="B3263" s="7">
        <v>46108.863206018519</v>
      </c>
      <c r="C3263" s="7">
        <v>46108.88212962963</v>
      </c>
      <c r="D3263" s="8">
        <v>46108</v>
      </c>
      <c r="E3263" s="9">
        <v>0.88212962963007158</v>
      </c>
      <c r="F3263" s="10" t="s">
        <v>3571</v>
      </c>
      <c r="G3263" s="10" t="s">
        <v>21</v>
      </c>
      <c r="H3263" s="10" t="s">
        <v>22</v>
      </c>
      <c r="I3263" s="10" t="s">
        <v>23</v>
      </c>
      <c r="J3263" s="11">
        <v>0.83</v>
      </c>
      <c r="K3263" s="12"/>
      <c r="L3263" s="12"/>
      <c r="M3263" s="12"/>
      <c r="N3263" s="12"/>
      <c r="O3263" s="12"/>
      <c r="P3263" s="12"/>
      <c r="Q3263" s="12"/>
      <c r="R3263" s="12"/>
      <c r="S3263" s="12"/>
    </row>
    <row r="3264" spans="1:19" ht="14.25" customHeight="1" x14ac:dyDescent="0.2">
      <c r="A3264" s="1" t="s">
        <v>28</v>
      </c>
      <c r="B3264" s="7">
        <v>46108.857361111113</v>
      </c>
      <c r="C3264" s="7">
        <v>46108.882372685184</v>
      </c>
      <c r="D3264" s="8">
        <v>46108</v>
      </c>
      <c r="E3264" s="9">
        <v>0.88237268518423662</v>
      </c>
      <c r="F3264" s="10" t="s">
        <v>3572</v>
      </c>
      <c r="G3264" s="10" t="s">
        <v>26</v>
      </c>
      <c r="H3264" s="10" t="s">
        <v>315</v>
      </c>
      <c r="I3264" s="10" t="s">
        <v>23</v>
      </c>
      <c r="J3264" s="11">
        <v>0.88</v>
      </c>
      <c r="K3264" s="12"/>
      <c r="L3264" s="12"/>
      <c r="M3264" s="12"/>
      <c r="N3264" s="12"/>
      <c r="O3264" s="12"/>
      <c r="P3264" s="12"/>
      <c r="Q3264" s="12"/>
      <c r="R3264" s="12"/>
      <c r="S3264" s="12"/>
    </row>
    <row r="3265" spans="1:19" ht="14.25" customHeight="1" x14ac:dyDescent="0.2">
      <c r="A3265" s="1" t="s">
        <v>24</v>
      </c>
      <c r="B3265" s="7">
        <v>46108.863576388889</v>
      </c>
      <c r="C3265" s="7">
        <v>46108.882916666669</v>
      </c>
      <c r="D3265" s="8">
        <v>46108</v>
      </c>
      <c r="E3265" s="9">
        <v>0.882916666669189</v>
      </c>
      <c r="F3265" s="10" t="s">
        <v>3573</v>
      </c>
      <c r="G3265" s="10" t="s">
        <v>26</v>
      </c>
      <c r="H3265" s="10" t="s">
        <v>315</v>
      </c>
      <c r="I3265" s="10" t="s">
        <v>23</v>
      </c>
      <c r="J3265" s="11">
        <v>0.88</v>
      </c>
      <c r="K3265" s="12"/>
      <c r="L3265" s="12"/>
      <c r="M3265" s="12"/>
      <c r="N3265" s="12"/>
      <c r="O3265" s="12"/>
      <c r="P3265" s="12"/>
      <c r="Q3265" s="12"/>
      <c r="R3265" s="12"/>
      <c r="S3265" s="12"/>
    </row>
    <row r="3266" spans="1:19" ht="14.25" customHeight="1" x14ac:dyDescent="0.2">
      <c r="A3266" s="1" t="s">
        <v>24</v>
      </c>
      <c r="B3266" s="7">
        <v>46108.863206018519</v>
      </c>
      <c r="C3266" s="7">
        <v>46108.883113425924</v>
      </c>
      <c r="D3266" s="8">
        <v>46108</v>
      </c>
      <c r="E3266" s="9">
        <v>0.88311342592351139</v>
      </c>
      <c r="F3266" s="10" t="s">
        <v>3574</v>
      </c>
      <c r="G3266" s="10" t="s">
        <v>21</v>
      </c>
      <c r="H3266" s="10" t="s">
        <v>142</v>
      </c>
      <c r="I3266" s="10" t="s">
        <v>23</v>
      </c>
      <c r="J3266" s="11">
        <v>0.83</v>
      </c>
      <c r="K3266" s="12"/>
      <c r="L3266" s="12"/>
      <c r="M3266" s="12"/>
      <c r="N3266" s="12"/>
      <c r="O3266" s="12"/>
      <c r="P3266" s="12"/>
      <c r="Q3266" s="12"/>
      <c r="R3266" s="12"/>
      <c r="S3266" s="12"/>
    </row>
    <row r="3267" spans="1:19" ht="14.25" customHeight="1" x14ac:dyDescent="0.2">
      <c r="A3267" s="1" t="s">
        <v>24</v>
      </c>
      <c r="B3267" s="7">
        <v>46108.852569444447</v>
      </c>
      <c r="C3267" s="7">
        <v>46108.883611111109</v>
      </c>
      <c r="D3267" s="8">
        <v>46108</v>
      </c>
      <c r="E3267" s="9">
        <v>0.88361111110862112</v>
      </c>
      <c r="F3267" s="10" t="s">
        <v>3575</v>
      </c>
      <c r="G3267" s="10" t="s">
        <v>21</v>
      </c>
      <c r="H3267" s="10" t="s">
        <v>41</v>
      </c>
      <c r="I3267" s="10" t="s">
        <v>23</v>
      </c>
      <c r="J3267" s="11">
        <v>1.77</v>
      </c>
      <c r="K3267" s="12"/>
      <c r="L3267" s="12"/>
      <c r="M3267" s="12"/>
      <c r="N3267" s="12"/>
      <c r="O3267" s="12"/>
      <c r="P3267" s="12"/>
      <c r="Q3267" s="12"/>
      <c r="R3267" s="12"/>
      <c r="S3267" s="12"/>
    </row>
    <row r="3268" spans="1:19" ht="14.25" customHeight="1" x14ac:dyDescent="0.2">
      <c r="A3268" s="1" t="s">
        <v>63</v>
      </c>
      <c r="B3268" s="7">
        <v>46108.858055555553</v>
      </c>
      <c r="C3268" s="7">
        <v>46108.884027777778</v>
      </c>
      <c r="D3268" s="8">
        <v>46108</v>
      </c>
      <c r="E3268" s="9">
        <v>0.88402777777810115</v>
      </c>
      <c r="F3268" s="10" t="s">
        <v>3576</v>
      </c>
      <c r="G3268" s="10" t="s">
        <v>21</v>
      </c>
      <c r="H3268" s="10" t="s">
        <v>1535</v>
      </c>
      <c r="I3268" s="10" t="s">
        <v>23</v>
      </c>
      <c r="J3268" s="11">
        <v>1.7</v>
      </c>
      <c r="K3268" s="12"/>
      <c r="L3268" s="12"/>
      <c r="M3268" s="12"/>
      <c r="N3268" s="12"/>
      <c r="O3268" s="12"/>
      <c r="P3268" s="12"/>
      <c r="Q3268" s="12"/>
      <c r="R3268" s="12"/>
      <c r="S3268" s="12"/>
    </row>
    <row r="3269" spans="1:19" ht="14.25" customHeight="1" x14ac:dyDescent="0.2">
      <c r="A3269" s="1" t="s">
        <v>24</v>
      </c>
      <c r="B3269" s="7">
        <v>46108.867152777777</v>
      </c>
      <c r="C3269" s="7">
        <v>46108.885844907411</v>
      </c>
      <c r="D3269" s="8">
        <v>46108</v>
      </c>
      <c r="E3269" s="9">
        <v>0.88584490741050104</v>
      </c>
      <c r="F3269" s="10" t="s">
        <v>3577</v>
      </c>
      <c r="G3269" s="10" t="s">
        <v>21</v>
      </c>
      <c r="H3269" s="10" t="s">
        <v>281</v>
      </c>
      <c r="I3269" s="10" t="s">
        <v>23</v>
      </c>
      <c r="J3269" s="11">
        <v>2.5</v>
      </c>
      <c r="K3269" s="12"/>
      <c r="L3269" s="12"/>
      <c r="M3269" s="12"/>
      <c r="N3269" s="12"/>
      <c r="O3269" s="12"/>
      <c r="P3269" s="12"/>
      <c r="Q3269" s="12"/>
      <c r="R3269" s="12"/>
      <c r="S3269" s="12"/>
    </row>
    <row r="3270" spans="1:19" ht="14.25" customHeight="1" x14ac:dyDescent="0.2">
      <c r="A3270" s="1" t="s">
        <v>33</v>
      </c>
      <c r="B3270" s="7">
        <v>46108.874212962961</v>
      </c>
      <c r="C3270" s="7">
        <v>46108.886481481481</v>
      </c>
      <c r="D3270" s="8">
        <v>46108</v>
      </c>
      <c r="E3270" s="9">
        <v>0.88648148148058681</v>
      </c>
      <c r="F3270" s="10" t="s">
        <v>3578</v>
      </c>
      <c r="G3270" s="10" t="s">
        <v>21</v>
      </c>
      <c r="H3270" s="10" t="s">
        <v>71</v>
      </c>
      <c r="I3270" s="10" t="s">
        <v>23</v>
      </c>
      <c r="J3270" s="11">
        <v>1.05</v>
      </c>
      <c r="K3270" s="12"/>
      <c r="L3270" s="12"/>
      <c r="M3270" s="12"/>
      <c r="N3270" s="12"/>
      <c r="O3270" s="12"/>
      <c r="P3270" s="12"/>
      <c r="Q3270" s="12"/>
      <c r="R3270" s="12"/>
      <c r="S3270" s="12"/>
    </row>
    <row r="3271" spans="1:19" ht="14.25" customHeight="1" x14ac:dyDescent="0.2">
      <c r="A3271" s="1" t="s">
        <v>33</v>
      </c>
      <c r="B3271" s="7">
        <v>46108.866967592592</v>
      </c>
      <c r="C3271" s="7">
        <v>46108.886979166666</v>
      </c>
      <c r="D3271" s="8">
        <v>46108</v>
      </c>
      <c r="E3271" s="9">
        <v>0.88697916666569654</v>
      </c>
      <c r="F3271" s="10" t="s">
        <v>3579</v>
      </c>
      <c r="G3271" s="10" t="s">
        <v>21</v>
      </c>
      <c r="H3271" s="10" t="s">
        <v>39</v>
      </c>
      <c r="I3271" s="10" t="s">
        <v>23</v>
      </c>
      <c r="J3271" s="11">
        <v>1.77</v>
      </c>
      <c r="K3271" s="12"/>
      <c r="L3271" s="12"/>
      <c r="M3271" s="12"/>
      <c r="N3271" s="12"/>
      <c r="O3271" s="12"/>
      <c r="P3271" s="12"/>
      <c r="Q3271" s="12"/>
      <c r="R3271" s="12"/>
      <c r="S3271" s="12"/>
    </row>
    <row r="3272" spans="1:19" ht="14.25" customHeight="1" x14ac:dyDescent="0.2">
      <c r="A3272" s="1" t="s">
        <v>24</v>
      </c>
      <c r="B3272" s="7">
        <v>46108.8750462963</v>
      </c>
      <c r="C3272" s="7">
        <v>46108.887881944444</v>
      </c>
      <c r="D3272" s="8">
        <v>46108</v>
      </c>
      <c r="E3272" s="9">
        <v>0.88788194444350665</v>
      </c>
      <c r="F3272" s="10" t="s">
        <v>3580</v>
      </c>
      <c r="G3272" s="10" t="s">
        <v>21</v>
      </c>
      <c r="H3272" s="10" t="s">
        <v>22</v>
      </c>
      <c r="I3272" s="10" t="s">
        <v>23</v>
      </c>
      <c r="J3272" s="11">
        <v>0.83</v>
      </c>
      <c r="K3272" s="12"/>
      <c r="L3272" s="12"/>
      <c r="M3272" s="12"/>
      <c r="N3272" s="12"/>
      <c r="O3272" s="12"/>
      <c r="P3272" s="12"/>
      <c r="Q3272" s="12"/>
      <c r="R3272" s="12"/>
      <c r="S3272" s="12"/>
    </row>
    <row r="3273" spans="1:19" ht="14.25" customHeight="1" x14ac:dyDescent="0.2">
      <c r="A3273" s="1" t="s">
        <v>24</v>
      </c>
      <c r="B3273" s="7">
        <v>46108.8750462963</v>
      </c>
      <c r="C3273" s="7">
        <v>46108.888622685183</v>
      </c>
      <c r="D3273" s="8">
        <v>46108</v>
      </c>
      <c r="E3273" s="9">
        <v>0.88862268518278142</v>
      </c>
      <c r="F3273" s="10" t="s">
        <v>3581</v>
      </c>
      <c r="G3273" s="10" t="s">
        <v>21</v>
      </c>
      <c r="H3273" s="10" t="s">
        <v>52</v>
      </c>
      <c r="I3273" s="10" t="s">
        <v>23</v>
      </c>
      <c r="J3273" s="11">
        <v>0.98</v>
      </c>
      <c r="K3273" s="12"/>
      <c r="L3273" s="12"/>
      <c r="M3273" s="12"/>
      <c r="N3273" s="12"/>
      <c r="O3273" s="12"/>
      <c r="P3273" s="12"/>
      <c r="Q3273" s="12"/>
      <c r="R3273" s="12"/>
      <c r="S3273" s="12"/>
    </row>
    <row r="3274" spans="1:19" ht="14.25" customHeight="1" x14ac:dyDescent="0.2">
      <c r="A3274" s="1" t="s">
        <v>33</v>
      </c>
      <c r="B3274" s="7">
        <v>46108.878287037034</v>
      </c>
      <c r="C3274" s="7">
        <v>46108.889189814814</v>
      </c>
      <c r="D3274" s="8">
        <v>46108</v>
      </c>
      <c r="E3274" s="9">
        <v>0.88918981481401715</v>
      </c>
      <c r="F3274" s="10" t="s">
        <v>3582</v>
      </c>
      <c r="G3274" s="10" t="s">
        <v>21</v>
      </c>
      <c r="H3274" s="10" t="s">
        <v>101</v>
      </c>
      <c r="I3274" s="10" t="s">
        <v>23</v>
      </c>
      <c r="J3274" s="11">
        <v>1.7</v>
      </c>
      <c r="K3274" s="12"/>
      <c r="L3274" s="12"/>
      <c r="M3274" s="12"/>
      <c r="N3274" s="12"/>
      <c r="O3274" s="12"/>
      <c r="P3274" s="12"/>
      <c r="Q3274" s="12"/>
      <c r="R3274" s="12"/>
      <c r="S3274" s="12"/>
    </row>
    <row r="3275" spans="1:19" ht="14.25" customHeight="1" x14ac:dyDescent="0.2">
      <c r="A3275" s="1" t="s">
        <v>24</v>
      </c>
      <c r="B3275" s="7">
        <v>46108.878217592595</v>
      </c>
      <c r="C3275" s="7">
        <v>46108.889328703706</v>
      </c>
      <c r="D3275" s="8">
        <v>46108</v>
      </c>
      <c r="E3275" s="9">
        <v>0.88932870370626915</v>
      </c>
      <c r="F3275" s="10" t="s">
        <v>3583</v>
      </c>
      <c r="G3275" s="10" t="s">
        <v>26</v>
      </c>
      <c r="H3275" s="10" t="s">
        <v>1614</v>
      </c>
      <c r="I3275" s="10" t="s">
        <v>23</v>
      </c>
      <c r="J3275" s="11">
        <v>0.62</v>
      </c>
      <c r="K3275" s="12"/>
      <c r="L3275" s="12"/>
      <c r="M3275" s="12"/>
      <c r="N3275" s="12"/>
      <c r="O3275" s="12"/>
      <c r="P3275" s="12"/>
      <c r="Q3275" s="12"/>
      <c r="R3275" s="12"/>
      <c r="S3275" s="12"/>
    </row>
    <row r="3276" spans="1:19" ht="14.25" customHeight="1" x14ac:dyDescent="0.2">
      <c r="A3276" s="1" t="s">
        <v>24</v>
      </c>
      <c r="B3276" s="7">
        <v>46108.879988425928</v>
      </c>
      <c r="C3276" s="7">
        <v>46108.889780092592</v>
      </c>
      <c r="D3276" s="8">
        <v>46108</v>
      </c>
      <c r="E3276" s="9">
        <v>0.88978009259153623</v>
      </c>
      <c r="F3276" s="10" t="s">
        <v>3584</v>
      </c>
      <c r="G3276" s="10" t="s">
        <v>21</v>
      </c>
      <c r="H3276" s="10" t="s">
        <v>101</v>
      </c>
      <c r="I3276" s="10" t="s">
        <v>23</v>
      </c>
      <c r="J3276" s="11">
        <v>1.7</v>
      </c>
      <c r="K3276" s="12"/>
      <c r="L3276" s="12"/>
      <c r="M3276" s="12"/>
      <c r="N3276" s="12"/>
      <c r="O3276" s="12"/>
      <c r="P3276" s="12"/>
      <c r="Q3276" s="12"/>
      <c r="R3276" s="12"/>
      <c r="S3276" s="12"/>
    </row>
    <row r="3277" spans="1:19" ht="14.25" customHeight="1" x14ac:dyDescent="0.2">
      <c r="A3277" s="1" t="s">
        <v>57</v>
      </c>
      <c r="B3277" s="7">
        <v>46108.888159722221</v>
      </c>
      <c r="C3277" s="7">
        <v>46108.896932870368</v>
      </c>
      <c r="D3277" s="8">
        <v>46108</v>
      </c>
      <c r="E3277" s="9">
        <v>0.89693287036789116</v>
      </c>
      <c r="F3277" s="10" t="s">
        <v>3585</v>
      </c>
      <c r="G3277" s="10" t="s">
        <v>21</v>
      </c>
      <c r="H3277" s="10" t="s">
        <v>59</v>
      </c>
      <c r="I3277" s="10" t="s">
        <v>23</v>
      </c>
      <c r="J3277" s="11">
        <v>0.83</v>
      </c>
      <c r="K3277" s="12"/>
      <c r="L3277" s="12"/>
      <c r="M3277" s="12"/>
      <c r="N3277" s="12"/>
      <c r="O3277" s="12"/>
      <c r="P3277" s="12"/>
      <c r="Q3277" s="12"/>
      <c r="R3277" s="12"/>
      <c r="S3277" s="12"/>
    </row>
    <row r="3278" spans="1:19" ht="14.25" customHeight="1" x14ac:dyDescent="0.2">
      <c r="A3278" s="1" t="s">
        <v>57</v>
      </c>
      <c r="B3278" s="7">
        <v>46108.889479166668</v>
      </c>
      <c r="C3278" s="7">
        <v>46108.89707175926</v>
      </c>
      <c r="D3278" s="8">
        <v>46108</v>
      </c>
      <c r="E3278" s="9">
        <v>0.89707175926014315</v>
      </c>
      <c r="F3278" s="10" t="s">
        <v>3586</v>
      </c>
      <c r="G3278" s="10" t="s">
        <v>21</v>
      </c>
      <c r="H3278" s="10" t="s">
        <v>2165</v>
      </c>
      <c r="I3278" s="10" t="s">
        <v>23</v>
      </c>
      <c r="J3278" s="11">
        <v>0.83</v>
      </c>
      <c r="K3278" s="12"/>
      <c r="L3278" s="12"/>
      <c r="M3278" s="12"/>
      <c r="N3278" s="12"/>
      <c r="O3278" s="12"/>
      <c r="P3278" s="12"/>
      <c r="Q3278" s="12"/>
      <c r="R3278" s="12"/>
      <c r="S3278" s="12"/>
    </row>
    <row r="3279" spans="1:19" ht="14.25" customHeight="1" x14ac:dyDescent="0.2">
      <c r="A3279" s="1" t="s">
        <v>148</v>
      </c>
      <c r="B3279" s="7">
        <v>46108.897129629629</v>
      </c>
      <c r="C3279" s="7">
        <v>46108.897326388891</v>
      </c>
      <c r="D3279" s="8">
        <v>46108</v>
      </c>
      <c r="E3279" s="9">
        <v>0.89732638889108784</v>
      </c>
      <c r="F3279" s="10" t="s">
        <v>3587</v>
      </c>
      <c r="G3279" s="10" t="s">
        <v>21</v>
      </c>
      <c r="H3279" s="10" t="s">
        <v>3588</v>
      </c>
      <c r="I3279" s="10" t="s">
        <v>23</v>
      </c>
      <c r="J3279" s="11">
        <v>1.1299999999999999</v>
      </c>
      <c r="K3279" s="12"/>
      <c r="L3279" s="12"/>
      <c r="M3279" s="12"/>
      <c r="N3279" s="12"/>
      <c r="O3279" s="12"/>
      <c r="P3279" s="12"/>
      <c r="Q3279" s="12"/>
      <c r="R3279" s="12"/>
      <c r="S3279" s="12"/>
    </row>
    <row r="3280" spans="1:19" ht="14.25" customHeight="1" x14ac:dyDescent="0.2">
      <c r="A3280" s="1" t="s">
        <v>42</v>
      </c>
      <c r="B3280" s="7">
        <v>46108.869768518518</v>
      </c>
      <c r="C3280" s="7">
        <v>46108.902222222219</v>
      </c>
      <c r="D3280" s="8">
        <v>46108</v>
      </c>
      <c r="E3280" s="9">
        <v>0.9022222222192795</v>
      </c>
      <c r="F3280" s="10" t="s">
        <v>3589</v>
      </c>
      <c r="G3280" s="10" t="s">
        <v>44</v>
      </c>
      <c r="H3280" s="10" t="s">
        <v>48</v>
      </c>
      <c r="I3280" s="10" t="s">
        <v>23</v>
      </c>
      <c r="J3280" s="11">
        <v>0.21</v>
      </c>
      <c r="K3280" s="12"/>
      <c r="L3280" s="12"/>
      <c r="M3280" s="12"/>
      <c r="N3280" s="12"/>
      <c r="O3280" s="12"/>
      <c r="P3280" s="12"/>
      <c r="Q3280" s="12"/>
      <c r="R3280" s="12"/>
      <c r="S3280" s="12"/>
    </row>
    <row r="3281" spans="1:19" ht="14.25" customHeight="1" x14ac:dyDescent="0.2">
      <c r="A3281" s="1" t="s">
        <v>28</v>
      </c>
      <c r="B3281" s="7">
        <v>46108.888784722221</v>
      </c>
      <c r="C3281" s="7">
        <v>46108.905219907407</v>
      </c>
      <c r="D3281" s="8">
        <v>46108</v>
      </c>
      <c r="E3281" s="9">
        <v>0.90521990740671754</v>
      </c>
      <c r="F3281" s="10" t="s">
        <v>3590</v>
      </c>
      <c r="G3281" s="10" t="s">
        <v>21</v>
      </c>
      <c r="H3281" s="10" t="s">
        <v>276</v>
      </c>
      <c r="I3281" s="10" t="s">
        <v>23</v>
      </c>
      <c r="J3281" s="11">
        <v>1.77</v>
      </c>
      <c r="K3281" s="12"/>
      <c r="L3281" s="12"/>
      <c r="M3281" s="12"/>
      <c r="N3281" s="12"/>
      <c r="O3281" s="12"/>
      <c r="P3281" s="12"/>
      <c r="Q3281" s="12"/>
      <c r="R3281" s="12"/>
      <c r="S3281" s="12"/>
    </row>
    <row r="3282" spans="1:19" ht="14.25" customHeight="1" x14ac:dyDescent="0.2">
      <c r="A3282" s="1" t="s">
        <v>33</v>
      </c>
      <c r="B3282" s="7">
        <v>46108.891122685185</v>
      </c>
      <c r="C3282" s="7">
        <v>46108.905624999999</v>
      </c>
      <c r="D3282" s="8">
        <v>46108</v>
      </c>
      <c r="E3282" s="9">
        <v>0.90562499999941792</v>
      </c>
      <c r="F3282" s="10" t="s">
        <v>3591</v>
      </c>
      <c r="G3282" s="10" t="s">
        <v>21</v>
      </c>
      <c r="H3282" s="10" t="s">
        <v>22</v>
      </c>
      <c r="I3282" s="10" t="s">
        <v>23</v>
      </c>
      <c r="J3282" s="11">
        <v>0.83</v>
      </c>
      <c r="K3282" s="12"/>
      <c r="L3282" s="12"/>
      <c r="M3282" s="12"/>
      <c r="N3282" s="12"/>
      <c r="O3282" s="12"/>
      <c r="P3282" s="12"/>
      <c r="Q3282" s="12"/>
      <c r="R3282" s="12"/>
      <c r="S3282" s="12"/>
    </row>
    <row r="3283" spans="1:19" ht="14.25" customHeight="1" x14ac:dyDescent="0.2">
      <c r="A3283" s="1" t="s">
        <v>28</v>
      </c>
      <c r="B3283" s="7">
        <v>46108.895578703705</v>
      </c>
      <c r="C3283" s="7">
        <v>46108.909131944441</v>
      </c>
      <c r="D3283" s="8">
        <v>46108</v>
      </c>
      <c r="E3283" s="9">
        <v>0.90913194444146939</v>
      </c>
      <c r="F3283" s="10" t="s">
        <v>3592</v>
      </c>
      <c r="G3283" s="10" t="s">
        <v>21</v>
      </c>
      <c r="H3283" s="10" t="s">
        <v>216</v>
      </c>
      <c r="I3283" s="10" t="s">
        <v>23</v>
      </c>
      <c r="J3283" s="11">
        <v>0.98</v>
      </c>
      <c r="K3283" s="12"/>
      <c r="L3283" s="12"/>
      <c r="M3283" s="12"/>
      <c r="N3283" s="12"/>
      <c r="O3283" s="12"/>
      <c r="P3283" s="12"/>
      <c r="Q3283" s="12"/>
      <c r="R3283" s="12"/>
      <c r="S3283" s="12"/>
    </row>
    <row r="3284" spans="1:19" ht="14.25" customHeight="1" x14ac:dyDescent="0.2">
      <c r="A3284" s="1" t="s">
        <v>28</v>
      </c>
      <c r="B3284" s="7">
        <v>46108.880428240744</v>
      </c>
      <c r="C3284" s="7">
        <v>46108.909594907411</v>
      </c>
      <c r="D3284" s="8">
        <v>46108</v>
      </c>
      <c r="E3284" s="9">
        <v>0.90959490741079208</v>
      </c>
      <c r="F3284" s="10" t="s">
        <v>3593</v>
      </c>
      <c r="G3284" s="10" t="s">
        <v>26</v>
      </c>
      <c r="H3284" s="10" t="s">
        <v>128</v>
      </c>
      <c r="I3284" s="10" t="s">
        <v>23</v>
      </c>
      <c r="J3284" s="11">
        <v>0.97</v>
      </c>
      <c r="K3284" s="12"/>
      <c r="L3284" s="12"/>
      <c r="M3284" s="12"/>
      <c r="N3284" s="12"/>
      <c r="O3284" s="12"/>
      <c r="P3284" s="12"/>
      <c r="Q3284" s="12"/>
      <c r="R3284" s="12"/>
      <c r="S3284" s="12"/>
    </row>
    <row r="3285" spans="1:19" ht="14.25" customHeight="1" x14ac:dyDescent="0.2">
      <c r="A3285" s="1" t="s">
        <v>33</v>
      </c>
      <c r="B3285" s="7">
        <v>46108.891122685185</v>
      </c>
      <c r="C3285" s="7">
        <v>46108.912754629629</v>
      </c>
      <c r="D3285" s="8">
        <v>46108</v>
      </c>
      <c r="E3285" s="9">
        <v>0.9127546296294895</v>
      </c>
      <c r="F3285" s="10" t="s">
        <v>3594</v>
      </c>
      <c r="G3285" s="10" t="s">
        <v>21</v>
      </c>
      <c r="H3285" s="10" t="s">
        <v>281</v>
      </c>
      <c r="I3285" s="10" t="s">
        <v>23</v>
      </c>
      <c r="J3285" s="11">
        <v>2.5</v>
      </c>
      <c r="K3285" s="12"/>
      <c r="L3285" s="12"/>
      <c r="M3285" s="12"/>
      <c r="N3285" s="12"/>
      <c r="O3285" s="12"/>
      <c r="P3285" s="12"/>
      <c r="Q3285" s="12"/>
      <c r="R3285" s="12"/>
      <c r="S3285" s="12"/>
    </row>
    <row r="3286" spans="1:19" ht="14.25" customHeight="1" x14ac:dyDescent="0.2">
      <c r="A3286" s="1" t="s">
        <v>19</v>
      </c>
      <c r="B3286" s="7">
        <v>46108.887060185189</v>
      </c>
      <c r="C3286" s="7">
        <v>46108.913495370369</v>
      </c>
      <c r="D3286" s="8">
        <v>46108</v>
      </c>
      <c r="E3286" s="9">
        <v>0.91349537036876427</v>
      </c>
      <c r="F3286" s="10" t="s">
        <v>3595</v>
      </c>
      <c r="G3286" s="10" t="s">
        <v>21</v>
      </c>
      <c r="H3286" s="10" t="s">
        <v>39</v>
      </c>
      <c r="I3286" s="10" t="s">
        <v>23</v>
      </c>
      <c r="J3286" s="11">
        <v>1.77</v>
      </c>
      <c r="K3286" s="12"/>
      <c r="L3286" s="12"/>
      <c r="M3286" s="12"/>
      <c r="N3286" s="12"/>
      <c r="O3286" s="12"/>
      <c r="P3286" s="12"/>
      <c r="Q3286" s="12"/>
      <c r="R3286" s="12"/>
      <c r="S3286" s="12"/>
    </row>
    <row r="3287" spans="1:19" ht="14.25" customHeight="1" x14ac:dyDescent="0.2">
      <c r="A3287" s="1" t="s">
        <v>28</v>
      </c>
      <c r="B3287" s="7">
        <v>46108.899502314816</v>
      </c>
      <c r="C3287" s="7">
        <v>46108.918333333335</v>
      </c>
      <c r="D3287" s="8">
        <v>46108</v>
      </c>
      <c r="E3287" s="9">
        <v>0.91833333333488554</v>
      </c>
      <c r="F3287" s="10" t="s">
        <v>3596</v>
      </c>
      <c r="G3287" s="10" t="s">
        <v>26</v>
      </c>
      <c r="H3287" s="10" t="s">
        <v>3597</v>
      </c>
      <c r="I3287" s="10" t="s">
        <v>23</v>
      </c>
      <c r="J3287" s="11">
        <v>0.75</v>
      </c>
      <c r="K3287" s="12"/>
      <c r="L3287" s="12">
        <f>SUM(J3287:J3302)</f>
        <v>21.549999999999997</v>
      </c>
      <c r="M3287" s="13">
        <f>L3287*65</f>
        <v>1400.7499999999998</v>
      </c>
      <c r="N3287" s="14">
        <f>MAX(500,M3287)</f>
        <v>1400.7499999999998</v>
      </c>
      <c r="O3287" s="12"/>
      <c r="P3287" s="12"/>
      <c r="Q3287" s="12"/>
      <c r="R3287" s="12"/>
      <c r="S3287" s="12"/>
    </row>
    <row r="3288" spans="1:19" ht="14.25" customHeight="1" x14ac:dyDescent="0.2">
      <c r="A3288" s="1" t="s">
        <v>24</v>
      </c>
      <c r="B3288" s="7">
        <v>46108.908518518518</v>
      </c>
      <c r="C3288" s="7">
        <v>46108.918622685182</v>
      </c>
      <c r="D3288" s="8">
        <v>46108</v>
      </c>
      <c r="E3288" s="9">
        <v>0.91862268518161727</v>
      </c>
      <c r="F3288" s="10" t="s">
        <v>3598</v>
      </c>
      <c r="G3288" s="10" t="s">
        <v>21</v>
      </c>
      <c r="H3288" s="10" t="s">
        <v>41</v>
      </c>
      <c r="I3288" s="10" t="s">
        <v>23</v>
      </c>
      <c r="J3288" s="11">
        <v>1.77</v>
      </c>
      <c r="K3288" s="12"/>
      <c r="L3288" s="12"/>
      <c r="M3288" s="12"/>
      <c r="N3288" s="12"/>
      <c r="O3288" s="12"/>
      <c r="P3288" s="12"/>
      <c r="Q3288" s="12"/>
      <c r="R3288" s="12"/>
      <c r="S3288" s="12"/>
    </row>
    <row r="3289" spans="1:19" ht="14.25" customHeight="1" x14ac:dyDescent="0.2">
      <c r="A3289" s="1" t="s">
        <v>28</v>
      </c>
      <c r="B3289" s="7">
        <v>46108.903333333335</v>
      </c>
      <c r="C3289" s="7">
        <v>46108.919363425928</v>
      </c>
      <c r="D3289" s="8">
        <v>46108</v>
      </c>
      <c r="E3289" s="9">
        <v>0.919363425928168</v>
      </c>
      <c r="F3289" s="10" t="s">
        <v>3599</v>
      </c>
      <c r="G3289" s="10" t="s">
        <v>21</v>
      </c>
      <c r="H3289" s="10" t="s">
        <v>488</v>
      </c>
      <c r="I3289" s="10" t="s">
        <v>23</v>
      </c>
      <c r="J3289" s="11">
        <v>1.1299999999999999</v>
      </c>
      <c r="K3289" s="12"/>
      <c r="L3289" s="12"/>
      <c r="M3289" s="12"/>
      <c r="N3289" s="12"/>
      <c r="O3289" s="12"/>
      <c r="P3289" s="12"/>
      <c r="Q3289" s="12"/>
      <c r="R3289" s="12"/>
      <c r="S3289" s="12"/>
    </row>
    <row r="3290" spans="1:19" ht="14.25" customHeight="1" x14ac:dyDescent="0.2">
      <c r="A3290" s="1" t="s">
        <v>24</v>
      </c>
      <c r="B3290" s="7">
        <v>46108.888182870367</v>
      </c>
      <c r="C3290" s="7">
        <v>46108.92423611111</v>
      </c>
      <c r="D3290" s="8">
        <v>46108</v>
      </c>
      <c r="E3290" s="9">
        <v>0.92423611111007631</v>
      </c>
      <c r="F3290" s="10" t="s">
        <v>3600</v>
      </c>
      <c r="G3290" s="10" t="s">
        <v>26</v>
      </c>
      <c r="H3290" s="10" t="s">
        <v>92</v>
      </c>
      <c r="I3290" s="10" t="s">
        <v>23</v>
      </c>
      <c r="J3290" s="11">
        <v>0.63</v>
      </c>
      <c r="K3290" s="12"/>
      <c r="L3290" s="12"/>
      <c r="M3290" s="12"/>
      <c r="N3290" s="12"/>
      <c r="O3290" s="12"/>
      <c r="P3290" s="12"/>
      <c r="Q3290" s="12"/>
      <c r="R3290" s="12"/>
      <c r="S3290" s="12"/>
    </row>
    <row r="3291" spans="1:19" ht="14.25" customHeight="1" x14ac:dyDescent="0.2">
      <c r="A3291" s="1" t="s">
        <v>24</v>
      </c>
      <c r="B3291" s="7">
        <v>46108.888182870367</v>
      </c>
      <c r="C3291" s="7">
        <v>46108.92423611111</v>
      </c>
      <c r="D3291" s="8">
        <v>46108</v>
      </c>
      <c r="E3291" s="9">
        <v>0.92423611111007631</v>
      </c>
      <c r="F3291" s="10" t="s">
        <v>3601</v>
      </c>
      <c r="G3291" s="10" t="s">
        <v>26</v>
      </c>
      <c r="H3291" s="10" t="s">
        <v>92</v>
      </c>
      <c r="I3291" s="10" t="s">
        <v>23</v>
      </c>
      <c r="J3291" s="11">
        <v>0.63</v>
      </c>
      <c r="K3291" s="12"/>
      <c r="L3291" s="12"/>
      <c r="M3291" s="12"/>
      <c r="N3291" s="12"/>
      <c r="O3291" s="12"/>
      <c r="P3291" s="12"/>
      <c r="Q3291" s="12"/>
      <c r="R3291" s="12"/>
      <c r="S3291" s="12"/>
    </row>
    <row r="3292" spans="1:19" ht="14.25" customHeight="1" x14ac:dyDescent="0.2">
      <c r="A3292" s="1" t="s">
        <v>33</v>
      </c>
      <c r="B3292" s="7">
        <v>46108.83384259259</v>
      </c>
      <c r="C3292" s="7">
        <v>46108.929664351854</v>
      </c>
      <c r="D3292" s="8">
        <v>46108</v>
      </c>
      <c r="E3292" s="9">
        <v>0.92966435185371665</v>
      </c>
      <c r="F3292" s="10" t="s">
        <v>3602</v>
      </c>
      <c r="G3292" s="10" t="s">
        <v>180</v>
      </c>
      <c r="H3292" s="10" t="s">
        <v>504</v>
      </c>
      <c r="I3292" s="10" t="s">
        <v>23</v>
      </c>
      <c r="J3292" s="11">
        <v>1.44</v>
      </c>
      <c r="K3292" s="12"/>
      <c r="L3292" s="12"/>
      <c r="M3292" s="12"/>
      <c r="N3292" s="12"/>
      <c r="O3292" s="12"/>
      <c r="P3292" s="12"/>
      <c r="Q3292" s="12"/>
      <c r="R3292" s="12"/>
      <c r="S3292" s="12"/>
    </row>
    <row r="3293" spans="1:19" ht="14.25" customHeight="1" x14ac:dyDescent="0.2">
      <c r="A3293" s="1" t="s">
        <v>24</v>
      </c>
      <c r="B3293" s="7">
        <v>46108.915972222225</v>
      </c>
      <c r="C3293" s="7">
        <v>46108.930104166669</v>
      </c>
      <c r="D3293" s="8">
        <v>46108</v>
      </c>
      <c r="E3293" s="9">
        <v>0.93010416666948004</v>
      </c>
      <c r="F3293" s="10" t="s">
        <v>3603</v>
      </c>
      <c r="G3293" s="10" t="s">
        <v>21</v>
      </c>
      <c r="H3293" s="10" t="s">
        <v>41</v>
      </c>
      <c r="I3293" s="10" t="s">
        <v>23</v>
      </c>
      <c r="J3293" s="11">
        <v>1.77</v>
      </c>
      <c r="K3293" s="12"/>
      <c r="L3293" s="12"/>
      <c r="M3293" s="12"/>
      <c r="N3293" s="12"/>
      <c r="O3293" s="12"/>
      <c r="P3293" s="12"/>
      <c r="Q3293" s="12"/>
      <c r="R3293" s="12"/>
      <c r="S3293" s="12"/>
    </row>
    <row r="3294" spans="1:19" ht="14.25" customHeight="1" x14ac:dyDescent="0.2">
      <c r="A3294" s="1" t="s">
        <v>33</v>
      </c>
      <c r="B3294" s="7">
        <v>46108.911770833336</v>
      </c>
      <c r="C3294" s="7">
        <v>46108.935104166667</v>
      </c>
      <c r="D3294" s="8">
        <v>46108</v>
      </c>
      <c r="E3294" s="9">
        <v>0.93510416666686069</v>
      </c>
      <c r="F3294" s="10" t="s">
        <v>3604</v>
      </c>
      <c r="G3294" s="10" t="s">
        <v>21</v>
      </c>
      <c r="H3294" s="10" t="s">
        <v>54</v>
      </c>
      <c r="I3294" s="10" t="s">
        <v>23</v>
      </c>
      <c r="J3294" s="11">
        <v>0.83</v>
      </c>
      <c r="K3294" s="12"/>
      <c r="L3294" s="12"/>
      <c r="M3294" s="12"/>
      <c r="N3294" s="12"/>
      <c r="O3294" s="12"/>
      <c r="P3294" s="12"/>
      <c r="Q3294" s="12"/>
      <c r="R3294" s="12"/>
      <c r="S3294" s="12"/>
    </row>
    <row r="3295" spans="1:19" ht="14.25" customHeight="1" x14ac:dyDescent="0.2">
      <c r="A3295" s="1" t="s">
        <v>33</v>
      </c>
      <c r="B3295" s="7">
        <v>46108.911770833336</v>
      </c>
      <c r="C3295" s="7">
        <v>46108.93582175926</v>
      </c>
      <c r="D3295" s="8">
        <v>46108</v>
      </c>
      <c r="E3295" s="9">
        <v>0.93582175925985212</v>
      </c>
      <c r="F3295" s="10" t="s">
        <v>3605</v>
      </c>
      <c r="G3295" s="10" t="s">
        <v>21</v>
      </c>
      <c r="H3295" s="10" t="s">
        <v>35</v>
      </c>
      <c r="I3295" s="10" t="s">
        <v>23</v>
      </c>
      <c r="J3295" s="11">
        <v>2.5</v>
      </c>
      <c r="K3295" s="12"/>
      <c r="L3295" s="12"/>
      <c r="M3295" s="12"/>
      <c r="N3295" s="12"/>
      <c r="O3295" s="12"/>
      <c r="P3295" s="12"/>
      <c r="Q3295" s="12"/>
      <c r="R3295" s="12"/>
      <c r="S3295" s="12"/>
    </row>
    <row r="3296" spans="1:19" ht="14.25" customHeight="1" x14ac:dyDescent="0.2">
      <c r="A3296" s="1" t="s">
        <v>19</v>
      </c>
      <c r="B3296" s="7">
        <v>46108.881793981483</v>
      </c>
      <c r="C3296" s="7">
        <v>46108.935995370368</v>
      </c>
      <c r="D3296" s="8">
        <v>46108</v>
      </c>
      <c r="E3296" s="9">
        <v>0.93599537036789116</v>
      </c>
      <c r="F3296" s="10" t="s">
        <v>3606</v>
      </c>
      <c r="G3296" s="10" t="s">
        <v>26</v>
      </c>
      <c r="H3296" s="10" t="s">
        <v>37</v>
      </c>
      <c r="I3296" s="10" t="s">
        <v>23</v>
      </c>
      <c r="J3296" s="11">
        <v>0.88</v>
      </c>
      <c r="K3296" s="12"/>
      <c r="L3296" s="12"/>
      <c r="M3296" s="12"/>
      <c r="N3296" s="12"/>
      <c r="O3296" s="12"/>
      <c r="P3296" s="12"/>
      <c r="Q3296" s="12"/>
      <c r="R3296" s="12"/>
      <c r="S3296" s="12"/>
    </row>
    <row r="3297" spans="1:19" ht="14.25" customHeight="1" x14ac:dyDescent="0.2">
      <c r="A3297" s="1" t="s">
        <v>24</v>
      </c>
      <c r="B3297" s="7">
        <v>46108.91815972222</v>
      </c>
      <c r="C3297" s="7">
        <v>46108.936944444446</v>
      </c>
      <c r="D3297" s="8">
        <v>46108</v>
      </c>
      <c r="E3297" s="9">
        <v>0.93694444444554392</v>
      </c>
      <c r="F3297" s="10" t="s">
        <v>3607</v>
      </c>
      <c r="G3297" s="10" t="s">
        <v>26</v>
      </c>
      <c r="H3297" s="10" t="s">
        <v>1367</v>
      </c>
      <c r="I3297" s="10" t="s">
        <v>23</v>
      </c>
      <c r="J3297" s="11">
        <v>0.49</v>
      </c>
      <c r="K3297" s="12"/>
      <c r="L3297" s="12"/>
      <c r="M3297" s="12"/>
      <c r="N3297" s="12"/>
      <c r="O3297" s="12"/>
      <c r="P3297" s="12"/>
      <c r="Q3297" s="12"/>
      <c r="R3297" s="12"/>
      <c r="S3297" s="12"/>
    </row>
    <row r="3298" spans="1:19" ht="14.25" customHeight="1" x14ac:dyDescent="0.2">
      <c r="A3298" s="1" t="s">
        <v>63</v>
      </c>
      <c r="B3298" s="7">
        <v>46108.925266203703</v>
      </c>
      <c r="C3298" s="7">
        <v>46108.94190972222</v>
      </c>
      <c r="D3298" s="8">
        <v>46108</v>
      </c>
      <c r="E3298" s="9">
        <v>0.94190972221986158</v>
      </c>
      <c r="F3298" s="10" t="s">
        <v>3608</v>
      </c>
      <c r="G3298" s="10" t="s">
        <v>21</v>
      </c>
      <c r="H3298" s="10" t="s">
        <v>1535</v>
      </c>
      <c r="I3298" s="10" t="s">
        <v>23</v>
      </c>
      <c r="J3298" s="11">
        <v>1.7</v>
      </c>
      <c r="K3298" s="12"/>
      <c r="L3298" s="12"/>
      <c r="M3298" s="12"/>
      <c r="N3298" s="12"/>
      <c r="O3298" s="12"/>
      <c r="P3298" s="12"/>
      <c r="Q3298" s="12"/>
      <c r="R3298" s="12"/>
      <c r="S3298" s="12"/>
    </row>
    <row r="3299" spans="1:19" ht="14.25" customHeight="1" x14ac:dyDescent="0.2">
      <c r="A3299" s="1" t="s">
        <v>24</v>
      </c>
      <c r="B3299" s="7">
        <v>46108.936759259261</v>
      </c>
      <c r="C3299" s="7">
        <v>46108.946006944447</v>
      </c>
      <c r="D3299" s="8">
        <v>46108</v>
      </c>
      <c r="E3299" s="9">
        <v>0.94600694444670808</v>
      </c>
      <c r="F3299" s="10" t="s">
        <v>3609</v>
      </c>
      <c r="G3299" s="10" t="s">
        <v>26</v>
      </c>
      <c r="H3299" s="10" t="s">
        <v>202</v>
      </c>
      <c r="I3299" s="10" t="s">
        <v>23</v>
      </c>
      <c r="J3299" s="11">
        <v>0.57999999999999996</v>
      </c>
      <c r="K3299" s="12"/>
      <c r="L3299" s="12"/>
      <c r="M3299" s="12"/>
      <c r="N3299" s="12"/>
      <c r="O3299" s="12"/>
      <c r="P3299" s="12"/>
      <c r="Q3299" s="12"/>
      <c r="R3299" s="12"/>
      <c r="S3299" s="12"/>
    </row>
    <row r="3300" spans="1:19" ht="14.25" customHeight="1" x14ac:dyDescent="0.2">
      <c r="A3300" s="1" t="s">
        <v>19</v>
      </c>
      <c r="B3300" s="7">
        <v>46108.876099537039</v>
      </c>
      <c r="C3300" s="7">
        <v>46108.946909722225</v>
      </c>
      <c r="D3300" s="8">
        <v>46108</v>
      </c>
      <c r="E3300" s="9">
        <v>0.94690972222451819</v>
      </c>
      <c r="F3300" s="10" t="s">
        <v>3610</v>
      </c>
      <c r="G3300" s="10" t="s">
        <v>21</v>
      </c>
      <c r="H3300" s="10" t="s">
        <v>399</v>
      </c>
      <c r="I3300" s="10" t="s">
        <v>23</v>
      </c>
      <c r="J3300" s="11">
        <v>3.92</v>
      </c>
      <c r="K3300" s="12"/>
      <c r="L3300" s="12"/>
      <c r="M3300" s="12"/>
      <c r="N3300" s="12"/>
      <c r="O3300" s="12"/>
      <c r="P3300" s="12"/>
      <c r="Q3300" s="12"/>
      <c r="R3300" s="12"/>
      <c r="S3300" s="12"/>
    </row>
    <row r="3301" spans="1:19" ht="14.25" customHeight="1" x14ac:dyDescent="0.2">
      <c r="A3301" s="1" t="s">
        <v>28</v>
      </c>
      <c r="B3301" s="7">
        <v>46108.942916666667</v>
      </c>
      <c r="C3301" s="7">
        <v>46108.952997685185</v>
      </c>
      <c r="D3301" s="8">
        <v>46108</v>
      </c>
      <c r="E3301" s="9">
        <v>0.95299768518452765</v>
      </c>
      <c r="F3301" s="10" t="s">
        <v>3611</v>
      </c>
      <c r="G3301" s="10" t="s">
        <v>21</v>
      </c>
      <c r="H3301" s="10" t="s">
        <v>101</v>
      </c>
      <c r="I3301" s="10" t="s">
        <v>23</v>
      </c>
      <c r="J3301" s="11">
        <v>1.7</v>
      </c>
      <c r="K3301" s="12"/>
      <c r="L3301" s="12"/>
      <c r="M3301" s="12"/>
      <c r="N3301" s="12"/>
      <c r="O3301" s="12"/>
      <c r="P3301" s="12"/>
      <c r="Q3301" s="12"/>
      <c r="R3301" s="12"/>
      <c r="S3301" s="12"/>
    </row>
    <row r="3302" spans="1:19" ht="14.25" customHeight="1" x14ac:dyDescent="0.2">
      <c r="A3302" s="1" t="s">
        <v>33</v>
      </c>
      <c r="B3302" s="7">
        <v>46108.94332175926</v>
      </c>
      <c r="C3302" s="7">
        <v>46108.953136574077</v>
      </c>
      <c r="D3302" s="8">
        <v>46108</v>
      </c>
      <c r="E3302" s="9">
        <v>0.95313657407677965</v>
      </c>
      <c r="F3302" s="10" t="s">
        <v>3612</v>
      </c>
      <c r="G3302" s="10" t="s">
        <v>21</v>
      </c>
      <c r="H3302" s="10" t="s">
        <v>22</v>
      </c>
      <c r="I3302" s="10" t="s">
        <v>23</v>
      </c>
      <c r="J3302" s="11">
        <v>0.83</v>
      </c>
      <c r="K3302" s="12"/>
      <c r="L3302" s="12"/>
      <c r="M3302" s="12"/>
      <c r="N3302" s="12"/>
      <c r="O3302" s="12"/>
      <c r="P3302" s="12"/>
      <c r="Q3302" s="12"/>
      <c r="R3302" s="12"/>
      <c r="S3302" s="12"/>
    </row>
    <row r="3303" spans="1:19" ht="14.25" customHeight="1" x14ac:dyDescent="0.2">
      <c r="A3303" s="1" t="s">
        <v>24</v>
      </c>
      <c r="B3303" s="7">
        <v>46108.947685185187</v>
      </c>
      <c r="C3303" s="7">
        <v>46108.963159722225</v>
      </c>
      <c r="D3303" s="8">
        <v>46108</v>
      </c>
      <c r="E3303" s="9">
        <v>0.96315972222510027</v>
      </c>
      <c r="F3303" s="10" t="s">
        <v>3613</v>
      </c>
      <c r="G3303" s="10" t="s">
        <v>26</v>
      </c>
      <c r="H3303" s="10" t="s">
        <v>768</v>
      </c>
      <c r="I3303" s="10" t="s">
        <v>23</v>
      </c>
      <c r="J3303" s="11">
        <v>0.67</v>
      </c>
      <c r="K3303" s="12"/>
      <c r="L3303" s="12">
        <f>SUM(J3303:J3317)</f>
        <v>16.729999999999997</v>
      </c>
      <c r="M3303" s="13">
        <f>L3303*65</f>
        <v>1087.4499999999998</v>
      </c>
      <c r="N3303" s="14">
        <f>MAX(500,M3303)</f>
        <v>1087.4499999999998</v>
      </c>
      <c r="O3303" s="12"/>
      <c r="P3303" s="12"/>
      <c r="Q3303" s="12"/>
      <c r="R3303" s="12"/>
      <c r="S3303" s="12"/>
    </row>
    <row r="3304" spans="1:19" ht="14.25" customHeight="1" x14ac:dyDescent="0.2">
      <c r="A3304" s="1" t="s">
        <v>42</v>
      </c>
      <c r="B3304" s="7">
        <v>46108.927141203705</v>
      </c>
      <c r="C3304" s="7">
        <v>46108.963402777779</v>
      </c>
      <c r="D3304" s="8">
        <v>46108</v>
      </c>
      <c r="E3304" s="9">
        <v>0.96340277777926531</v>
      </c>
      <c r="F3304" s="10" t="s">
        <v>3614</v>
      </c>
      <c r="G3304" s="10" t="s">
        <v>26</v>
      </c>
      <c r="H3304" s="10" t="s">
        <v>3615</v>
      </c>
      <c r="I3304" s="10" t="s">
        <v>23</v>
      </c>
      <c r="J3304" s="11">
        <v>0.5</v>
      </c>
      <c r="K3304" s="12"/>
      <c r="L3304" s="12"/>
      <c r="M3304" s="12"/>
      <c r="N3304" s="12"/>
      <c r="O3304" s="12"/>
      <c r="P3304" s="12"/>
      <c r="Q3304" s="12"/>
      <c r="R3304" s="12"/>
      <c r="S3304" s="12"/>
    </row>
    <row r="3305" spans="1:19" ht="14.25" customHeight="1" x14ac:dyDescent="0.2">
      <c r="A3305" s="1" t="s">
        <v>19</v>
      </c>
      <c r="B3305" s="7">
        <v>46108.873703703706</v>
      </c>
      <c r="C3305" s="7">
        <v>46108.970509259256</v>
      </c>
      <c r="D3305" s="8">
        <v>46108</v>
      </c>
      <c r="E3305" s="9">
        <v>0.97050925925577758</v>
      </c>
      <c r="F3305" s="10" t="s">
        <v>3616</v>
      </c>
      <c r="G3305" s="10" t="s">
        <v>21</v>
      </c>
      <c r="H3305" s="10" t="s">
        <v>22</v>
      </c>
      <c r="I3305" s="10" t="s">
        <v>23</v>
      </c>
      <c r="J3305" s="11">
        <v>0.83</v>
      </c>
      <c r="K3305" s="12"/>
      <c r="L3305" s="12"/>
      <c r="M3305" s="12"/>
      <c r="N3305" s="12"/>
      <c r="O3305" s="12"/>
      <c r="P3305" s="12"/>
      <c r="Q3305" s="12"/>
      <c r="R3305" s="12"/>
      <c r="S3305" s="12"/>
    </row>
    <row r="3306" spans="1:19" ht="14.25" customHeight="1" x14ac:dyDescent="0.2">
      <c r="A3306" s="1" t="s">
        <v>33</v>
      </c>
      <c r="B3306" s="7">
        <v>46108.952627314815</v>
      </c>
      <c r="C3306" s="7">
        <v>46108.971712962964</v>
      </c>
      <c r="D3306" s="8">
        <v>46108</v>
      </c>
      <c r="E3306" s="9">
        <v>0.97171296296437504</v>
      </c>
      <c r="F3306" s="10" t="s">
        <v>3617</v>
      </c>
      <c r="G3306" s="10" t="s">
        <v>21</v>
      </c>
      <c r="H3306" s="10" t="s">
        <v>22</v>
      </c>
      <c r="I3306" s="10" t="s">
        <v>23</v>
      </c>
      <c r="J3306" s="11">
        <v>0.83</v>
      </c>
      <c r="K3306" s="12"/>
      <c r="L3306" s="12"/>
      <c r="M3306" s="12"/>
      <c r="N3306" s="12"/>
      <c r="O3306" s="12"/>
      <c r="P3306" s="12"/>
      <c r="Q3306" s="12"/>
      <c r="R3306" s="12"/>
      <c r="S3306" s="12"/>
    </row>
    <row r="3307" spans="1:19" ht="14.25" customHeight="1" x14ac:dyDescent="0.2">
      <c r="A3307" s="1" t="s">
        <v>19</v>
      </c>
      <c r="B3307" s="7">
        <v>46108.963842592595</v>
      </c>
      <c r="C3307" s="7">
        <v>46108.972395833334</v>
      </c>
      <c r="D3307" s="8">
        <v>46108</v>
      </c>
      <c r="E3307" s="9">
        <v>0.97239583333430346</v>
      </c>
      <c r="F3307" s="10" t="s">
        <v>3618</v>
      </c>
      <c r="G3307" s="10" t="s">
        <v>21</v>
      </c>
      <c r="H3307" s="10" t="s">
        <v>41</v>
      </c>
      <c r="I3307" s="10" t="s">
        <v>23</v>
      </c>
      <c r="J3307" s="11">
        <v>1.77</v>
      </c>
      <c r="K3307" s="12"/>
      <c r="L3307" s="12"/>
      <c r="M3307" s="12"/>
      <c r="N3307" s="12"/>
      <c r="O3307" s="12"/>
      <c r="P3307" s="12"/>
      <c r="Q3307" s="12"/>
      <c r="R3307" s="12"/>
      <c r="S3307" s="12"/>
    </row>
    <row r="3308" spans="1:19" ht="14.25" customHeight="1" x14ac:dyDescent="0.2">
      <c r="A3308" s="1" t="s">
        <v>42</v>
      </c>
      <c r="B3308" s="7">
        <v>46108.948761574073</v>
      </c>
      <c r="C3308" s="7">
        <v>46108.973009259258</v>
      </c>
      <c r="D3308" s="8">
        <v>46108</v>
      </c>
      <c r="E3308" s="9">
        <v>0.97300925925810589</v>
      </c>
      <c r="F3308" s="10" t="s">
        <v>3619</v>
      </c>
      <c r="G3308" s="10" t="s">
        <v>21</v>
      </c>
      <c r="H3308" s="10" t="s">
        <v>97</v>
      </c>
      <c r="I3308" s="10" t="s">
        <v>23</v>
      </c>
      <c r="J3308" s="11">
        <v>1.77</v>
      </c>
      <c r="K3308" s="12"/>
      <c r="L3308" s="12"/>
      <c r="M3308" s="12"/>
      <c r="N3308" s="12"/>
      <c r="O3308" s="12"/>
      <c r="P3308" s="12"/>
      <c r="Q3308" s="12"/>
      <c r="R3308" s="12"/>
      <c r="S3308" s="12"/>
    </row>
    <row r="3309" spans="1:19" ht="14.25" customHeight="1" x14ac:dyDescent="0.2">
      <c r="A3309" s="1" t="s">
        <v>33</v>
      </c>
      <c r="B3309" s="7">
        <v>46108.952627314815</v>
      </c>
      <c r="C3309" s="7">
        <v>46108.97383101852</v>
      </c>
      <c r="D3309" s="8">
        <v>46108</v>
      </c>
      <c r="E3309" s="9">
        <v>0.97383101852028631</v>
      </c>
      <c r="F3309" s="10" t="s">
        <v>3620</v>
      </c>
      <c r="G3309" s="10" t="s">
        <v>21</v>
      </c>
      <c r="H3309" s="10" t="s">
        <v>101</v>
      </c>
      <c r="I3309" s="10" t="s">
        <v>23</v>
      </c>
      <c r="J3309" s="11">
        <v>1.7</v>
      </c>
      <c r="K3309" s="12"/>
      <c r="L3309" s="12"/>
      <c r="M3309" s="12"/>
      <c r="N3309" s="12"/>
      <c r="O3309" s="12"/>
      <c r="P3309" s="12"/>
      <c r="Q3309" s="12"/>
      <c r="R3309" s="12"/>
      <c r="S3309" s="12"/>
    </row>
    <row r="3310" spans="1:19" ht="14.25" customHeight="1" x14ac:dyDescent="0.2">
      <c r="A3310" s="1" t="s">
        <v>57</v>
      </c>
      <c r="B3310" s="7">
        <v>46108.961458333331</v>
      </c>
      <c r="C3310" s="7">
        <v>46108.9765625</v>
      </c>
      <c r="D3310" s="8">
        <v>46108</v>
      </c>
      <c r="E3310" s="9">
        <v>0.9765625</v>
      </c>
      <c r="F3310" s="10" t="s">
        <v>3621</v>
      </c>
      <c r="G3310" s="10" t="s">
        <v>21</v>
      </c>
      <c r="H3310" s="10" t="s">
        <v>712</v>
      </c>
      <c r="I3310" s="10" t="s">
        <v>23</v>
      </c>
      <c r="J3310" s="11">
        <v>1.77</v>
      </c>
      <c r="K3310" s="12"/>
      <c r="L3310" s="12"/>
      <c r="M3310" s="12"/>
      <c r="N3310" s="12"/>
      <c r="O3310" s="12"/>
      <c r="P3310" s="12"/>
      <c r="Q3310" s="12"/>
      <c r="R3310" s="12"/>
      <c r="S3310" s="12"/>
    </row>
    <row r="3311" spans="1:19" ht="14.25" customHeight="1" x14ac:dyDescent="0.2">
      <c r="A3311" s="1" t="s">
        <v>24</v>
      </c>
      <c r="B3311" s="7">
        <v>46108.959930555553</v>
      </c>
      <c r="C3311" s="7">
        <v>46108.990972222222</v>
      </c>
      <c r="D3311" s="8">
        <v>46108</v>
      </c>
      <c r="E3311" s="9">
        <v>0.99097222222189885</v>
      </c>
      <c r="F3311" s="10" t="s">
        <v>3622</v>
      </c>
      <c r="G3311" s="10" t="s">
        <v>26</v>
      </c>
      <c r="H3311" s="10" t="s">
        <v>27</v>
      </c>
      <c r="I3311" s="10" t="s">
        <v>23</v>
      </c>
      <c r="J3311" s="11">
        <v>0.68</v>
      </c>
      <c r="K3311" s="12"/>
      <c r="L3311" s="12"/>
      <c r="M3311" s="12"/>
      <c r="N3311" s="12"/>
      <c r="O3311" s="12"/>
      <c r="P3311" s="12"/>
      <c r="Q3311" s="12"/>
      <c r="R3311" s="12"/>
      <c r="S3311" s="12"/>
    </row>
    <row r="3312" spans="1:19" ht="14.25" customHeight="1" x14ac:dyDescent="0.2">
      <c r="A3312" s="1" t="s">
        <v>95</v>
      </c>
      <c r="B3312" s="7">
        <v>46108.967442129629</v>
      </c>
      <c r="C3312" s="7">
        <v>46108.992048611108</v>
      </c>
      <c r="D3312" s="8">
        <v>46108</v>
      </c>
      <c r="E3312" s="9">
        <v>0.992048611107748</v>
      </c>
      <c r="F3312" s="10" t="s">
        <v>3623</v>
      </c>
      <c r="G3312" s="10" t="s">
        <v>21</v>
      </c>
      <c r="H3312" s="10" t="s">
        <v>110</v>
      </c>
      <c r="I3312" s="10" t="s">
        <v>23</v>
      </c>
      <c r="J3312" s="11">
        <v>0.83</v>
      </c>
      <c r="K3312" s="12"/>
      <c r="L3312" s="12"/>
      <c r="M3312" s="12"/>
      <c r="N3312" s="12"/>
      <c r="O3312" s="12"/>
      <c r="P3312" s="12"/>
      <c r="Q3312" s="12"/>
      <c r="R3312" s="12"/>
      <c r="S3312" s="12"/>
    </row>
    <row r="3313" spans="1:19" ht="14.25" customHeight="1" x14ac:dyDescent="0.2">
      <c r="A3313" s="1" t="s">
        <v>24</v>
      </c>
      <c r="B3313" s="7">
        <v>46108.967418981483</v>
      </c>
      <c r="C3313" s="7">
        <v>46108.992766203701</v>
      </c>
      <c r="D3313" s="8">
        <v>46108</v>
      </c>
      <c r="E3313" s="9">
        <v>0.99276620370073942</v>
      </c>
      <c r="F3313" s="10" t="s">
        <v>3624</v>
      </c>
      <c r="G3313" s="10" t="s">
        <v>26</v>
      </c>
      <c r="H3313" s="10" t="s">
        <v>3625</v>
      </c>
      <c r="I3313" s="10" t="s">
        <v>23</v>
      </c>
      <c r="J3313" s="11">
        <v>0.68</v>
      </c>
      <c r="K3313" s="12"/>
      <c r="L3313" s="12"/>
      <c r="M3313" s="12"/>
      <c r="N3313" s="12"/>
      <c r="O3313" s="12"/>
      <c r="P3313" s="12"/>
      <c r="Q3313" s="12"/>
      <c r="R3313" s="12"/>
      <c r="S3313" s="12"/>
    </row>
    <row r="3314" spans="1:19" ht="14.25" customHeight="1" x14ac:dyDescent="0.2">
      <c r="A3314" s="1" t="s">
        <v>95</v>
      </c>
      <c r="B3314" s="7">
        <v>46108.967442129629</v>
      </c>
      <c r="C3314" s="7">
        <v>46108.992997685185</v>
      </c>
      <c r="D3314" s="8">
        <v>46108</v>
      </c>
      <c r="E3314" s="9">
        <v>0.99299768518540077</v>
      </c>
      <c r="F3314" s="10" t="s">
        <v>3626</v>
      </c>
      <c r="G3314" s="10" t="s">
        <v>21</v>
      </c>
      <c r="H3314" s="10" t="s">
        <v>52</v>
      </c>
      <c r="I3314" s="10" t="s">
        <v>23</v>
      </c>
      <c r="J3314" s="11">
        <v>0.98</v>
      </c>
      <c r="K3314" s="12"/>
      <c r="L3314" s="12"/>
      <c r="M3314" s="12"/>
      <c r="N3314" s="12"/>
      <c r="O3314" s="12"/>
      <c r="P3314" s="12"/>
      <c r="Q3314" s="12"/>
      <c r="R3314" s="12"/>
      <c r="S3314" s="12"/>
    </row>
    <row r="3315" spans="1:19" ht="14.25" customHeight="1" x14ac:dyDescent="0.2">
      <c r="A3315" s="1" t="s">
        <v>19</v>
      </c>
      <c r="B3315" s="7">
        <v>46108.964537037034</v>
      </c>
      <c r="C3315" s="7">
        <v>46108.993796296294</v>
      </c>
      <c r="D3315" s="8">
        <v>46108</v>
      </c>
      <c r="E3315" s="9">
        <v>0.99379629629402189</v>
      </c>
      <c r="F3315" s="10" t="s">
        <v>3627</v>
      </c>
      <c r="G3315" s="10" t="s">
        <v>44</v>
      </c>
      <c r="H3315" s="10" t="s">
        <v>1522</v>
      </c>
      <c r="I3315" s="10" t="s">
        <v>23</v>
      </c>
      <c r="J3315" s="11">
        <v>0.18</v>
      </c>
      <c r="K3315" s="12"/>
      <c r="L3315" s="12"/>
      <c r="M3315" s="12"/>
      <c r="N3315" s="12"/>
      <c r="O3315" s="12"/>
      <c r="P3315" s="12"/>
      <c r="Q3315" s="12"/>
      <c r="R3315" s="12"/>
      <c r="S3315" s="12"/>
    </row>
    <row r="3316" spans="1:19" ht="14.25" customHeight="1" x14ac:dyDescent="0.2">
      <c r="A3316" s="1" t="s">
        <v>24</v>
      </c>
      <c r="B3316" s="7">
        <v>46108.977789351855</v>
      </c>
      <c r="C3316" s="7">
        <v>46108.999583333331</v>
      </c>
      <c r="D3316" s="8">
        <v>46108</v>
      </c>
      <c r="E3316" s="9">
        <v>0.99958333333051996</v>
      </c>
      <c r="F3316" s="10" t="s">
        <v>3628</v>
      </c>
      <c r="G3316" s="10" t="s">
        <v>21</v>
      </c>
      <c r="H3316" s="10" t="s">
        <v>39</v>
      </c>
      <c r="I3316" s="10" t="s">
        <v>23</v>
      </c>
      <c r="J3316" s="11">
        <v>1.77</v>
      </c>
      <c r="K3316" s="12"/>
      <c r="L3316" s="12"/>
      <c r="M3316" s="12"/>
      <c r="N3316" s="12"/>
      <c r="O3316" s="12"/>
      <c r="P3316" s="12"/>
      <c r="Q3316" s="12"/>
      <c r="R3316" s="12"/>
      <c r="S3316" s="12"/>
    </row>
    <row r="3317" spans="1:19" ht="14.25" customHeight="1" x14ac:dyDescent="0.2">
      <c r="A3317" s="1" t="s">
        <v>24</v>
      </c>
      <c r="B3317" s="7">
        <v>46108.963078703702</v>
      </c>
      <c r="C3317" s="7">
        <v>46108.999930555554</v>
      </c>
      <c r="D3317" s="8">
        <v>46108</v>
      </c>
      <c r="E3317" s="9">
        <v>0.999930555553874</v>
      </c>
      <c r="F3317" s="10" t="s">
        <v>3629</v>
      </c>
      <c r="G3317" s="10" t="s">
        <v>21</v>
      </c>
      <c r="H3317" s="10" t="s">
        <v>41</v>
      </c>
      <c r="I3317" s="10" t="s">
        <v>23</v>
      </c>
      <c r="J3317" s="11">
        <v>1.77</v>
      </c>
      <c r="K3317" s="12"/>
      <c r="L3317" s="12"/>
      <c r="M3317" s="12"/>
      <c r="N3317" s="12"/>
      <c r="O3317" s="12"/>
      <c r="P3317" s="12"/>
      <c r="Q3317" s="12"/>
      <c r="R3317" s="12"/>
      <c r="S3317" s="12"/>
    </row>
    <row r="3318" spans="1:19" ht="14.25" customHeight="1" x14ac:dyDescent="0.2">
      <c r="A3318" s="1" t="s">
        <v>24</v>
      </c>
      <c r="B3318" s="7">
        <v>46108.983136574076</v>
      </c>
      <c r="C3318" s="7">
        <v>46109.000879629632</v>
      </c>
      <c r="D3318" s="8">
        <v>46109</v>
      </c>
      <c r="E3318" s="9">
        <v>8.7962963152676821E-4</v>
      </c>
      <c r="F3318" s="10" t="s">
        <v>3630</v>
      </c>
      <c r="G3318" s="10" t="s">
        <v>44</v>
      </c>
      <c r="H3318" s="10" t="s">
        <v>185</v>
      </c>
      <c r="I3318" s="10" t="s">
        <v>23</v>
      </c>
      <c r="J3318" s="11">
        <v>0.18</v>
      </c>
      <c r="K3318" s="12"/>
      <c r="L3318" s="12">
        <f>SUM(J3318:J3327)</f>
        <v>9.4300000000000015</v>
      </c>
      <c r="M3318" s="13">
        <f>L3318*65</f>
        <v>612.95000000000005</v>
      </c>
      <c r="N3318" s="14">
        <f>MAX(500,M3318)</f>
        <v>612.95000000000005</v>
      </c>
      <c r="O3318" s="12"/>
      <c r="P3318" s="12"/>
      <c r="Q3318" s="12"/>
      <c r="R3318" s="12"/>
      <c r="S3318" s="12"/>
    </row>
    <row r="3319" spans="1:19" ht="14.25" customHeight="1" x14ac:dyDescent="0.2">
      <c r="A3319" s="1" t="s">
        <v>24</v>
      </c>
      <c r="B3319" s="7">
        <v>46108.985578703701</v>
      </c>
      <c r="C3319" s="7">
        <v>46109.001261574071</v>
      </c>
      <c r="D3319" s="8">
        <v>46109</v>
      </c>
      <c r="E3319" s="9">
        <v>1.261574070667848E-3</v>
      </c>
      <c r="F3319" s="10" t="s">
        <v>3631</v>
      </c>
      <c r="G3319" s="10" t="s">
        <v>21</v>
      </c>
      <c r="H3319" s="10" t="s">
        <v>41</v>
      </c>
      <c r="I3319" s="10" t="s">
        <v>23</v>
      </c>
      <c r="J3319" s="11">
        <v>1.77</v>
      </c>
      <c r="K3319" s="12"/>
      <c r="L3319" s="12"/>
      <c r="M3319" s="12"/>
      <c r="N3319" s="12"/>
      <c r="O3319" s="12"/>
      <c r="P3319" s="12"/>
      <c r="Q3319" s="12"/>
      <c r="R3319" s="12"/>
      <c r="S3319" s="12"/>
    </row>
    <row r="3320" spans="1:19" ht="14.25" customHeight="1" x14ac:dyDescent="0.2">
      <c r="A3320" s="1" t="s">
        <v>24</v>
      </c>
      <c r="B3320" s="7">
        <v>46108.98710648148</v>
      </c>
      <c r="C3320" s="7">
        <v>46109.006064814814</v>
      </c>
      <c r="D3320" s="8">
        <v>46109</v>
      </c>
      <c r="E3320" s="9">
        <v>6.064814813726116E-3</v>
      </c>
      <c r="F3320" s="10" t="s">
        <v>3632</v>
      </c>
      <c r="G3320" s="10" t="s">
        <v>26</v>
      </c>
      <c r="H3320" s="10" t="s">
        <v>768</v>
      </c>
      <c r="I3320" s="10" t="s">
        <v>23</v>
      </c>
      <c r="J3320" s="11">
        <v>0.67</v>
      </c>
      <c r="K3320" s="12"/>
      <c r="L3320" s="12"/>
      <c r="M3320" s="12"/>
      <c r="N3320" s="12"/>
      <c r="O3320" s="12"/>
      <c r="P3320" s="12"/>
      <c r="Q3320" s="12"/>
      <c r="R3320" s="12"/>
      <c r="S3320" s="12"/>
    </row>
    <row r="3321" spans="1:19" ht="14.25" customHeight="1" x14ac:dyDescent="0.2">
      <c r="A3321" s="1" t="s">
        <v>95</v>
      </c>
      <c r="B3321" s="7">
        <v>46109.015601851854</v>
      </c>
      <c r="C3321" s="7">
        <v>46109.023333333331</v>
      </c>
      <c r="D3321" s="8">
        <v>46109</v>
      </c>
      <c r="E3321" s="9">
        <v>2.3333333330811001E-2</v>
      </c>
      <c r="F3321" s="10" t="s">
        <v>3633</v>
      </c>
      <c r="G3321" s="10" t="s">
        <v>21</v>
      </c>
      <c r="H3321" s="10" t="s">
        <v>216</v>
      </c>
      <c r="I3321" s="10" t="s">
        <v>23</v>
      </c>
      <c r="J3321" s="11">
        <v>0.98</v>
      </c>
      <c r="K3321" s="12"/>
      <c r="L3321" s="12"/>
      <c r="M3321" s="12"/>
      <c r="N3321" s="12"/>
      <c r="O3321" s="12"/>
      <c r="P3321" s="12"/>
      <c r="Q3321" s="12"/>
      <c r="R3321" s="12"/>
      <c r="S3321" s="12"/>
    </row>
    <row r="3322" spans="1:19" ht="14.25" customHeight="1" x14ac:dyDescent="0.2">
      <c r="A3322" s="1" t="s">
        <v>95</v>
      </c>
      <c r="B3322" s="7">
        <v>46109.015601851854</v>
      </c>
      <c r="C3322" s="7">
        <v>46109.024097222224</v>
      </c>
      <c r="D3322" s="8">
        <v>46109</v>
      </c>
      <c r="E3322" s="9">
        <v>2.4097222223645076E-2</v>
      </c>
      <c r="F3322" s="10" t="s">
        <v>3634</v>
      </c>
      <c r="G3322" s="10" t="s">
        <v>21</v>
      </c>
      <c r="H3322" s="10" t="s">
        <v>97</v>
      </c>
      <c r="I3322" s="10" t="s">
        <v>23</v>
      </c>
      <c r="J3322" s="11">
        <v>1.77</v>
      </c>
      <c r="K3322" s="12"/>
      <c r="L3322" s="12"/>
      <c r="M3322" s="12"/>
      <c r="N3322" s="12"/>
      <c r="O3322" s="12"/>
      <c r="P3322" s="12"/>
      <c r="Q3322" s="12"/>
      <c r="R3322" s="12"/>
      <c r="S3322" s="12"/>
    </row>
    <row r="3323" spans="1:19" ht="14.25" customHeight="1" x14ac:dyDescent="0.2">
      <c r="A3323" s="1" t="s">
        <v>57</v>
      </c>
      <c r="B3323" s="7">
        <v>46109.007650462961</v>
      </c>
      <c r="C3323" s="7">
        <v>46109.035787037035</v>
      </c>
      <c r="D3323" s="8">
        <v>46109</v>
      </c>
      <c r="E3323" s="9">
        <v>3.5787037035333924E-2</v>
      </c>
      <c r="F3323" s="10" t="s">
        <v>3635</v>
      </c>
      <c r="G3323" s="10" t="s">
        <v>26</v>
      </c>
      <c r="H3323" s="10" t="s">
        <v>3636</v>
      </c>
      <c r="I3323" s="10" t="s">
        <v>23</v>
      </c>
      <c r="J3323" s="11">
        <v>0.44</v>
      </c>
      <c r="K3323" s="12"/>
      <c r="L3323" s="12"/>
      <c r="M3323" s="12"/>
      <c r="N3323" s="12"/>
      <c r="O3323" s="12"/>
      <c r="P3323" s="12"/>
      <c r="Q3323" s="12"/>
      <c r="R3323" s="12"/>
      <c r="S3323" s="12"/>
    </row>
    <row r="3324" spans="1:19" ht="14.25" customHeight="1" x14ac:dyDescent="0.2">
      <c r="A3324" s="1" t="s">
        <v>95</v>
      </c>
      <c r="B3324" s="7">
        <v>46109.02721064815</v>
      </c>
      <c r="C3324" s="7">
        <v>46109.035983796297</v>
      </c>
      <c r="D3324" s="8">
        <v>46109</v>
      </c>
      <c r="E3324" s="9">
        <v>3.5983796296932269E-2</v>
      </c>
      <c r="F3324" s="10" t="s">
        <v>3637</v>
      </c>
      <c r="G3324" s="10" t="s">
        <v>21</v>
      </c>
      <c r="H3324" s="10" t="s">
        <v>110</v>
      </c>
      <c r="I3324" s="10" t="s">
        <v>23</v>
      </c>
      <c r="J3324" s="11">
        <v>0.83</v>
      </c>
      <c r="K3324" s="12"/>
      <c r="L3324" s="12"/>
      <c r="M3324" s="12"/>
      <c r="N3324" s="12"/>
      <c r="O3324" s="12"/>
      <c r="P3324" s="12"/>
      <c r="Q3324" s="12"/>
      <c r="R3324" s="12"/>
      <c r="S3324" s="12"/>
    </row>
    <row r="3325" spans="1:19" ht="14.25" customHeight="1" x14ac:dyDescent="0.2">
      <c r="A3325" s="1" t="s">
        <v>24</v>
      </c>
      <c r="B3325" s="7">
        <v>46109.025567129633</v>
      </c>
      <c r="C3325" s="7">
        <v>46109.038865740738</v>
      </c>
      <c r="D3325" s="8">
        <v>46109</v>
      </c>
      <c r="E3325" s="9">
        <v>3.8865740738401655E-2</v>
      </c>
      <c r="F3325" s="10" t="s">
        <v>3638</v>
      </c>
      <c r="G3325" s="10" t="s">
        <v>21</v>
      </c>
      <c r="H3325" s="10" t="s">
        <v>52</v>
      </c>
      <c r="I3325" s="10" t="s">
        <v>23</v>
      </c>
      <c r="J3325" s="11">
        <v>0.98</v>
      </c>
      <c r="K3325" s="12"/>
      <c r="L3325" s="12"/>
      <c r="M3325" s="12"/>
      <c r="N3325" s="12"/>
      <c r="O3325" s="12"/>
      <c r="P3325" s="12"/>
      <c r="Q3325" s="12"/>
      <c r="R3325" s="12"/>
      <c r="S3325" s="12"/>
    </row>
    <row r="3326" spans="1:19" ht="14.25" customHeight="1" x14ac:dyDescent="0.2">
      <c r="A3326" s="1" t="s">
        <v>95</v>
      </c>
      <c r="B3326" s="7">
        <v>46108.988310185188</v>
      </c>
      <c r="C3326" s="7">
        <v>46109.041354166664</v>
      </c>
      <c r="D3326" s="8">
        <v>46109</v>
      </c>
      <c r="E3326" s="9">
        <v>4.1354166663950309E-2</v>
      </c>
      <c r="F3326" s="10" t="s">
        <v>3639</v>
      </c>
      <c r="G3326" s="10" t="s">
        <v>21</v>
      </c>
      <c r="H3326" s="10" t="s">
        <v>110</v>
      </c>
      <c r="I3326" s="10" t="s">
        <v>23</v>
      </c>
      <c r="J3326" s="11">
        <v>0.83</v>
      </c>
      <c r="K3326" s="12"/>
      <c r="L3326" s="12"/>
      <c r="M3326" s="12"/>
      <c r="N3326" s="12"/>
      <c r="O3326" s="12"/>
      <c r="P3326" s="12"/>
      <c r="Q3326" s="12"/>
      <c r="R3326" s="12"/>
      <c r="S3326" s="12"/>
    </row>
    <row r="3327" spans="1:19" ht="14.25" customHeight="1" x14ac:dyDescent="0.2">
      <c r="A3327" s="1" t="s">
        <v>95</v>
      </c>
      <c r="B3327" s="7">
        <v>46109.028877314813</v>
      </c>
      <c r="C3327" s="7">
        <v>46109.041585648149</v>
      </c>
      <c r="D3327" s="8">
        <v>46109</v>
      </c>
      <c r="E3327" s="9">
        <v>4.1585648148611654E-2</v>
      </c>
      <c r="F3327" s="10" t="s">
        <v>3640</v>
      </c>
      <c r="G3327" s="10" t="s">
        <v>21</v>
      </c>
      <c r="H3327" s="10" t="s">
        <v>52</v>
      </c>
      <c r="I3327" s="10" t="s">
        <v>23</v>
      </c>
      <c r="J3327" s="11">
        <v>0.98</v>
      </c>
      <c r="K3327" s="12"/>
      <c r="L3327" s="12"/>
      <c r="M3327" s="12"/>
      <c r="N3327" s="12"/>
      <c r="O3327" s="12"/>
      <c r="P3327" s="12"/>
      <c r="Q3327" s="12"/>
      <c r="R3327" s="12"/>
      <c r="S3327" s="12"/>
    </row>
    <row r="3328" spans="1:19" ht="14.25" customHeight="1" x14ac:dyDescent="0.2">
      <c r="A3328" s="1" t="s">
        <v>95</v>
      </c>
      <c r="B3328" s="7">
        <v>46108.991064814814</v>
      </c>
      <c r="C3328" s="7">
        <v>46109.042222222219</v>
      </c>
      <c r="D3328" s="8">
        <v>46109</v>
      </c>
      <c r="E3328" s="9">
        <v>4.2222222218697425E-2</v>
      </c>
      <c r="F3328" s="10" t="s">
        <v>3641</v>
      </c>
      <c r="G3328" s="10" t="s">
        <v>21</v>
      </c>
      <c r="H3328" s="10" t="s">
        <v>105</v>
      </c>
      <c r="I3328" s="10" t="s">
        <v>23</v>
      </c>
      <c r="J3328" s="11">
        <v>2.5</v>
      </c>
      <c r="K3328" s="12"/>
      <c r="L3328" s="12">
        <f>SUM(J3328:J3343)</f>
        <v>17.990000000000002</v>
      </c>
      <c r="M3328" s="13">
        <f>L3328*65</f>
        <v>1169.3500000000001</v>
      </c>
      <c r="N3328" s="14">
        <f>MAX(500,M3328)</f>
        <v>1169.3500000000001</v>
      </c>
      <c r="O3328" s="12"/>
      <c r="P3328" s="12"/>
      <c r="Q3328" s="12"/>
      <c r="R3328" s="12"/>
      <c r="S3328" s="12"/>
    </row>
    <row r="3329" spans="1:19" ht="14.25" customHeight="1" x14ac:dyDescent="0.2">
      <c r="A3329" s="1" t="s">
        <v>95</v>
      </c>
      <c r="B3329" s="7">
        <v>46109.032152777778</v>
      </c>
      <c r="C3329" s="7">
        <v>46109.042627314811</v>
      </c>
      <c r="D3329" s="8">
        <v>46109</v>
      </c>
      <c r="E3329" s="9">
        <v>4.262731481139781E-2</v>
      </c>
      <c r="F3329" s="10" t="s">
        <v>3642</v>
      </c>
      <c r="G3329" s="10" t="s">
        <v>21</v>
      </c>
      <c r="H3329" s="10" t="s">
        <v>97</v>
      </c>
      <c r="I3329" s="10" t="s">
        <v>23</v>
      </c>
      <c r="J3329" s="11">
        <v>1.77</v>
      </c>
      <c r="K3329" s="12"/>
      <c r="L3329" s="12"/>
      <c r="M3329" s="12"/>
      <c r="N3329" s="12"/>
      <c r="O3329" s="12"/>
      <c r="P3329" s="12"/>
      <c r="Q3329" s="12"/>
      <c r="R3329" s="12"/>
      <c r="S3329" s="12"/>
    </row>
    <row r="3330" spans="1:19" ht="14.25" customHeight="1" x14ac:dyDescent="0.2">
      <c r="A3330" s="1" t="s">
        <v>95</v>
      </c>
      <c r="B3330" s="7">
        <v>46109.023530092592</v>
      </c>
      <c r="C3330" s="7">
        <v>46109.049166666664</v>
      </c>
      <c r="D3330" s="8">
        <v>46109</v>
      </c>
      <c r="E3330" s="9">
        <v>4.9166666663950309E-2</v>
      </c>
      <c r="F3330" s="10" t="s">
        <v>3643</v>
      </c>
      <c r="G3330" s="10" t="s">
        <v>21</v>
      </c>
      <c r="H3330" s="10" t="s">
        <v>110</v>
      </c>
      <c r="I3330" s="10" t="s">
        <v>23</v>
      </c>
      <c r="J3330" s="11">
        <v>0.83</v>
      </c>
      <c r="K3330" s="12"/>
      <c r="L3330" s="12"/>
      <c r="M3330" s="12"/>
      <c r="N3330" s="12"/>
      <c r="O3330" s="12"/>
      <c r="P3330" s="12"/>
      <c r="Q3330" s="12"/>
      <c r="R3330" s="12"/>
      <c r="S3330" s="12"/>
    </row>
    <row r="3331" spans="1:19" ht="14.25" customHeight="1" x14ac:dyDescent="0.2">
      <c r="A3331" s="1" t="s">
        <v>95</v>
      </c>
      <c r="B3331" s="7">
        <v>46109.040902777779</v>
      </c>
      <c r="C3331" s="7">
        <v>46109.049375000002</v>
      </c>
      <c r="D3331" s="8">
        <v>46109</v>
      </c>
      <c r="E3331" s="9">
        <v>4.9375000002328306E-2</v>
      </c>
      <c r="F3331" s="10" t="s">
        <v>3644</v>
      </c>
      <c r="G3331" s="10" t="s">
        <v>21</v>
      </c>
      <c r="H3331" s="10" t="s">
        <v>110</v>
      </c>
      <c r="I3331" s="10" t="s">
        <v>23</v>
      </c>
      <c r="J3331" s="11">
        <v>0.83</v>
      </c>
      <c r="K3331" s="12"/>
      <c r="L3331" s="12"/>
      <c r="M3331" s="12"/>
      <c r="N3331" s="12"/>
      <c r="O3331" s="12"/>
      <c r="P3331" s="12"/>
      <c r="Q3331" s="12"/>
      <c r="R3331" s="12"/>
      <c r="S3331" s="12"/>
    </row>
    <row r="3332" spans="1:19" ht="14.25" customHeight="1" x14ac:dyDescent="0.2">
      <c r="A3332" s="1" t="s">
        <v>95</v>
      </c>
      <c r="B3332" s="7">
        <v>46109.03334490741</v>
      </c>
      <c r="C3332" s="7">
        <v>46109.049675925926</v>
      </c>
      <c r="D3332" s="8">
        <v>46109</v>
      </c>
      <c r="E3332" s="9">
        <v>4.9675925925839692E-2</v>
      </c>
      <c r="F3332" s="10" t="s">
        <v>3645</v>
      </c>
      <c r="G3332" s="10" t="s">
        <v>21</v>
      </c>
      <c r="H3332" s="10" t="s">
        <v>110</v>
      </c>
      <c r="I3332" s="10" t="s">
        <v>23</v>
      </c>
      <c r="J3332" s="11">
        <v>0.83</v>
      </c>
      <c r="K3332" s="12"/>
      <c r="L3332" s="12"/>
      <c r="M3332" s="12"/>
      <c r="N3332" s="12"/>
      <c r="O3332" s="12"/>
      <c r="P3332" s="12"/>
      <c r="Q3332" s="12"/>
      <c r="R3332" s="12"/>
      <c r="S3332" s="12"/>
    </row>
    <row r="3333" spans="1:19" ht="14.25" customHeight="1" x14ac:dyDescent="0.2">
      <c r="A3333" s="1" t="s">
        <v>95</v>
      </c>
      <c r="B3333" s="7">
        <v>46109.043043981481</v>
      </c>
      <c r="C3333" s="7">
        <v>46109.049953703703</v>
      </c>
      <c r="D3333" s="8">
        <v>46109</v>
      </c>
      <c r="E3333" s="9">
        <v>4.9953703703067731E-2</v>
      </c>
      <c r="F3333" s="10" t="s">
        <v>3646</v>
      </c>
      <c r="G3333" s="10" t="s">
        <v>21</v>
      </c>
      <c r="H3333" s="10" t="s">
        <v>52</v>
      </c>
      <c r="I3333" s="10" t="s">
        <v>23</v>
      </c>
      <c r="J3333" s="11">
        <v>0.98</v>
      </c>
      <c r="K3333" s="12"/>
      <c r="L3333" s="12"/>
      <c r="M3333" s="12"/>
      <c r="N3333" s="12"/>
      <c r="O3333" s="12"/>
      <c r="P3333" s="12"/>
      <c r="Q3333" s="12"/>
      <c r="R3333" s="12"/>
      <c r="S3333" s="12"/>
    </row>
    <row r="3334" spans="1:19" ht="14.25" customHeight="1" x14ac:dyDescent="0.2">
      <c r="A3334" s="1" t="s">
        <v>24</v>
      </c>
      <c r="B3334" s="7">
        <v>46109.039236111108</v>
      </c>
      <c r="C3334" s="7">
        <v>46109.0546412037</v>
      </c>
      <c r="D3334" s="8">
        <v>46109</v>
      </c>
      <c r="E3334" s="9">
        <v>5.4641203700157348E-2</v>
      </c>
      <c r="F3334" s="10" t="s">
        <v>3647</v>
      </c>
      <c r="G3334" s="10" t="s">
        <v>21</v>
      </c>
      <c r="H3334" s="10" t="s">
        <v>22</v>
      </c>
      <c r="I3334" s="10" t="s">
        <v>23</v>
      </c>
      <c r="J3334" s="11">
        <v>0.83</v>
      </c>
      <c r="K3334" s="12"/>
      <c r="L3334" s="12"/>
      <c r="M3334" s="12"/>
      <c r="N3334" s="12"/>
      <c r="O3334" s="12"/>
      <c r="P3334" s="12"/>
      <c r="Q3334" s="12"/>
      <c r="R3334" s="12"/>
      <c r="S3334" s="12"/>
    </row>
    <row r="3335" spans="1:19" ht="14.25" customHeight="1" x14ac:dyDescent="0.2">
      <c r="A3335" s="1" t="s">
        <v>33</v>
      </c>
      <c r="B3335" s="7">
        <v>46109.036145833335</v>
      </c>
      <c r="C3335" s="7">
        <v>46109.055138888885</v>
      </c>
      <c r="D3335" s="8">
        <v>46109</v>
      </c>
      <c r="E3335" s="9">
        <v>5.5138888885267079E-2</v>
      </c>
      <c r="F3335" s="10" t="s">
        <v>3648</v>
      </c>
      <c r="G3335" s="10" t="s">
        <v>21</v>
      </c>
      <c r="H3335" s="10" t="s">
        <v>1478</v>
      </c>
      <c r="I3335" s="10" t="s">
        <v>23</v>
      </c>
      <c r="J3335" s="11">
        <v>0.98</v>
      </c>
      <c r="K3335" s="12"/>
      <c r="L3335" s="12"/>
      <c r="M3335" s="12"/>
      <c r="N3335" s="12"/>
      <c r="O3335" s="12"/>
      <c r="P3335" s="12"/>
      <c r="Q3335" s="12"/>
      <c r="R3335" s="12"/>
      <c r="S3335" s="12"/>
    </row>
    <row r="3336" spans="1:19" ht="14.25" customHeight="1" x14ac:dyDescent="0.2">
      <c r="A3336" s="1" t="s">
        <v>24</v>
      </c>
      <c r="B3336" s="7">
        <v>46109.033495370371</v>
      </c>
      <c r="C3336" s="7">
        <v>46109.055543981478</v>
      </c>
      <c r="D3336" s="8">
        <v>46109</v>
      </c>
      <c r="E3336" s="9">
        <v>5.5543981477967463E-2</v>
      </c>
      <c r="F3336" s="10" t="s">
        <v>3649</v>
      </c>
      <c r="G3336" s="10" t="s">
        <v>26</v>
      </c>
      <c r="H3336" s="10" t="s">
        <v>251</v>
      </c>
      <c r="I3336" s="10" t="s">
        <v>23</v>
      </c>
      <c r="J3336" s="11">
        <v>0.62</v>
      </c>
      <c r="K3336" s="12"/>
      <c r="L3336" s="12"/>
      <c r="M3336" s="12"/>
      <c r="N3336" s="12"/>
      <c r="O3336" s="12"/>
      <c r="P3336" s="12"/>
      <c r="Q3336" s="12"/>
      <c r="R3336" s="12"/>
      <c r="S3336" s="12"/>
    </row>
    <row r="3337" spans="1:19" ht="14.25" customHeight="1" x14ac:dyDescent="0.2">
      <c r="A3337" s="1" t="s">
        <v>24</v>
      </c>
      <c r="B3337" s="7">
        <v>46109.019965277781</v>
      </c>
      <c r="C3337" s="7">
        <v>46109.056354166663</v>
      </c>
      <c r="D3337" s="8">
        <v>46109</v>
      </c>
      <c r="E3337" s="9">
        <v>5.6354166663368233E-2</v>
      </c>
      <c r="F3337" s="10" t="s">
        <v>3650</v>
      </c>
      <c r="G3337" s="10" t="s">
        <v>26</v>
      </c>
      <c r="H3337" s="10" t="s">
        <v>92</v>
      </c>
      <c r="I3337" s="10" t="s">
        <v>23</v>
      </c>
      <c r="J3337" s="11">
        <v>0.63</v>
      </c>
      <c r="K3337" s="12"/>
      <c r="L3337" s="12"/>
      <c r="M3337" s="12"/>
      <c r="N3337" s="12"/>
      <c r="O3337" s="12"/>
      <c r="P3337" s="12"/>
      <c r="Q3337" s="12"/>
      <c r="R3337" s="12"/>
      <c r="S3337" s="12"/>
    </row>
    <row r="3338" spans="1:19" ht="14.25" customHeight="1" x14ac:dyDescent="0.2">
      <c r="A3338" s="1" t="s">
        <v>28</v>
      </c>
      <c r="B3338" s="7">
        <v>46109.020509259259</v>
      </c>
      <c r="C3338" s="7">
        <v>46109.061122685183</v>
      </c>
      <c r="D3338" s="8">
        <v>46109</v>
      </c>
      <c r="E3338" s="9">
        <v>6.1122685183363501E-2</v>
      </c>
      <c r="F3338" s="10" t="s">
        <v>3651</v>
      </c>
      <c r="G3338" s="10" t="s">
        <v>26</v>
      </c>
      <c r="H3338" s="10" t="s">
        <v>344</v>
      </c>
      <c r="I3338" s="10" t="s">
        <v>23</v>
      </c>
      <c r="J3338" s="11">
        <v>0.49</v>
      </c>
      <c r="K3338" s="12"/>
      <c r="L3338" s="12"/>
      <c r="M3338" s="12"/>
      <c r="N3338" s="12"/>
      <c r="O3338" s="12"/>
      <c r="P3338" s="12"/>
      <c r="Q3338" s="12"/>
      <c r="R3338" s="12"/>
      <c r="S3338" s="12"/>
    </row>
    <row r="3339" spans="1:19" ht="14.25" customHeight="1" x14ac:dyDescent="0.2">
      <c r="A3339" s="1" t="s">
        <v>95</v>
      </c>
      <c r="B3339" s="7">
        <v>46109.027129629627</v>
      </c>
      <c r="C3339" s="7">
        <v>46109.067708333336</v>
      </c>
      <c r="D3339" s="8">
        <v>46109</v>
      </c>
      <c r="E3339" s="9">
        <v>6.7708333335758653E-2</v>
      </c>
      <c r="F3339" s="10" t="s">
        <v>3652</v>
      </c>
      <c r="G3339" s="10" t="s">
        <v>21</v>
      </c>
      <c r="H3339" s="10" t="s">
        <v>105</v>
      </c>
      <c r="I3339" s="10" t="s">
        <v>23</v>
      </c>
      <c r="J3339" s="11">
        <v>2.5</v>
      </c>
      <c r="K3339" s="12"/>
      <c r="L3339" s="12"/>
      <c r="M3339" s="12"/>
      <c r="N3339" s="12"/>
      <c r="O3339" s="12"/>
      <c r="P3339" s="12"/>
      <c r="Q3339" s="12"/>
      <c r="R3339" s="12"/>
      <c r="S3339" s="12"/>
    </row>
    <row r="3340" spans="1:19" ht="14.25" customHeight="1" x14ac:dyDescent="0.2">
      <c r="A3340" s="1" t="s">
        <v>95</v>
      </c>
      <c r="B3340" s="7">
        <v>46109.069305555553</v>
      </c>
      <c r="C3340" s="7">
        <v>46109.068981481483</v>
      </c>
      <c r="D3340" s="8">
        <v>46109</v>
      </c>
      <c r="E3340" s="9">
        <v>6.8981481483206153E-2</v>
      </c>
      <c r="F3340" s="10" t="s">
        <v>3653</v>
      </c>
      <c r="G3340" s="10" t="s">
        <v>21</v>
      </c>
      <c r="H3340" s="10" t="s">
        <v>110</v>
      </c>
      <c r="I3340" s="10" t="s">
        <v>23</v>
      </c>
      <c r="J3340" s="11">
        <v>0.83</v>
      </c>
      <c r="K3340" s="12"/>
      <c r="L3340" s="12"/>
      <c r="M3340" s="12"/>
      <c r="N3340" s="12"/>
      <c r="O3340" s="12"/>
      <c r="P3340" s="12"/>
      <c r="Q3340" s="12"/>
      <c r="R3340" s="12"/>
      <c r="S3340" s="12"/>
    </row>
    <row r="3341" spans="1:19" ht="14.25" customHeight="1" x14ac:dyDescent="0.2">
      <c r="A3341" s="1" t="s">
        <v>95</v>
      </c>
      <c r="B3341" s="7">
        <v>46109.049224537041</v>
      </c>
      <c r="C3341" s="7">
        <v>46109.069421296299</v>
      </c>
      <c r="D3341" s="8">
        <v>46109</v>
      </c>
      <c r="E3341" s="9">
        <v>6.9421296298969537E-2</v>
      </c>
      <c r="F3341" s="10" t="s">
        <v>3654</v>
      </c>
      <c r="G3341" s="10" t="s">
        <v>21</v>
      </c>
      <c r="H3341" s="10" t="s">
        <v>154</v>
      </c>
      <c r="I3341" s="10" t="s">
        <v>23</v>
      </c>
      <c r="J3341" s="11">
        <v>1.77</v>
      </c>
      <c r="K3341" s="12"/>
      <c r="L3341" s="12"/>
      <c r="M3341" s="12"/>
      <c r="N3341" s="12"/>
      <c r="O3341" s="12"/>
      <c r="P3341" s="12"/>
      <c r="Q3341" s="12"/>
      <c r="R3341" s="12"/>
      <c r="S3341" s="12"/>
    </row>
    <row r="3342" spans="1:19" ht="14.25" customHeight="1" x14ac:dyDescent="0.2">
      <c r="A3342" s="1" t="s">
        <v>24</v>
      </c>
      <c r="B3342" s="7">
        <v>46109.04550925926</v>
      </c>
      <c r="C3342" s="7">
        <v>46109.073912037034</v>
      </c>
      <c r="D3342" s="8">
        <v>46109</v>
      </c>
      <c r="E3342" s="9">
        <v>7.3912037034460809E-2</v>
      </c>
      <c r="F3342" s="10" t="s">
        <v>3655</v>
      </c>
      <c r="G3342" s="10" t="s">
        <v>21</v>
      </c>
      <c r="H3342" s="10" t="s">
        <v>464</v>
      </c>
      <c r="I3342" s="10" t="s">
        <v>23</v>
      </c>
      <c r="J3342" s="11">
        <v>0.98</v>
      </c>
      <c r="K3342" s="12"/>
      <c r="L3342" s="12"/>
      <c r="M3342" s="12"/>
      <c r="N3342" s="12"/>
      <c r="O3342" s="12"/>
      <c r="P3342" s="12"/>
      <c r="Q3342" s="12"/>
      <c r="R3342" s="12"/>
      <c r="S3342" s="12"/>
    </row>
    <row r="3343" spans="1:19" ht="14.25" customHeight="1" x14ac:dyDescent="0.2">
      <c r="A3343" s="1" t="s">
        <v>28</v>
      </c>
      <c r="B3343" s="7">
        <v>46109.010034722225</v>
      </c>
      <c r="C3343" s="7">
        <v>46109.078819444447</v>
      </c>
      <c r="D3343" s="8">
        <v>46109</v>
      </c>
      <c r="E3343" s="9">
        <v>7.8819444446708076E-2</v>
      </c>
      <c r="F3343" s="10" t="s">
        <v>3656</v>
      </c>
      <c r="G3343" s="10" t="s">
        <v>26</v>
      </c>
      <c r="H3343" s="10" t="s">
        <v>1614</v>
      </c>
      <c r="I3343" s="10" t="s">
        <v>23</v>
      </c>
      <c r="J3343" s="11">
        <v>0.62</v>
      </c>
      <c r="K3343" s="12"/>
      <c r="L3343" s="12"/>
      <c r="M3343" s="12"/>
      <c r="N3343" s="12"/>
      <c r="O3343" s="12"/>
      <c r="P3343" s="12"/>
      <c r="Q3343" s="12"/>
      <c r="R3343" s="12"/>
      <c r="S3343" s="12"/>
    </row>
    <row r="3344" spans="1:19" ht="14.25" customHeight="1" x14ac:dyDescent="0.2">
      <c r="A3344" s="1" t="s">
        <v>28</v>
      </c>
      <c r="B3344" s="7">
        <v>46109.070949074077</v>
      </c>
      <c r="C3344" s="7">
        <v>46109.089074074072</v>
      </c>
      <c r="D3344" s="8">
        <v>46109</v>
      </c>
      <c r="E3344" s="9">
        <v>8.9074074072414078E-2</v>
      </c>
      <c r="F3344" s="10" t="s">
        <v>3657</v>
      </c>
      <c r="G3344" s="10" t="s">
        <v>26</v>
      </c>
      <c r="H3344" s="10" t="s">
        <v>1614</v>
      </c>
      <c r="I3344" s="10" t="s">
        <v>23</v>
      </c>
      <c r="J3344" s="11">
        <v>0.62</v>
      </c>
      <c r="K3344" s="12"/>
      <c r="L3344" s="12">
        <f>SUM(J3344:J3351)</f>
        <v>8.75</v>
      </c>
      <c r="M3344" s="13">
        <f>L3344*65</f>
        <v>568.75</v>
      </c>
      <c r="N3344" s="14">
        <f>MAX(500,M3344)</f>
        <v>568.75</v>
      </c>
      <c r="O3344" s="12"/>
      <c r="P3344" s="12"/>
      <c r="Q3344" s="12"/>
      <c r="R3344" s="12"/>
      <c r="S3344" s="12"/>
    </row>
    <row r="3345" spans="1:19" ht="14.25" customHeight="1" x14ac:dyDescent="0.2">
      <c r="A3345" s="1" t="s">
        <v>95</v>
      </c>
      <c r="B3345" s="7">
        <v>46109.077002314814</v>
      </c>
      <c r="C3345" s="7">
        <v>46109.089988425927</v>
      </c>
      <c r="D3345" s="8">
        <v>46109</v>
      </c>
      <c r="E3345" s="9">
        <v>8.9988425927003846E-2</v>
      </c>
      <c r="F3345" s="10" t="s">
        <v>3658</v>
      </c>
      <c r="G3345" s="10" t="s">
        <v>21</v>
      </c>
      <c r="H3345" s="10" t="s">
        <v>97</v>
      </c>
      <c r="I3345" s="10" t="s">
        <v>23</v>
      </c>
      <c r="J3345" s="11">
        <v>1.77</v>
      </c>
      <c r="K3345" s="12"/>
      <c r="L3345" s="12"/>
      <c r="M3345" s="12"/>
      <c r="N3345" s="12"/>
      <c r="O3345" s="12"/>
      <c r="P3345" s="12"/>
      <c r="Q3345" s="12"/>
      <c r="R3345" s="12"/>
      <c r="S3345" s="12"/>
    </row>
    <row r="3346" spans="1:19" ht="14.25" customHeight="1" x14ac:dyDescent="0.2">
      <c r="A3346" s="1" t="s">
        <v>95</v>
      </c>
      <c r="B3346" s="7">
        <v>46109.047615740739</v>
      </c>
      <c r="C3346" s="7">
        <v>46109.095081018517</v>
      </c>
      <c r="D3346" s="8">
        <v>46109</v>
      </c>
      <c r="E3346" s="9">
        <v>9.5081018516793847E-2</v>
      </c>
      <c r="F3346" s="10" t="s">
        <v>3659</v>
      </c>
      <c r="G3346" s="10" t="s">
        <v>21</v>
      </c>
      <c r="H3346" s="10" t="s">
        <v>97</v>
      </c>
      <c r="I3346" s="10" t="s">
        <v>23</v>
      </c>
      <c r="J3346" s="11">
        <v>1.77</v>
      </c>
      <c r="K3346" s="12"/>
      <c r="L3346" s="12"/>
      <c r="M3346" s="12"/>
      <c r="N3346" s="12"/>
      <c r="O3346" s="12"/>
      <c r="P3346" s="12"/>
      <c r="Q3346" s="12"/>
      <c r="R3346" s="12"/>
      <c r="S3346" s="12"/>
    </row>
    <row r="3347" spans="1:19" ht="14.25" customHeight="1" x14ac:dyDescent="0.2">
      <c r="A3347" s="1" t="s">
        <v>95</v>
      </c>
      <c r="B3347" s="7">
        <v>46109.070625</v>
      </c>
      <c r="C3347" s="7">
        <v>46109.102395833332</v>
      </c>
      <c r="D3347" s="8">
        <v>46109</v>
      </c>
      <c r="E3347" s="9">
        <v>0.10239583333168412</v>
      </c>
      <c r="F3347" s="10" t="s">
        <v>3660</v>
      </c>
      <c r="G3347" s="10" t="s">
        <v>21</v>
      </c>
      <c r="H3347" s="10" t="s">
        <v>110</v>
      </c>
      <c r="I3347" s="10" t="s">
        <v>23</v>
      </c>
      <c r="J3347" s="11">
        <v>0.83</v>
      </c>
      <c r="K3347" s="12"/>
      <c r="L3347" s="12"/>
      <c r="M3347" s="12"/>
      <c r="N3347" s="12"/>
      <c r="O3347" s="12"/>
      <c r="P3347" s="12"/>
      <c r="Q3347" s="12"/>
      <c r="R3347" s="12"/>
      <c r="S3347" s="12"/>
    </row>
    <row r="3348" spans="1:19" ht="14.25" customHeight="1" x14ac:dyDescent="0.2">
      <c r="A3348" s="1" t="s">
        <v>95</v>
      </c>
      <c r="B3348" s="7">
        <v>46109.070625</v>
      </c>
      <c r="C3348" s="7">
        <v>46109.102662037039</v>
      </c>
      <c r="D3348" s="8">
        <v>46109</v>
      </c>
      <c r="E3348" s="9">
        <v>0.10266203703940846</v>
      </c>
      <c r="F3348" s="10" t="s">
        <v>3661</v>
      </c>
      <c r="G3348" s="10" t="s">
        <v>21</v>
      </c>
      <c r="H3348" s="10" t="s">
        <v>52</v>
      </c>
      <c r="I3348" s="10" t="s">
        <v>23</v>
      </c>
      <c r="J3348" s="11">
        <v>0.98</v>
      </c>
      <c r="K3348" s="12"/>
      <c r="L3348" s="12"/>
      <c r="M3348" s="12"/>
      <c r="N3348" s="12"/>
      <c r="O3348" s="12"/>
      <c r="P3348" s="12"/>
      <c r="Q3348" s="12"/>
      <c r="R3348" s="12"/>
      <c r="S3348" s="12"/>
    </row>
    <row r="3349" spans="1:19" ht="14.25" customHeight="1" x14ac:dyDescent="0.2">
      <c r="A3349" s="1" t="s">
        <v>19</v>
      </c>
      <c r="B3349" s="7">
        <v>46109.091481481482</v>
      </c>
      <c r="C3349" s="7">
        <v>46109.109699074077</v>
      </c>
      <c r="D3349" s="8">
        <v>46109</v>
      </c>
      <c r="E3349" s="9">
        <v>0.10969907407707069</v>
      </c>
      <c r="F3349" s="10" t="s">
        <v>3662</v>
      </c>
      <c r="G3349" s="10" t="s">
        <v>21</v>
      </c>
      <c r="H3349" s="10" t="s">
        <v>22</v>
      </c>
      <c r="I3349" s="10" t="s">
        <v>23</v>
      </c>
      <c r="J3349" s="11">
        <v>0.83</v>
      </c>
      <c r="K3349" s="12"/>
      <c r="L3349" s="12"/>
      <c r="M3349" s="12"/>
      <c r="N3349" s="12"/>
      <c r="O3349" s="12"/>
      <c r="P3349" s="12"/>
      <c r="Q3349" s="12"/>
      <c r="R3349" s="12"/>
      <c r="S3349" s="12"/>
    </row>
    <row r="3350" spans="1:19" ht="14.25" customHeight="1" x14ac:dyDescent="0.2">
      <c r="A3350" s="1" t="s">
        <v>19</v>
      </c>
      <c r="B3350" s="7">
        <v>46109.100231481483</v>
      </c>
      <c r="C3350" s="7">
        <v>46109.118634259263</v>
      </c>
      <c r="D3350" s="8">
        <v>46109</v>
      </c>
      <c r="E3350" s="9">
        <v>0.1186342592627625</v>
      </c>
      <c r="F3350" s="10" t="s">
        <v>3663</v>
      </c>
      <c r="G3350" s="10" t="s">
        <v>21</v>
      </c>
      <c r="H3350" s="10" t="s">
        <v>41</v>
      </c>
      <c r="I3350" s="10" t="s">
        <v>23</v>
      </c>
      <c r="J3350" s="11">
        <v>1.77</v>
      </c>
      <c r="K3350" s="12"/>
      <c r="L3350" s="12"/>
      <c r="M3350" s="12"/>
      <c r="N3350" s="12"/>
      <c r="O3350" s="12"/>
      <c r="P3350" s="12"/>
      <c r="Q3350" s="12"/>
      <c r="R3350" s="12"/>
      <c r="S3350" s="12"/>
    </row>
    <row r="3351" spans="1:19" ht="14.25" customHeight="1" x14ac:dyDescent="0.2">
      <c r="A3351" s="1" t="s">
        <v>24</v>
      </c>
      <c r="B3351" s="7">
        <v>46109.111909722225</v>
      </c>
      <c r="C3351" s="7">
        <v>46109.118888888886</v>
      </c>
      <c r="D3351" s="8">
        <v>46109</v>
      </c>
      <c r="E3351" s="9">
        <v>0.11888888888643123</v>
      </c>
      <c r="F3351" s="10" t="s">
        <v>3664</v>
      </c>
      <c r="G3351" s="10" t="s">
        <v>44</v>
      </c>
      <c r="H3351" s="10" t="s">
        <v>185</v>
      </c>
      <c r="I3351" s="10" t="s">
        <v>23</v>
      </c>
      <c r="J3351" s="11">
        <v>0.18</v>
      </c>
      <c r="K3351" s="12"/>
      <c r="L3351" s="12"/>
      <c r="M3351" s="12"/>
      <c r="N3351" s="12"/>
      <c r="O3351" s="12"/>
      <c r="P3351" s="12"/>
      <c r="Q3351" s="12"/>
      <c r="R3351" s="12"/>
      <c r="S3351" s="12"/>
    </row>
    <row r="3352" spans="1:19" ht="14.25" customHeight="1" x14ac:dyDescent="0.2">
      <c r="A3352" s="1" t="s">
        <v>95</v>
      </c>
      <c r="B3352" s="7">
        <v>46109.112303240741</v>
      </c>
      <c r="C3352" s="7">
        <v>46109.137141203704</v>
      </c>
      <c r="D3352" s="8">
        <v>46109</v>
      </c>
      <c r="E3352" s="9">
        <v>0.13714120370423188</v>
      </c>
      <c r="F3352" s="10" t="s">
        <v>3665</v>
      </c>
      <c r="G3352" s="10" t="s">
        <v>21</v>
      </c>
      <c r="H3352" s="10" t="s">
        <v>110</v>
      </c>
      <c r="I3352" s="10" t="s">
        <v>23</v>
      </c>
      <c r="J3352" s="11">
        <v>0.83</v>
      </c>
      <c r="K3352" s="12">
        <f>SUM(J3352:J3378)</f>
        <v>25.139999999999993</v>
      </c>
      <c r="L3352" s="12">
        <f>SUM(J3352:J3363)</f>
        <v>9.84</v>
      </c>
      <c r="M3352" s="13">
        <f>L3352*65</f>
        <v>639.6</v>
      </c>
      <c r="N3352" s="14">
        <f>MAX(500,M3352)</f>
        <v>639.6</v>
      </c>
      <c r="O3352" s="12"/>
      <c r="P3352" s="12"/>
      <c r="Q3352" s="12"/>
      <c r="R3352" s="12"/>
      <c r="S3352" s="12"/>
    </row>
    <row r="3353" spans="1:19" ht="14.25" customHeight="1" x14ac:dyDescent="0.2">
      <c r="A3353" s="1" t="s">
        <v>95</v>
      </c>
      <c r="B3353" s="7">
        <v>46109.095092592594</v>
      </c>
      <c r="C3353" s="7">
        <v>46109.13753472222</v>
      </c>
      <c r="D3353" s="8">
        <v>46109</v>
      </c>
      <c r="E3353" s="9">
        <v>0.13753472222015262</v>
      </c>
      <c r="F3353" s="10" t="s">
        <v>3666</v>
      </c>
      <c r="G3353" s="10" t="s">
        <v>44</v>
      </c>
      <c r="H3353" s="10" t="s">
        <v>45</v>
      </c>
      <c r="I3353" s="10" t="s">
        <v>23</v>
      </c>
      <c r="J3353" s="11">
        <v>0.18</v>
      </c>
      <c r="K3353" s="12"/>
      <c r="L3353" s="12"/>
      <c r="M3353" s="12"/>
      <c r="N3353" s="12"/>
      <c r="O3353" s="12"/>
      <c r="P3353" s="12"/>
      <c r="Q3353" s="12"/>
      <c r="R3353" s="12"/>
      <c r="S3353" s="12"/>
    </row>
    <row r="3354" spans="1:19" ht="14.25" customHeight="1" x14ac:dyDescent="0.2">
      <c r="A3354" s="1" t="s">
        <v>95</v>
      </c>
      <c r="B3354" s="7">
        <v>46109.128495370373</v>
      </c>
      <c r="C3354" s="7">
        <v>46109.141388888886</v>
      </c>
      <c r="D3354" s="8">
        <v>46109</v>
      </c>
      <c r="E3354" s="9">
        <v>0.14138888888555812</v>
      </c>
      <c r="F3354" s="10" t="s">
        <v>3667</v>
      </c>
      <c r="G3354" s="10" t="s">
        <v>21</v>
      </c>
      <c r="H3354" s="10" t="s">
        <v>108</v>
      </c>
      <c r="I3354" s="10" t="s">
        <v>23</v>
      </c>
      <c r="J3354" s="11">
        <v>1.7</v>
      </c>
      <c r="K3354" s="12"/>
      <c r="L3354" s="12"/>
      <c r="M3354" s="12"/>
      <c r="N3354" s="12"/>
      <c r="O3354" s="12"/>
      <c r="P3354" s="12"/>
      <c r="Q3354" s="12"/>
      <c r="R3354" s="12"/>
      <c r="S3354" s="12"/>
    </row>
    <row r="3355" spans="1:19" ht="14.25" customHeight="1" x14ac:dyDescent="0.2">
      <c r="A3355" s="1" t="s">
        <v>24</v>
      </c>
      <c r="B3355" s="7">
        <v>46109.119687500002</v>
      </c>
      <c r="C3355" s="7">
        <v>46109.144629629627</v>
      </c>
      <c r="D3355" s="8">
        <v>46109</v>
      </c>
      <c r="E3355" s="9">
        <v>0.14462962962716119</v>
      </c>
      <c r="F3355" s="10" t="s">
        <v>3668</v>
      </c>
      <c r="G3355" s="10" t="s">
        <v>21</v>
      </c>
      <c r="H3355" s="10" t="s">
        <v>22</v>
      </c>
      <c r="I3355" s="10" t="s">
        <v>23</v>
      </c>
      <c r="J3355" s="11">
        <v>0.83</v>
      </c>
      <c r="K3355" s="12"/>
      <c r="L3355" s="12"/>
      <c r="M3355" s="12"/>
      <c r="N3355" s="12"/>
      <c r="O3355" s="12"/>
      <c r="P3355" s="12"/>
      <c r="Q3355" s="12"/>
      <c r="R3355" s="12"/>
      <c r="S3355" s="12"/>
    </row>
    <row r="3356" spans="1:19" ht="14.25" customHeight="1" x14ac:dyDescent="0.2">
      <c r="A3356" s="1" t="s">
        <v>42</v>
      </c>
      <c r="B3356" s="7">
        <v>46109.133136574077</v>
      </c>
      <c r="C3356" s="7">
        <v>46109.147314814814</v>
      </c>
      <c r="D3356" s="8">
        <v>46109</v>
      </c>
      <c r="E3356" s="9">
        <v>0.14731481481430819</v>
      </c>
      <c r="F3356" s="10" t="s">
        <v>3669</v>
      </c>
      <c r="G3356" s="10" t="s">
        <v>44</v>
      </c>
      <c r="H3356" s="10" t="s">
        <v>45</v>
      </c>
      <c r="I3356" s="10" t="s">
        <v>23</v>
      </c>
      <c r="J3356" s="11">
        <v>0.18</v>
      </c>
      <c r="K3356" s="12"/>
      <c r="L3356" s="12"/>
      <c r="M3356" s="12"/>
      <c r="N3356" s="12"/>
      <c r="O3356" s="12"/>
      <c r="P3356" s="12"/>
      <c r="Q3356" s="12"/>
      <c r="R3356" s="12"/>
      <c r="S3356" s="12"/>
    </row>
    <row r="3357" spans="1:19" ht="14.25" customHeight="1" x14ac:dyDescent="0.2">
      <c r="A3357" s="1" t="s">
        <v>24</v>
      </c>
      <c r="B3357" s="7">
        <v>46109.140439814815</v>
      </c>
      <c r="C3357" s="7">
        <v>46109.156481481485</v>
      </c>
      <c r="D3357" s="8">
        <v>46109</v>
      </c>
      <c r="E3357" s="9">
        <v>0.15648148148466134</v>
      </c>
      <c r="F3357" s="10" t="s">
        <v>3670</v>
      </c>
      <c r="G3357" s="10" t="s">
        <v>21</v>
      </c>
      <c r="H3357" s="10" t="s">
        <v>22</v>
      </c>
      <c r="I3357" s="10" t="s">
        <v>23</v>
      </c>
      <c r="J3357" s="11">
        <v>0.83</v>
      </c>
      <c r="K3357" s="12"/>
      <c r="L3357" s="12"/>
      <c r="M3357" s="12"/>
      <c r="N3357" s="12"/>
      <c r="O3357" s="12"/>
      <c r="P3357" s="12"/>
      <c r="Q3357" s="12"/>
      <c r="R3357" s="12"/>
      <c r="S3357" s="12"/>
    </row>
    <row r="3358" spans="1:19" ht="14.25" customHeight="1" x14ac:dyDescent="0.2">
      <c r="A3358" s="1" t="s">
        <v>24</v>
      </c>
      <c r="B3358" s="7">
        <v>46109.140439814815</v>
      </c>
      <c r="C3358" s="7">
        <v>46109.156689814816</v>
      </c>
      <c r="D3358" s="8">
        <v>46109</v>
      </c>
      <c r="E3358" s="9">
        <v>0.15668981481576338</v>
      </c>
      <c r="F3358" s="10" t="s">
        <v>3671</v>
      </c>
      <c r="G3358" s="10" t="s">
        <v>21</v>
      </c>
      <c r="H3358" s="10" t="s">
        <v>52</v>
      </c>
      <c r="I3358" s="10" t="s">
        <v>23</v>
      </c>
      <c r="J3358" s="11">
        <v>0.98</v>
      </c>
      <c r="K3358" s="12"/>
      <c r="L3358" s="12"/>
      <c r="M3358" s="12"/>
      <c r="N3358" s="12"/>
      <c r="O3358" s="12"/>
      <c r="P3358" s="12"/>
      <c r="Q3358" s="12"/>
      <c r="R3358" s="12"/>
      <c r="S3358" s="12"/>
    </row>
    <row r="3359" spans="1:19" ht="14.25" customHeight="1" x14ac:dyDescent="0.2">
      <c r="A3359" s="1" t="s">
        <v>42</v>
      </c>
      <c r="B3359" s="7">
        <v>46109.142835648148</v>
      </c>
      <c r="C3359" s="7">
        <v>46109.157083333332</v>
      </c>
      <c r="D3359" s="8">
        <v>46109</v>
      </c>
      <c r="E3359" s="9">
        <v>0.15708333333168412</v>
      </c>
      <c r="F3359" s="10" t="s">
        <v>3672</v>
      </c>
      <c r="G3359" s="10" t="s">
        <v>44</v>
      </c>
      <c r="H3359" s="10" t="s">
        <v>1144</v>
      </c>
      <c r="I3359" s="10" t="s">
        <v>23</v>
      </c>
      <c r="J3359" s="11">
        <v>0.18</v>
      </c>
      <c r="K3359" s="12"/>
      <c r="L3359" s="12"/>
      <c r="M3359" s="12"/>
      <c r="N3359" s="12"/>
      <c r="O3359" s="12"/>
      <c r="P3359" s="12"/>
      <c r="Q3359" s="12"/>
      <c r="R3359" s="12"/>
      <c r="S3359" s="12"/>
    </row>
    <row r="3360" spans="1:19" ht="14.25" customHeight="1" x14ac:dyDescent="0.2">
      <c r="A3360" s="1" t="s">
        <v>24</v>
      </c>
      <c r="B3360" s="7">
        <v>46109.142557870371</v>
      </c>
      <c r="C3360" s="7">
        <v>46109.16028935185</v>
      </c>
      <c r="D3360" s="8">
        <v>46109</v>
      </c>
      <c r="E3360" s="9">
        <v>0.16028935185022419</v>
      </c>
      <c r="F3360" s="10" t="s">
        <v>3673</v>
      </c>
      <c r="G3360" s="10" t="s">
        <v>21</v>
      </c>
      <c r="H3360" s="10" t="s">
        <v>216</v>
      </c>
      <c r="I3360" s="10" t="s">
        <v>23</v>
      </c>
      <c r="J3360" s="11">
        <v>0.98</v>
      </c>
      <c r="K3360" s="12"/>
      <c r="L3360" s="12"/>
      <c r="M3360" s="12"/>
      <c r="N3360" s="12"/>
      <c r="O3360" s="12"/>
      <c r="P3360" s="12"/>
      <c r="Q3360" s="12"/>
      <c r="R3360" s="12"/>
      <c r="S3360" s="12"/>
    </row>
    <row r="3361" spans="1:19" ht="14.25" customHeight="1" x14ac:dyDescent="0.2">
      <c r="A3361" s="1" t="s">
        <v>42</v>
      </c>
      <c r="B3361" s="7">
        <v>46109.134247685186</v>
      </c>
      <c r="C3361" s="7">
        <v>46109.162314814814</v>
      </c>
      <c r="D3361" s="8">
        <v>46109</v>
      </c>
      <c r="E3361" s="9">
        <v>0.16231481481372612</v>
      </c>
      <c r="F3361" s="10" t="s">
        <v>3674</v>
      </c>
      <c r="G3361" s="10" t="s">
        <v>26</v>
      </c>
      <c r="H3361" s="10" t="s">
        <v>3104</v>
      </c>
      <c r="I3361" s="10" t="s">
        <v>23</v>
      </c>
      <c r="J3361" s="11">
        <v>1.34</v>
      </c>
      <c r="K3361" s="12"/>
      <c r="L3361" s="12"/>
      <c r="M3361" s="12"/>
      <c r="N3361" s="12"/>
      <c r="O3361" s="12"/>
      <c r="P3361" s="12"/>
      <c r="Q3361" s="12"/>
      <c r="R3361" s="12"/>
      <c r="S3361" s="12"/>
    </row>
    <row r="3362" spans="1:19" ht="14.25" customHeight="1" x14ac:dyDescent="0.2">
      <c r="A3362" s="1" t="s">
        <v>57</v>
      </c>
      <c r="B3362" s="7">
        <v>46109.1562037037</v>
      </c>
      <c r="C3362" s="7">
        <v>46109.163055555553</v>
      </c>
      <c r="D3362" s="8">
        <v>46109</v>
      </c>
      <c r="E3362" s="9">
        <v>0.16305555555300089</v>
      </c>
      <c r="F3362" s="10" t="s">
        <v>3675</v>
      </c>
      <c r="G3362" s="10" t="s">
        <v>21</v>
      </c>
      <c r="H3362" s="10" t="s">
        <v>710</v>
      </c>
      <c r="I3362" s="10" t="s">
        <v>23</v>
      </c>
      <c r="J3362" s="11">
        <v>0.98</v>
      </c>
      <c r="K3362" s="12"/>
      <c r="L3362" s="12"/>
      <c r="M3362" s="12"/>
      <c r="N3362" s="12"/>
      <c r="O3362" s="12"/>
      <c r="P3362" s="12"/>
      <c r="Q3362" s="12"/>
      <c r="R3362" s="12"/>
      <c r="S3362" s="12"/>
    </row>
    <row r="3363" spans="1:19" ht="14.25" customHeight="1" x14ac:dyDescent="0.2">
      <c r="A3363" s="1" t="s">
        <v>57</v>
      </c>
      <c r="B3363" s="7">
        <v>46109.154791666668</v>
      </c>
      <c r="C3363" s="7">
        <v>46109.163368055553</v>
      </c>
      <c r="D3363" s="8">
        <v>46109</v>
      </c>
      <c r="E3363" s="9">
        <v>0.16336805555329192</v>
      </c>
      <c r="F3363" s="10" t="s">
        <v>3676</v>
      </c>
      <c r="G3363" s="10" t="s">
        <v>21</v>
      </c>
      <c r="H3363" s="10" t="s">
        <v>59</v>
      </c>
      <c r="I3363" s="10" t="s">
        <v>23</v>
      </c>
      <c r="J3363" s="11">
        <v>0.83</v>
      </c>
      <c r="K3363" s="12"/>
      <c r="L3363" s="12"/>
      <c r="M3363" s="12"/>
      <c r="N3363" s="12"/>
      <c r="O3363" s="12"/>
      <c r="P3363" s="12"/>
      <c r="Q3363" s="12"/>
      <c r="R3363" s="12"/>
      <c r="S3363" s="12"/>
    </row>
    <row r="3364" spans="1:19" ht="14.25" customHeight="1" x14ac:dyDescent="0.2">
      <c r="A3364" s="1" t="s">
        <v>95</v>
      </c>
      <c r="B3364" s="7">
        <v>46109.13</v>
      </c>
      <c r="C3364" s="7">
        <v>46109.170740740738</v>
      </c>
      <c r="D3364" s="8">
        <v>46109</v>
      </c>
      <c r="E3364" s="9">
        <v>0.17074074073752854</v>
      </c>
      <c r="F3364" s="10" t="s">
        <v>3677</v>
      </c>
      <c r="G3364" s="10" t="s">
        <v>26</v>
      </c>
      <c r="H3364" s="10" t="s">
        <v>1593</v>
      </c>
      <c r="I3364" s="10" t="s">
        <v>23</v>
      </c>
      <c r="J3364" s="11">
        <v>0.72</v>
      </c>
      <c r="K3364" s="12"/>
      <c r="L3364" s="12">
        <f>SUM(J3364:J3368)</f>
        <v>5.1100000000000003</v>
      </c>
      <c r="M3364" s="13">
        <f>L3364*65</f>
        <v>332.15000000000003</v>
      </c>
      <c r="N3364" s="14">
        <f>MAX(500,M3364)</f>
        <v>500</v>
      </c>
      <c r="O3364" s="12"/>
      <c r="P3364" s="12"/>
      <c r="Q3364" s="12"/>
      <c r="R3364" s="12"/>
      <c r="S3364" s="12"/>
    </row>
    <row r="3365" spans="1:19" ht="14.25" customHeight="1" x14ac:dyDescent="0.2">
      <c r="A3365" s="1" t="s">
        <v>95</v>
      </c>
      <c r="B3365" s="7">
        <v>46109.118020833332</v>
      </c>
      <c r="C3365" s="7">
        <v>46109.171574074076</v>
      </c>
      <c r="D3365" s="8">
        <v>46109</v>
      </c>
      <c r="E3365" s="9">
        <v>0.17157407407648861</v>
      </c>
      <c r="F3365" s="10" t="s">
        <v>3678</v>
      </c>
      <c r="G3365" s="10" t="s">
        <v>26</v>
      </c>
      <c r="H3365" s="10" t="s">
        <v>1019</v>
      </c>
      <c r="I3365" s="10" t="s">
        <v>23</v>
      </c>
      <c r="J3365" s="11">
        <v>0.67</v>
      </c>
      <c r="K3365" s="12"/>
      <c r="L3365" s="12"/>
      <c r="M3365" s="12"/>
      <c r="N3365" s="12"/>
      <c r="O3365" s="12"/>
      <c r="P3365" s="12"/>
      <c r="Q3365" s="12"/>
      <c r="R3365" s="12"/>
      <c r="S3365" s="12"/>
    </row>
    <row r="3366" spans="1:19" ht="14.25" customHeight="1" x14ac:dyDescent="0.2">
      <c r="A3366" s="1" t="s">
        <v>95</v>
      </c>
      <c r="B3366" s="7">
        <v>46109.174872685187</v>
      </c>
      <c r="C3366" s="7">
        <v>46109.188530092593</v>
      </c>
      <c r="D3366" s="8">
        <v>46109</v>
      </c>
      <c r="E3366" s="9">
        <v>0.18853009259328246</v>
      </c>
      <c r="F3366" s="10" t="s">
        <v>3679</v>
      </c>
      <c r="G3366" s="10" t="s">
        <v>21</v>
      </c>
      <c r="H3366" s="10" t="s">
        <v>154</v>
      </c>
      <c r="I3366" s="10" t="s">
        <v>23</v>
      </c>
      <c r="J3366" s="11">
        <v>1.77</v>
      </c>
      <c r="K3366" s="12"/>
      <c r="L3366" s="12"/>
      <c r="M3366" s="12"/>
      <c r="N3366" s="12"/>
      <c r="O3366" s="12"/>
      <c r="P3366" s="12"/>
      <c r="Q3366" s="12"/>
      <c r="R3366" s="12"/>
      <c r="S3366" s="12"/>
    </row>
    <row r="3367" spans="1:19" ht="14.25" customHeight="1" x14ac:dyDescent="0.2">
      <c r="A3367" s="1" t="s">
        <v>42</v>
      </c>
      <c r="B3367" s="7">
        <v>46109.177465277775</v>
      </c>
      <c r="C3367" s="7">
        <v>46109.192164351851</v>
      </c>
      <c r="D3367" s="8">
        <v>46109</v>
      </c>
      <c r="E3367" s="9">
        <v>0.19216435185080627</v>
      </c>
      <c r="F3367" s="10" t="s">
        <v>3680</v>
      </c>
      <c r="G3367" s="10" t="s">
        <v>44</v>
      </c>
      <c r="H3367" s="10" t="s">
        <v>1144</v>
      </c>
      <c r="I3367" s="10" t="s">
        <v>23</v>
      </c>
      <c r="J3367" s="11">
        <v>0.18</v>
      </c>
      <c r="K3367" s="12"/>
      <c r="L3367" s="12"/>
      <c r="M3367" s="12"/>
      <c r="N3367" s="12"/>
      <c r="O3367" s="12"/>
      <c r="P3367" s="12"/>
      <c r="Q3367" s="12"/>
      <c r="R3367" s="12"/>
      <c r="S3367" s="12"/>
    </row>
    <row r="3368" spans="1:19" ht="14.25" customHeight="1" x14ac:dyDescent="0.2">
      <c r="A3368" s="1" t="s">
        <v>95</v>
      </c>
      <c r="B3368" s="7">
        <v>46109.187372685185</v>
      </c>
      <c r="C3368" s="7">
        <v>46109.195300925923</v>
      </c>
      <c r="D3368" s="8">
        <v>46109</v>
      </c>
      <c r="E3368" s="9">
        <v>0.19530092592322035</v>
      </c>
      <c r="F3368" s="10" t="s">
        <v>3681</v>
      </c>
      <c r="G3368" s="10" t="s">
        <v>21</v>
      </c>
      <c r="H3368" s="10" t="s">
        <v>97</v>
      </c>
      <c r="I3368" s="10" t="s">
        <v>23</v>
      </c>
      <c r="J3368" s="11">
        <v>1.77</v>
      </c>
      <c r="K3368" s="12"/>
      <c r="L3368" s="12"/>
      <c r="M3368" s="12"/>
      <c r="N3368" s="12"/>
      <c r="O3368" s="12"/>
      <c r="P3368" s="12"/>
      <c r="Q3368" s="12"/>
      <c r="R3368" s="12"/>
      <c r="S3368" s="12"/>
    </row>
    <row r="3369" spans="1:19" ht="14.25" customHeight="1" x14ac:dyDescent="0.2">
      <c r="A3369" s="1" t="s">
        <v>95</v>
      </c>
      <c r="B3369" s="7">
        <v>46109.174872685187</v>
      </c>
      <c r="C3369" s="7">
        <v>46109.220451388886</v>
      </c>
      <c r="D3369" s="8">
        <v>46109</v>
      </c>
      <c r="E3369" s="9">
        <v>0.22045138888643123</v>
      </c>
      <c r="F3369" s="10" t="s">
        <v>3682</v>
      </c>
      <c r="G3369" s="10" t="s">
        <v>21</v>
      </c>
      <c r="H3369" s="10" t="s">
        <v>97</v>
      </c>
      <c r="I3369" s="10" t="s">
        <v>23</v>
      </c>
      <c r="J3369" s="11">
        <v>1.77</v>
      </c>
      <c r="K3369" s="12"/>
      <c r="L3369" s="12">
        <f>SUM(J3369:J3378)</f>
        <v>10.19</v>
      </c>
      <c r="M3369" s="13">
        <f>L3369*65</f>
        <v>662.35</v>
      </c>
      <c r="N3369" s="14">
        <f>MAX(500,M3369)</f>
        <v>662.35</v>
      </c>
      <c r="O3369" s="12"/>
      <c r="P3369" s="12"/>
      <c r="Q3369" s="12"/>
      <c r="R3369" s="12"/>
      <c r="S3369" s="12"/>
    </row>
    <row r="3370" spans="1:19" ht="14.25" customHeight="1" x14ac:dyDescent="0.2">
      <c r="A3370" s="1" t="s">
        <v>42</v>
      </c>
      <c r="B3370" s="7">
        <v>46109.211111111108</v>
      </c>
      <c r="C3370" s="7">
        <v>46109.227534722224</v>
      </c>
      <c r="D3370" s="8">
        <v>46109</v>
      </c>
      <c r="E3370" s="9">
        <v>0.22753472222393611</v>
      </c>
      <c r="F3370" s="10" t="s">
        <v>3683</v>
      </c>
      <c r="G3370" s="10" t="s">
        <v>21</v>
      </c>
      <c r="H3370" s="10" t="s">
        <v>108</v>
      </c>
      <c r="I3370" s="10" t="s">
        <v>23</v>
      </c>
      <c r="J3370" s="11">
        <v>1.7</v>
      </c>
      <c r="K3370" s="12"/>
      <c r="L3370" s="12"/>
      <c r="M3370" s="12"/>
      <c r="N3370" s="12"/>
      <c r="O3370" s="12"/>
      <c r="P3370" s="12"/>
      <c r="Q3370" s="12"/>
      <c r="R3370" s="12"/>
      <c r="S3370" s="12"/>
    </row>
    <row r="3371" spans="1:19" ht="14.25" customHeight="1" x14ac:dyDescent="0.2">
      <c r="A3371" s="1" t="s">
        <v>28</v>
      </c>
      <c r="B3371" s="7">
        <v>46109.222812499997</v>
      </c>
      <c r="C3371" s="7">
        <v>46109.237187500003</v>
      </c>
      <c r="D3371" s="8">
        <v>46109</v>
      </c>
      <c r="E3371" s="9">
        <v>0.23718750000261934</v>
      </c>
      <c r="F3371" s="10" t="s">
        <v>3684</v>
      </c>
      <c r="G3371" s="10" t="s">
        <v>21</v>
      </c>
      <c r="H3371" s="10" t="s">
        <v>276</v>
      </c>
      <c r="I3371" s="10" t="s">
        <v>23</v>
      </c>
      <c r="J3371" s="11">
        <v>1.77</v>
      </c>
      <c r="K3371" s="12"/>
      <c r="L3371" s="12"/>
      <c r="M3371" s="12"/>
      <c r="N3371" s="12"/>
      <c r="O3371" s="12"/>
      <c r="P3371" s="12"/>
      <c r="Q3371" s="12"/>
      <c r="R3371" s="12"/>
      <c r="S3371" s="12"/>
    </row>
    <row r="3372" spans="1:19" ht="14.25" customHeight="1" x14ac:dyDescent="0.2">
      <c r="A3372" s="1" t="s">
        <v>42</v>
      </c>
      <c r="B3372" s="7">
        <v>46109.217326388891</v>
      </c>
      <c r="C3372" s="7">
        <v>46109.243796296294</v>
      </c>
      <c r="D3372" s="8">
        <v>46109</v>
      </c>
      <c r="E3372" s="9">
        <v>0.24379629629402189</v>
      </c>
      <c r="F3372" s="10" t="s">
        <v>3685</v>
      </c>
      <c r="G3372" s="10" t="s">
        <v>44</v>
      </c>
      <c r="H3372" s="10" t="s">
        <v>50</v>
      </c>
      <c r="I3372" s="10" t="s">
        <v>23</v>
      </c>
      <c r="J3372" s="11">
        <v>0.18</v>
      </c>
      <c r="K3372" s="12"/>
      <c r="L3372" s="12"/>
      <c r="M3372" s="12"/>
      <c r="N3372" s="12"/>
      <c r="O3372" s="12"/>
      <c r="P3372" s="12"/>
      <c r="Q3372" s="12"/>
      <c r="R3372" s="12"/>
      <c r="S3372" s="12"/>
    </row>
    <row r="3373" spans="1:19" ht="14.25" customHeight="1" x14ac:dyDescent="0.2">
      <c r="A3373" s="1" t="s">
        <v>95</v>
      </c>
      <c r="B3373" s="7">
        <v>46109.244479166664</v>
      </c>
      <c r="C3373" s="7">
        <v>46109.244004629632</v>
      </c>
      <c r="D3373" s="8">
        <v>46109</v>
      </c>
      <c r="E3373" s="9">
        <v>0.24400462963239988</v>
      </c>
      <c r="F3373" s="10" t="s">
        <v>3686</v>
      </c>
      <c r="G3373" s="10" t="s">
        <v>21</v>
      </c>
      <c r="H3373" s="10" t="s">
        <v>110</v>
      </c>
      <c r="I3373" s="10" t="s">
        <v>23</v>
      </c>
      <c r="J3373" s="11">
        <v>0.83</v>
      </c>
      <c r="K3373" s="12"/>
      <c r="L3373" s="12"/>
      <c r="M3373" s="12"/>
      <c r="N3373" s="12"/>
      <c r="O3373" s="12"/>
      <c r="P3373" s="12"/>
      <c r="Q3373" s="12"/>
      <c r="R3373" s="12"/>
      <c r="S3373" s="12"/>
    </row>
    <row r="3374" spans="1:19" ht="14.25" customHeight="1" x14ac:dyDescent="0.2">
      <c r="A3374" s="1" t="s">
        <v>42</v>
      </c>
      <c r="B3374" s="7">
        <v>46109.221747685187</v>
      </c>
      <c r="C3374" s="7">
        <v>46109.244791666664</v>
      </c>
      <c r="D3374" s="8">
        <v>46109</v>
      </c>
      <c r="E3374" s="9">
        <v>0.24479166666424135</v>
      </c>
      <c r="F3374" s="10" t="s">
        <v>3687</v>
      </c>
      <c r="G3374" s="10" t="s">
        <v>44</v>
      </c>
      <c r="H3374" s="10" t="s">
        <v>497</v>
      </c>
      <c r="I3374" s="10" t="s">
        <v>23</v>
      </c>
      <c r="J3374" s="11">
        <v>0.18</v>
      </c>
      <c r="K3374" s="12"/>
      <c r="L3374" s="12"/>
      <c r="M3374" s="12"/>
      <c r="N3374" s="12"/>
      <c r="O3374" s="12"/>
      <c r="P3374" s="12"/>
      <c r="Q3374" s="12"/>
      <c r="R3374" s="12"/>
      <c r="S3374" s="12"/>
    </row>
    <row r="3375" spans="1:19" ht="14.25" customHeight="1" x14ac:dyDescent="0.2">
      <c r="A3375" s="1" t="s">
        <v>42</v>
      </c>
      <c r="B3375" s="7">
        <v>46109.223807870374</v>
      </c>
      <c r="C3375" s="7">
        <v>46109.245625000003</v>
      </c>
      <c r="D3375" s="8">
        <v>46109</v>
      </c>
      <c r="E3375" s="9">
        <v>0.24562500000320142</v>
      </c>
      <c r="F3375" s="10" t="s">
        <v>3688</v>
      </c>
      <c r="G3375" s="10" t="s">
        <v>44</v>
      </c>
      <c r="H3375" s="10" t="s">
        <v>497</v>
      </c>
      <c r="I3375" s="10" t="s">
        <v>23</v>
      </c>
      <c r="J3375" s="11">
        <v>0.18</v>
      </c>
      <c r="K3375" s="12"/>
      <c r="L3375" s="12"/>
      <c r="M3375" s="12"/>
      <c r="N3375" s="12"/>
      <c r="O3375" s="12"/>
      <c r="P3375" s="12"/>
      <c r="Q3375" s="12"/>
      <c r="R3375" s="12"/>
      <c r="S3375" s="12"/>
    </row>
    <row r="3376" spans="1:19" ht="14.25" customHeight="1" x14ac:dyDescent="0.2">
      <c r="A3376" s="1" t="s">
        <v>95</v>
      </c>
      <c r="B3376" s="7">
        <v>46109.210138888891</v>
      </c>
      <c r="C3376" s="7">
        <v>46109.247430555559</v>
      </c>
      <c r="D3376" s="8">
        <v>46109</v>
      </c>
      <c r="E3376" s="9">
        <v>0.24743055555882165</v>
      </c>
      <c r="F3376" s="10" t="s">
        <v>3689</v>
      </c>
      <c r="G3376" s="10" t="s">
        <v>21</v>
      </c>
      <c r="H3376" s="10" t="s">
        <v>154</v>
      </c>
      <c r="I3376" s="10" t="s">
        <v>23</v>
      </c>
      <c r="J3376" s="11">
        <v>1.77</v>
      </c>
      <c r="K3376" s="12"/>
      <c r="L3376" s="12"/>
      <c r="M3376" s="12"/>
      <c r="N3376" s="12"/>
      <c r="O3376" s="12"/>
      <c r="P3376" s="12"/>
      <c r="Q3376" s="12"/>
      <c r="R3376" s="12"/>
      <c r="S3376" s="12"/>
    </row>
    <row r="3377" spans="1:19" ht="14.25" customHeight="1" x14ac:dyDescent="0.2">
      <c r="A3377" s="1" t="s">
        <v>95</v>
      </c>
      <c r="B3377" s="7">
        <v>46109.245891203704</v>
      </c>
      <c r="C3377" s="7">
        <v>46109.248136574075</v>
      </c>
      <c r="D3377" s="8">
        <v>46109</v>
      </c>
      <c r="E3377" s="9">
        <v>0.24813657407503342</v>
      </c>
      <c r="F3377" s="10" t="s">
        <v>3690</v>
      </c>
      <c r="G3377" s="10" t="s">
        <v>21</v>
      </c>
      <c r="H3377" s="10" t="s">
        <v>189</v>
      </c>
      <c r="I3377" s="10" t="s">
        <v>23</v>
      </c>
      <c r="J3377" s="11">
        <v>0.83</v>
      </c>
      <c r="K3377" s="12"/>
      <c r="L3377" s="12"/>
      <c r="M3377" s="12"/>
      <c r="N3377" s="12"/>
      <c r="O3377" s="12"/>
      <c r="P3377" s="12"/>
      <c r="Q3377" s="12"/>
      <c r="R3377" s="12"/>
      <c r="S3377" s="12"/>
    </row>
    <row r="3378" spans="1:19" ht="14.25" customHeight="1" x14ac:dyDescent="0.2">
      <c r="A3378" s="1" t="s">
        <v>95</v>
      </c>
      <c r="B3378" s="7">
        <v>46109.232488425929</v>
      </c>
      <c r="C3378" s="7">
        <v>46109.248344907406</v>
      </c>
      <c r="D3378" s="8">
        <v>46109</v>
      </c>
      <c r="E3378" s="9">
        <v>0.24834490740613546</v>
      </c>
      <c r="F3378" s="10" t="s">
        <v>3691</v>
      </c>
      <c r="G3378" s="10" t="s">
        <v>21</v>
      </c>
      <c r="H3378" s="10" t="s">
        <v>52</v>
      </c>
      <c r="I3378" s="10" t="s">
        <v>23</v>
      </c>
      <c r="J3378" s="11">
        <v>0.98</v>
      </c>
      <c r="K3378" s="12"/>
      <c r="L3378" s="12"/>
      <c r="M3378" s="12"/>
      <c r="N3378" s="12"/>
      <c r="O3378" s="12"/>
      <c r="P3378" s="12"/>
      <c r="Q3378" s="12"/>
      <c r="R3378" s="12"/>
      <c r="S3378" s="12"/>
    </row>
    <row r="3379" spans="1:19" ht="14.25" customHeight="1" x14ac:dyDescent="0.2">
      <c r="A3379" s="1" t="s">
        <v>42</v>
      </c>
      <c r="B3379" s="7">
        <v>46109.859212962961</v>
      </c>
      <c r="C3379" s="7">
        <v>46109.88422453704</v>
      </c>
      <c r="D3379" s="8">
        <v>46109</v>
      </c>
      <c r="E3379" s="9">
        <v>0.8842245370396995</v>
      </c>
      <c r="F3379" s="10" t="s">
        <v>3692</v>
      </c>
      <c r="G3379" s="10" t="s">
        <v>26</v>
      </c>
      <c r="H3379" s="10" t="s">
        <v>78</v>
      </c>
      <c r="I3379" s="10" t="s">
        <v>23</v>
      </c>
      <c r="J3379" s="11">
        <v>0.56999999999999995</v>
      </c>
      <c r="K3379" s="12">
        <f>SUM(J3379:J3401,J3405:J3408,J3411:J3415,J3418:J3421,J3424:J3426,J3428:J3430,J3432,J3433,J3435,J3437,J3438,J3439,J3443:J3445,J3447:J3449,J3450,J3453,J3455:J3456,J3457,J3459:J3476)</f>
        <v>85.849999999999966</v>
      </c>
      <c r="L3379" s="12">
        <f>SUM(J3379:J3403)</f>
        <v>29.199999999999996</v>
      </c>
      <c r="M3379" s="13">
        <f>L3379*65</f>
        <v>1897.9999999999998</v>
      </c>
      <c r="N3379" s="14">
        <f>MAX(500,M3379)</f>
        <v>1897.9999999999998</v>
      </c>
      <c r="O3379" s="12"/>
      <c r="P3379" s="12"/>
      <c r="Q3379" s="12"/>
      <c r="R3379" s="12"/>
      <c r="S3379" s="12"/>
    </row>
    <row r="3380" spans="1:19" ht="14.25" customHeight="1" x14ac:dyDescent="0.2">
      <c r="A3380" s="1" t="s">
        <v>42</v>
      </c>
      <c r="B3380" s="7">
        <v>46109.865729166668</v>
      </c>
      <c r="C3380" s="7">
        <v>46109.885000000002</v>
      </c>
      <c r="D3380" s="8">
        <v>46109</v>
      </c>
      <c r="E3380" s="9">
        <v>0.88500000000203727</v>
      </c>
      <c r="F3380" s="10" t="s">
        <v>3693</v>
      </c>
      <c r="G3380" s="10" t="s">
        <v>26</v>
      </c>
      <c r="H3380" s="10" t="s">
        <v>56</v>
      </c>
      <c r="I3380" s="10" t="s">
        <v>23</v>
      </c>
      <c r="J3380" s="11">
        <v>0.73</v>
      </c>
      <c r="K3380" s="12"/>
      <c r="L3380" s="12"/>
      <c r="M3380" s="12"/>
      <c r="N3380" s="12"/>
      <c r="O3380" s="12"/>
      <c r="P3380" s="12"/>
      <c r="Q3380" s="12"/>
      <c r="R3380" s="12"/>
      <c r="S3380" s="12"/>
    </row>
    <row r="3381" spans="1:19" ht="14.25" customHeight="1" x14ac:dyDescent="0.2">
      <c r="A3381" s="1" t="s">
        <v>28</v>
      </c>
      <c r="B3381" s="7">
        <v>46109.877222222225</v>
      </c>
      <c r="C3381" s="7">
        <v>46109.887881944444</v>
      </c>
      <c r="D3381" s="8">
        <v>46109</v>
      </c>
      <c r="E3381" s="9">
        <v>0.88788194444350665</v>
      </c>
      <c r="F3381" s="10" t="s">
        <v>3694</v>
      </c>
      <c r="G3381" s="10" t="s">
        <v>21</v>
      </c>
      <c r="H3381" s="10" t="s">
        <v>41</v>
      </c>
      <c r="I3381" s="10" t="s">
        <v>23</v>
      </c>
      <c r="J3381" s="11">
        <v>1.77</v>
      </c>
      <c r="K3381" s="12"/>
      <c r="L3381" s="12"/>
      <c r="M3381" s="12"/>
      <c r="N3381" s="12"/>
      <c r="O3381" s="12"/>
      <c r="P3381" s="12"/>
      <c r="Q3381" s="12"/>
      <c r="R3381" s="12"/>
      <c r="S3381" s="12"/>
    </row>
    <row r="3382" spans="1:19" ht="14.25" customHeight="1" x14ac:dyDescent="0.2">
      <c r="A3382" s="1" t="s">
        <v>24</v>
      </c>
      <c r="B3382" s="7">
        <v>46109.857175925928</v>
      </c>
      <c r="C3382" s="7">
        <v>46109.888391203705</v>
      </c>
      <c r="D3382" s="8">
        <v>46109</v>
      </c>
      <c r="E3382" s="9">
        <v>0.88839120370539604</v>
      </c>
      <c r="F3382" s="10" t="s">
        <v>3695</v>
      </c>
      <c r="G3382" s="10" t="s">
        <v>21</v>
      </c>
      <c r="H3382" s="10" t="s">
        <v>39</v>
      </c>
      <c r="I3382" s="10" t="s">
        <v>23</v>
      </c>
      <c r="J3382" s="11">
        <v>1.77</v>
      </c>
      <c r="K3382" s="12"/>
      <c r="L3382" s="12"/>
      <c r="M3382" s="12"/>
      <c r="N3382" s="12"/>
      <c r="O3382" s="12"/>
      <c r="P3382" s="12"/>
      <c r="Q3382" s="12"/>
      <c r="R3382" s="12"/>
      <c r="S3382" s="12"/>
    </row>
    <row r="3383" spans="1:19" ht="14.25" customHeight="1" x14ac:dyDescent="0.2">
      <c r="A3383" s="1" t="s">
        <v>33</v>
      </c>
      <c r="B3383" s="7">
        <v>46109.883692129632</v>
      </c>
      <c r="C3383" s="7">
        <v>46109.888715277775</v>
      </c>
      <c r="D3383" s="8">
        <v>46109</v>
      </c>
      <c r="E3383" s="9">
        <v>0.88871527777519077</v>
      </c>
      <c r="F3383" s="10" t="s">
        <v>3696</v>
      </c>
      <c r="G3383" s="10" t="s">
        <v>44</v>
      </c>
      <c r="H3383" s="10" t="s">
        <v>185</v>
      </c>
      <c r="I3383" s="10" t="s">
        <v>23</v>
      </c>
      <c r="J3383" s="11">
        <v>0.18</v>
      </c>
      <c r="K3383" s="12"/>
      <c r="L3383" s="12"/>
      <c r="M3383" s="12"/>
      <c r="N3383" s="12"/>
      <c r="O3383" s="12"/>
      <c r="P3383" s="12"/>
      <c r="Q3383" s="12"/>
      <c r="R3383" s="12"/>
      <c r="S3383" s="12"/>
    </row>
    <row r="3384" spans="1:19" ht="14.25" customHeight="1" x14ac:dyDescent="0.2">
      <c r="A3384" s="1" t="s">
        <v>57</v>
      </c>
      <c r="B3384" s="7">
        <v>46109.886481481481</v>
      </c>
      <c r="C3384" s="7">
        <v>46109.895011574074</v>
      </c>
      <c r="D3384" s="8">
        <v>46109</v>
      </c>
      <c r="E3384" s="9">
        <v>0.89501157407357823</v>
      </c>
      <c r="F3384" s="10" t="s">
        <v>3697</v>
      </c>
      <c r="G3384" s="10" t="s">
        <v>21</v>
      </c>
      <c r="H3384" s="10" t="s">
        <v>59</v>
      </c>
      <c r="I3384" s="10" t="s">
        <v>23</v>
      </c>
      <c r="J3384" s="11">
        <v>0.83</v>
      </c>
      <c r="K3384" s="12"/>
      <c r="L3384" s="12"/>
      <c r="M3384" s="12"/>
      <c r="N3384" s="12"/>
      <c r="O3384" s="12"/>
      <c r="P3384" s="12"/>
      <c r="Q3384" s="12"/>
      <c r="R3384" s="12"/>
      <c r="S3384" s="12"/>
    </row>
    <row r="3385" spans="1:19" ht="14.25" customHeight="1" x14ac:dyDescent="0.2">
      <c r="A3385" s="1" t="s">
        <v>24</v>
      </c>
      <c r="B3385" s="7">
        <v>46109.880960648145</v>
      </c>
      <c r="C3385" s="7">
        <v>46109.895624999997</v>
      </c>
      <c r="D3385" s="8">
        <v>46109</v>
      </c>
      <c r="E3385" s="9">
        <v>0.89562499999738066</v>
      </c>
      <c r="F3385" s="10" t="s">
        <v>3698</v>
      </c>
      <c r="G3385" s="10" t="s">
        <v>21</v>
      </c>
      <c r="H3385" s="10" t="s">
        <v>41</v>
      </c>
      <c r="I3385" s="10" t="s">
        <v>23</v>
      </c>
      <c r="J3385" s="11">
        <v>1.77</v>
      </c>
      <c r="K3385" s="12"/>
      <c r="L3385" s="12"/>
      <c r="M3385" s="12"/>
      <c r="N3385" s="12"/>
      <c r="O3385" s="12"/>
      <c r="P3385" s="12"/>
      <c r="Q3385" s="12"/>
      <c r="R3385" s="12"/>
      <c r="S3385" s="12"/>
    </row>
    <row r="3386" spans="1:19" ht="14.25" customHeight="1" x14ac:dyDescent="0.2">
      <c r="A3386" s="1" t="s">
        <v>24</v>
      </c>
      <c r="B3386" s="7">
        <v>46109.86577546296</v>
      </c>
      <c r="C3386" s="7">
        <v>46109.896944444445</v>
      </c>
      <c r="D3386" s="8">
        <v>46109</v>
      </c>
      <c r="E3386" s="9">
        <v>0.89694444444467081</v>
      </c>
      <c r="F3386" s="10" t="s">
        <v>3699</v>
      </c>
      <c r="G3386" s="10" t="s">
        <v>21</v>
      </c>
      <c r="H3386" s="10" t="s">
        <v>39</v>
      </c>
      <c r="I3386" s="10" t="s">
        <v>23</v>
      </c>
      <c r="J3386" s="11">
        <v>1.77</v>
      </c>
      <c r="K3386" s="12"/>
      <c r="L3386" s="12"/>
      <c r="M3386" s="12"/>
      <c r="N3386" s="12"/>
      <c r="O3386" s="12"/>
      <c r="P3386" s="12"/>
      <c r="Q3386" s="12"/>
      <c r="R3386" s="12"/>
      <c r="S3386" s="12"/>
    </row>
    <row r="3387" spans="1:19" ht="14.25" customHeight="1" x14ac:dyDescent="0.2">
      <c r="A3387" s="1" t="s">
        <v>24</v>
      </c>
      <c r="B3387" s="7">
        <v>46109.872604166667</v>
      </c>
      <c r="C3387" s="7">
        <v>46109.897499999999</v>
      </c>
      <c r="D3387" s="8">
        <v>46109</v>
      </c>
      <c r="E3387" s="9">
        <v>0.89749999999912689</v>
      </c>
      <c r="F3387" s="10" t="s">
        <v>3700</v>
      </c>
      <c r="G3387" s="10" t="s">
        <v>21</v>
      </c>
      <c r="H3387" s="10" t="s">
        <v>41</v>
      </c>
      <c r="I3387" s="10" t="s">
        <v>23</v>
      </c>
      <c r="J3387" s="11">
        <v>1.77</v>
      </c>
      <c r="K3387" s="12"/>
      <c r="L3387" s="12"/>
      <c r="M3387" s="12"/>
      <c r="N3387" s="12"/>
      <c r="O3387" s="12"/>
      <c r="P3387" s="12"/>
      <c r="Q3387" s="12"/>
      <c r="R3387" s="12"/>
      <c r="S3387" s="12"/>
    </row>
    <row r="3388" spans="1:19" ht="14.25" customHeight="1" x14ac:dyDescent="0.2">
      <c r="A3388" s="1" t="s">
        <v>33</v>
      </c>
      <c r="B3388" s="7">
        <v>46109.879027777781</v>
      </c>
      <c r="C3388" s="7">
        <v>46109.897905092592</v>
      </c>
      <c r="D3388" s="8">
        <v>46109</v>
      </c>
      <c r="E3388" s="9">
        <v>0.89790509259182727</v>
      </c>
      <c r="F3388" s="10" t="s">
        <v>3701</v>
      </c>
      <c r="G3388" s="10" t="s">
        <v>21</v>
      </c>
      <c r="H3388" s="10" t="s">
        <v>39</v>
      </c>
      <c r="I3388" s="10" t="s">
        <v>23</v>
      </c>
      <c r="J3388" s="11">
        <v>1.77</v>
      </c>
      <c r="K3388" s="12"/>
      <c r="L3388" s="12"/>
      <c r="M3388" s="12"/>
      <c r="N3388" s="12"/>
      <c r="O3388" s="12"/>
      <c r="P3388" s="12"/>
      <c r="Q3388" s="12"/>
      <c r="R3388" s="12"/>
      <c r="S3388" s="12"/>
    </row>
    <row r="3389" spans="1:19" ht="14.25" customHeight="1" x14ac:dyDescent="0.2">
      <c r="A3389" s="1" t="s">
        <v>42</v>
      </c>
      <c r="B3389" s="7">
        <v>46109.86859953704</v>
      </c>
      <c r="C3389" s="7">
        <v>46109.901250000003</v>
      </c>
      <c r="D3389" s="8">
        <v>46109</v>
      </c>
      <c r="E3389" s="9">
        <v>0.90125000000261934</v>
      </c>
      <c r="F3389" s="10" t="s">
        <v>3702</v>
      </c>
      <c r="G3389" s="10" t="s">
        <v>26</v>
      </c>
      <c r="H3389" s="10" t="s">
        <v>76</v>
      </c>
      <c r="I3389" s="10" t="s">
        <v>23</v>
      </c>
      <c r="J3389" s="11">
        <v>0.75</v>
      </c>
      <c r="K3389" s="12"/>
      <c r="L3389" s="12"/>
      <c r="M3389" s="12"/>
      <c r="N3389" s="12"/>
      <c r="O3389" s="12"/>
      <c r="P3389" s="12"/>
      <c r="Q3389" s="12"/>
      <c r="R3389" s="12"/>
      <c r="S3389" s="12"/>
    </row>
    <row r="3390" spans="1:19" ht="14.25" customHeight="1" x14ac:dyDescent="0.2">
      <c r="A3390" s="1" t="s">
        <v>24</v>
      </c>
      <c r="B3390" s="7">
        <v>46109.892974537041</v>
      </c>
      <c r="C3390" s="7">
        <v>46109.901631944442</v>
      </c>
      <c r="D3390" s="8">
        <v>46109</v>
      </c>
      <c r="E3390" s="9">
        <v>0.90163194444176042</v>
      </c>
      <c r="F3390" s="10" t="s">
        <v>3703</v>
      </c>
      <c r="G3390" s="10" t="s">
        <v>21</v>
      </c>
      <c r="H3390" s="10" t="s">
        <v>435</v>
      </c>
      <c r="I3390" s="10" t="s">
        <v>23</v>
      </c>
      <c r="J3390" s="11">
        <v>1.1299999999999999</v>
      </c>
      <c r="K3390" s="12"/>
      <c r="L3390" s="12"/>
      <c r="M3390" s="12"/>
      <c r="N3390" s="12"/>
      <c r="O3390" s="12"/>
      <c r="P3390" s="12"/>
      <c r="Q3390" s="12"/>
      <c r="R3390" s="12"/>
      <c r="S3390" s="12"/>
    </row>
    <row r="3391" spans="1:19" ht="14.25" customHeight="1" x14ac:dyDescent="0.2">
      <c r="A3391" s="1" t="s">
        <v>33</v>
      </c>
      <c r="B3391" s="7">
        <v>46109.893726851849</v>
      </c>
      <c r="C3391" s="7">
        <v>46109.901805555557</v>
      </c>
      <c r="D3391" s="8">
        <v>46109</v>
      </c>
      <c r="E3391" s="9">
        <v>0.90180555555707542</v>
      </c>
      <c r="F3391" s="10" t="s">
        <v>3704</v>
      </c>
      <c r="G3391" s="10" t="s">
        <v>21</v>
      </c>
      <c r="H3391" s="10" t="s">
        <v>22</v>
      </c>
      <c r="I3391" s="10" t="s">
        <v>23</v>
      </c>
      <c r="J3391" s="11">
        <v>0.83</v>
      </c>
      <c r="K3391" s="12"/>
      <c r="L3391" s="12"/>
      <c r="M3391" s="12"/>
      <c r="N3391" s="12"/>
      <c r="O3391" s="12"/>
      <c r="P3391" s="12"/>
      <c r="Q3391" s="12"/>
      <c r="R3391" s="12"/>
      <c r="S3391" s="12"/>
    </row>
    <row r="3392" spans="1:19" ht="14.25" customHeight="1" x14ac:dyDescent="0.2">
      <c r="A3392" s="1" t="s">
        <v>28</v>
      </c>
      <c r="B3392" s="7">
        <v>46109.860138888886</v>
      </c>
      <c r="C3392" s="7">
        <v>46109.907719907409</v>
      </c>
      <c r="D3392" s="8">
        <v>46109</v>
      </c>
      <c r="E3392" s="9">
        <v>0.90771990740904585</v>
      </c>
      <c r="F3392" s="10" t="s">
        <v>3705</v>
      </c>
      <c r="G3392" s="10" t="s">
        <v>21</v>
      </c>
      <c r="H3392" s="10" t="s">
        <v>281</v>
      </c>
      <c r="I3392" s="10" t="s">
        <v>23</v>
      </c>
      <c r="J3392" s="11">
        <v>2.5</v>
      </c>
      <c r="K3392" s="12"/>
      <c r="L3392" s="12"/>
      <c r="M3392" s="12"/>
      <c r="N3392" s="12"/>
      <c r="O3392" s="12"/>
      <c r="P3392" s="12"/>
      <c r="Q3392" s="12"/>
      <c r="R3392" s="12"/>
      <c r="S3392" s="12"/>
    </row>
    <row r="3393" spans="1:19" ht="14.25" customHeight="1" x14ac:dyDescent="0.2">
      <c r="A3393" s="1" t="s">
        <v>19</v>
      </c>
      <c r="B3393" s="7">
        <v>46109.87059027778</v>
      </c>
      <c r="C3393" s="7">
        <v>46109.90861111111</v>
      </c>
      <c r="D3393" s="8">
        <v>46109</v>
      </c>
      <c r="E3393" s="9">
        <v>0.90861111111007631</v>
      </c>
      <c r="F3393" s="10" t="s">
        <v>3706</v>
      </c>
      <c r="G3393" s="10" t="s">
        <v>21</v>
      </c>
      <c r="H3393" s="10" t="s">
        <v>22</v>
      </c>
      <c r="I3393" s="10" t="s">
        <v>23</v>
      </c>
      <c r="J3393" s="11">
        <v>0.83</v>
      </c>
      <c r="K3393" s="12"/>
      <c r="L3393" s="12"/>
      <c r="M3393" s="12"/>
      <c r="N3393" s="12"/>
      <c r="O3393" s="12"/>
      <c r="P3393" s="12"/>
      <c r="Q3393" s="12"/>
      <c r="R3393" s="12"/>
      <c r="S3393" s="12"/>
    </row>
    <row r="3394" spans="1:19" ht="14.25" customHeight="1" x14ac:dyDescent="0.2">
      <c r="A3394" s="1" t="s">
        <v>19</v>
      </c>
      <c r="B3394" s="7">
        <v>46109.89607638889</v>
      </c>
      <c r="C3394" s="7">
        <v>46109.909502314818</v>
      </c>
      <c r="D3394" s="8">
        <v>46109</v>
      </c>
      <c r="E3394" s="9">
        <v>0.90950231481838273</v>
      </c>
      <c r="F3394" s="10" t="s">
        <v>3707</v>
      </c>
      <c r="G3394" s="10" t="s">
        <v>21</v>
      </c>
      <c r="H3394" s="10" t="s">
        <v>41</v>
      </c>
      <c r="I3394" s="10" t="s">
        <v>23</v>
      </c>
      <c r="J3394" s="11">
        <v>1.77</v>
      </c>
      <c r="K3394" s="12"/>
      <c r="L3394" s="12"/>
      <c r="M3394" s="12"/>
      <c r="N3394" s="12"/>
      <c r="O3394" s="12"/>
      <c r="P3394" s="12"/>
      <c r="Q3394" s="12"/>
      <c r="R3394" s="12"/>
      <c r="S3394" s="12"/>
    </row>
    <row r="3395" spans="1:19" ht="14.25" customHeight="1" x14ac:dyDescent="0.2">
      <c r="A3395" s="1" t="s">
        <v>33</v>
      </c>
      <c r="B3395" s="7">
        <v>46109.878888888888</v>
      </c>
      <c r="C3395" s="7">
        <v>46109.90966435185</v>
      </c>
      <c r="D3395" s="8">
        <v>46109</v>
      </c>
      <c r="E3395" s="9">
        <v>0.90966435184964212</v>
      </c>
      <c r="F3395" s="10" t="s">
        <v>3708</v>
      </c>
      <c r="G3395" s="10" t="s">
        <v>26</v>
      </c>
      <c r="H3395" s="10" t="s">
        <v>650</v>
      </c>
      <c r="I3395" s="10" t="s">
        <v>23</v>
      </c>
      <c r="J3395" s="11">
        <v>0.44</v>
      </c>
      <c r="K3395" s="12"/>
      <c r="L3395" s="12"/>
      <c r="M3395" s="12"/>
      <c r="N3395" s="12"/>
      <c r="O3395" s="12"/>
      <c r="P3395" s="12"/>
      <c r="Q3395" s="12"/>
      <c r="R3395" s="12"/>
      <c r="S3395" s="12"/>
    </row>
    <row r="3396" spans="1:19" ht="14.25" customHeight="1" x14ac:dyDescent="0.2">
      <c r="A3396" s="1" t="s">
        <v>46</v>
      </c>
      <c r="B3396" s="7">
        <v>46109.892893518518</v>
      </c>
      <c r="C3396" s="7">
        <v>46109.90997685185</v>
      </c>
      <c r="D3396" s="8">
        <v>46109</v>
      </c>
      <c r="E3396" s="9">
        <v>0.90997685184993315</v>
      </c>
      <c r="F3396" s="10" t="s">
        <v>3709</v>
      </c>
      <c r="G3396" s="10" t="s">
        <v>44</v>
      </c>
      <c r="H3396" s="10" t="s">
        <v>185</v>
      </c>
      <c r="I3396" s="10" t="s">
        <v>23</v>
      </c>
      <c r="J3396" s="11">
        <v>0.18</v>
      </c>
      <c r="K3396" s="12"/>
      <c r="L3396" s="12"/>
      <c r="M3396" s="12"/>
      <c r="N3396" s="12"/>
      <c r="O3396" s="12"/>
      <c r="P3396" s="12"/>
      <c r="Q3396" s="12"/>
      <c r="R3396" s="12"/>
      <c r="S3396" s="12"/>
    </row>
    <row r="3397" spans="1:19" ht="14.25" customHeight="1" x14ac:dyDescent="0.2">
      <c r="A3397" s="1" t="s">
        <v>57</v>
      </c>
      <c r="B3397" s="7">
        <v>46109.899594907409</v>
      </c>
      <c r="C3397" s="7">
        <v>46109.91369212963</v>
      </c>
      <c r="D3397" s="8">
        <v>46109</v>
      </c>
      <c r="E3397" s="9">
        <v>0.91369212963036261</v>
      </c>
      <c r="F3397" s="10" t="s">
        <v>3710</v>
      </c>
      <c r="G3397" s="10" t="s">
        <v>21</v>
      </c>
      <c r="H3397" s="10" t="s">
        <v>59</v>
      </c>
      <c r="I3397" s="10" t="s">
        <v>23</v>
      </c>
      <c r="J3397" s="11">
        <v>0.83</v>
      </c>
      <c r="K3397" s="12"/>
      <c r="L3397" s="12"/>
      <c r="M3397" s="12"/>
      <c r="N3397" s="12"/>
      <c r="O3397" s="12"/>
      <c r="P3397" s="12"/>
      <c r="Q3397" s="12"/>
      <c r="R3397" s="12"/>
      <c r="S3397" s="12"/>
    </row>
    <row r="3398" spans="1:19" ht="14.25" customHeight="1" x14ac:dyDescent="0.2">
      <c r="A3398" s="1" t="s">
        <v>57</v>
      </c>
      <c r="B3398" s="7">
        <v>46109.903182870374</v>
      </c>
      <c r="C3398" s="7">
        <v>46109.913842592592</v>
      </c>
      <c r="D3398" s="8">
        <v>46109</v>
      </c>
      <c r="E3398" s="9">
        <v>0.91384259259211831</v>
      </c>
      <c r="F3398" s="10" t="s">
        <v>3711</v>
      </c>
      <c r="G3398" s="10" t="s">
        <v>21</v>
      </c>
      <c r="H3398" s="10" t="s">
        <v>710</v>
      </c>
      <c r="I3398" s="10" t="s">
        <v>23</v>
      </c>
      <c r="J3398" s="11">
        <v>0.98</v>
      </c>
      <c r="K3398" s="12"/>
      <c r="L3398" s="12"/>
      <c r="M3398" s="12"/>
      <c r="N3398" s="12"/>
      <c r="O3398" s="12"/>
      <c r="P3398" s="12"/>
      <c r="Q3398" s="12"/>
      <c r="R3398" s="12"/>
      <c r="S3398" s="12"/>
    </row>
    <row r="3399" spans="1:19" ht="14.25" customHeight="1" x14ac:dyDescent="0.2">
      <c r="A3399" s="1" t="s">
        <v>57</v>
      </c>
      <c r="B3399" s="7">
        <v>46109.901365740741</v>
      </c>
      <c r="C3399" s="7">
        <v>46109.913981481484</v>
      </c>
      <c r="D3399" s="8">
        <v>46109</v>
      </c>
      <c r="E3399" s="9">
        <v>0.91398148148437031</v>
      </c>
      <c r="F3399" s="10" t="s">
        <v>3712</v>
      </c>
      <c r="G3399" s="10" t="s">
        <v>21</v>
      </c>
      <c r="H3399" s="10" t="s">
        <v>2165</v>
      </c>
      <c r="I3399" s="10" t="s">
        <v>23</v>
      </c>
      <c r="J3399" s="11">
        <v>0.83</v>
      </c>
      <c r="K3399" s="12"/>
      <c r="L3399" s="12"/>
      <c r="M3399" s="12"/>
      <c r="N3399" s="12"/>
      <c r="O3399" s="12"/>
      <c r="P3399" s="12"/>
      <c r="Q3399" s="12"/>
      <c r="R3399" s="12"/>
      <c r="S3399" s="12"/>
    </row>
    <row r="3400" spans="1:19" ht="14.25" customHeight="1" x14ac:dyDescent="0.2">
      <c r="A3400" s="1" t="s">
        <v>57</v>
      </c>
      <c r="B3400" s="7">
        <v>46109.905902777777</v>
      </c>
      <c r="C3400" s="7">
        <v>46109.914351851854</v>
      </c>
      <c r="D3400" s="8">
        <v>46109</v>
      </c>
      <c r="E3400" s="9">
        <v>0.91435185185400769</v>
      </c>
      <c r="F3400" s="10" t="s">
        <v>3713</v>
      </c>
      <c r="G3400" s="10" t="s">
        <v>21</v>
      </c>
      <c r="H3400" s="10" t="s">
        <v>133</v>
      </c>
      <c r="I3400" s="10" t="s">
        <v>23</v>
      </c>
      <c r="J3400" s="11">
        <v>0.98</v>
      </c>
      <c r="K3400" s="12"/>
      <c r="L3400" s="12"/>
      <c r="M3400" s="12"/>
      <c r="N3400" s="12"/>
      <c r="O3400" s="12"/>
      <c r="P3400" s="12"/>
      <c r="Q3400" s="12"/>
      <c r="R3400" s="12"/>
      <c r="S3400" s="12"/>
    </row>
    <row r="3401" spans="1:19" ht="14.25" customHeight="1" x14ac:dyDescent="0.2">
      <c r="A3401" s="1" t="s">
        <v>19</v>
      </c>
      <c r="B3401" s="7">
        <v>46109.904791666668</v>
      </c>
      <c r="C3401" s="7">
        <v>46109.914942129632</v>
      </c>
      <c r="D3401" s="8">
        <v>46109</v>
      </c>
      <c r="E3401" s="9">
        <v>0.91494212963152677</v>
      </c>
      <c r="F3401" s="10" t="s">
        <v>3714</v>
      </c>
      <c r="G3401" s="10" t="s">
        <v>21</v>
      </c>
      <c r="H3401" s="10" t="s">
        <v>41</v>
      </c>
      <c r="I3401" s="10" t="s">
        <v>23</v>
      </c>
      <c r="J3401" s="11">
        <v>1.77</v>
      </c>
      <c r="K3401" s="12"/>
      <c r="L3401" s="12"/>
      <c r="M3401" s="12"/>
      <c r="N3401" s="12"/>
      <c r="O3401" s="12"/>
      <c r="P3401" s="12"/>
      <c r="Q3401" s="12"/>
      <c r="R3401" s="12"/>
      <c r="S3401" s="12"/>
    </row>
    <row r="3402" spans="1:19" ht="14.25" customHeight="1" x14ac:dyDescent="0.2">
      <c r="A3402" s="22" t="s">
        <v>33</v>
      </c>
      <c r="B3402" s="23">
        <v>46109.879027777781</v>
      </c>
      <c r="C3402" s="23">
        <v>46109.915243055555</v>
      </c>
      <c r="D3402" s="24">
        <v>46109</v>
      </c>
      <c r="E3402" s="25">
        <v>0.91524305555503815</v>
      </c>
      <c r="F3402" s="22" t="s">
        <v>3715</v>
      </c>
      <c r="G3402" s="22" t="s">
        <v>21</v>
      </c>
      <c r="H3402" s="22" t="s">
        <v>41</v>
      </c>
      <c r="I3402" s="22" t="s">
        <v>583</v>
      </c>
      <c r="J3402" s="26">
        <v>1.77</v>
      </c>
      <c r="K3402" s="26"/>
      <c r="L3402" s="26"/>
      <c r="M3402" s="26"/>
      <c r="N3402" s="26"/>
      <c r="O3402" s="26"/>
      <c r="P3402" s="26"/>
      <c r="Q3402" s="26"/>
      <c r="R3402" s="26"/>
      <c r="S3402" s="26"/>
    </row>
    <row r="3403" spans="1:19" ht="14.25" customHeight="1" x14ac:dyDescent="0.2">
      <c r="A3403" s="22" t="s">
        <v>24</v>
      </c>
      <c r="B3403" s="23">
        <v>46109.848854166667</v>
      </c>
      <c r="C3403" s="23">
        <v>46109.916527777779</v>
      </c>
      <c r="D3403" s="24">
        <v>46109</v>
      </c>
      <c r="E3403" s="25">
        <v>0.91652777777926531</v>
      </c>
      <c r="F3403" s="22" t="s">
        <v>3716</v>
      </c>
      <c r="G3403" s="22" t="s">
        <v>26</v>
      </c>
      <c r="H3403" s="22" t="s">
        <v>27</v>
      </c>
      <c r="I3403" s="22" t="s">
        <v>583</v>
      </c>
      <c r="J3403" s="26">
        <v>0.68</v>
      </c>
      <c r="K3403" s="26"/>
      <c r="L3403" s="26"/>
      <c r="M3403" s="26"/>
      <c r="N3403" s="26"/>
      <c r="O3403" s="26"/>
      <c r="P3403" s="26"/>
      <c r="Q3403" s="26"/>
      <c r="R3403" s="26"/>
      <c r="S3403" s="26"/>
    </row>
    <row r="3404" spans="1:19" ht="14.25" customHeight="1" x14ac:dyDescent="0.2">
      <c r="A3404" s="22" t="s">
        <v>24</v>
      </c>
      <c r="B3404" s="23">
        <v>46109.851226851853</v>
      </c>
      <c r="C3404" s="23">
        <v>46109.919039351851</v>
      </c>
      <c r="D3404" s="24">
        <v>46109</v>
      </c>
      <c r="E3404" s="25">
        <v>0.91903935185109731</v>
      </c>
      <c r="F3404" s="22" t="s">
        <v>3717</v>
      </c>
      <c r="G3404" s="22" t="s">
        <v>44</v>
      </c>
      <c r="H3404" s="22" t="s">
        <v>185</v>
      </c>
      <c r="I3404" s="22" t="s">
        <v>583</v>
      </c>
      <c r="J3404" s="26">
        <v>0.18</v>
      </c>
      <c r="K3404" s="26"/>
      <c r="L3404" s="26">
        <f>SUM(J3404:J3417)</f>
        <v>11.330000000000002</v>
      </c>
      <c r="M3404" s="13">
        <f>L3404*65</f>
        <v>736.45000000000016</v>
      </c>
      <c r="N3404" s="14">
        <f>MAX(500,M3404)</f>
        <v>736.45000000000016</v>
      </c>
      <c r="O3404" s="26"/>
      <c r="P3404" s="26"/>
      <c r="Q3404" s="26"/>
      <c r="R3404" s="26"/>
      <c r="S3404" s="26"/>
    </row>
    <row r="3405" spans="1:19" ht="14.25" customHeight="1" x14ac:dyDescent="0.2">
      <c r="A3405" s="1" t="s">
        <v>24</v>
      </c>
      <c r="B3405" s="7">
        <v>46109.900821759256</v>
      </c>
      <c r="C3405" s="7">
        <v>46109.922083333331</v>
      </c>
      <c r="D3405" s="8">
        <v>46109</v>
      </c>
      <c r="E3405" s="9">
        <v>0.92208333333110204</v>
      </c>
      <c r="F3405" s="10" t="s">
        <v>3718</v>
      </c>
      <c r="G3405" s="10" t="s">
        <v>21</v>
      </c>
      <c r="H3405" s="10" t="s">
        <v>41</v>
      </c>
      <c r="I3405" s="10" t="s">
        <v>23</v>
      </c>
      <c r="J3405" s="11">
        <v>1.77</v>
      </c>
      <c r="K3405" s="12"/>
      <c r="L3405" s="12"/>
      <c r="M3405" s="12"/>
      <c r="N3405" s="12"/>
      <c r="O3405" s="12"/>
      <c r="P3405" s="12"/>
      <c r="Q3405" s="12"/>
      <c r="R3405" s="12"/>
      <c r="S3405" s="12"/>
    </row>
    <row r="3406" spans="1:19" ht="14.25" customHeight="1" x14ac:dyDescent="0.2">
      <c r="A3406" s="1" t="s">
        <v>230</v>
      </c>
      <c r="B3406" s="7">
        <v>46109.916909722226</v>
      </c>
      <c r="C3406" s="7">
        <v>46109.922476851854</v>
      </c>
      <c r="D3406" s="8">
        <v>46109</v>
      </c>
      <c r="E3406" s="9">
        <v>0.92247685185429873</v>
      </c>
      <c r="F3406" s="10" t="s">
        <v>3719</v>
      </c>
      <c r="G3406" s="10" t="s">
        <v>21</v>
      </c>
      <c r="H3406" s="10" t="s">
        <v>1816</v>
      </c>
      <c r="I3406" s="10" t="s">
        <v>23</v>
      </c>
      <c r="J3406" s="11">
        <v>0.98</v>
      </c>
      <c r="K3406" s="12"/>
      <c r="L3406" s="12"/>
      <c r="M3406" s="12"/>
      <c r="N3406" s="12"/>
      <c r="O3406" s="12"/>
      <c r="P3406" s="12"/>
      <c r="Q3406" s="12"/>
      <c r="R3406" s="12"/>
      <c r="S3406" s="12"/>
    </row>
    <row r="3407" spans="1:19" ht="14.25" customHeight="1" x14ac:dyDescent="0.2">
      <c r="A3407" s="1" t="s">
        <v>24</v>
      </c>
      <c r="B3407" s="7">
        <v>46109.909571759257</v>
      </c>
      <c r="C3407" s="7">
        <v>46109.923055555555</v>
      </c>
      <c r="D3407" s="8">
        <v>46109</v>
      </c>
      <c r="E3407" s="9">
        <v>0.92305555555503815</v>
      </c>
      <c r="F3407" s="10" t="s">
        <v>3720</v>
      </c>
      <c r="G3407" s="10" t="s">
        <v>21</v>
      </c>
      <c r="H3407" s="10" t="s">
        <v>41</v>
      </c>
      <c r="I3407" s="10" t="s">
        <v>23</v>
      </c>
      <c r="J3407" s="11">
        <v>1.77</v>
      </c>
      <c r="K3407" s="12"/>
      <c r="L3407" s="12"/>
      <c r="M3407" s="12"/>
      <c r="N3407" s="12"/>
      <c r="O3407" s="12"/>
      <c r="P3407" s="12"/>
      <c r="Q3407" s="12"/>
      <c r="R3407" s="12"/>
      <c r="S3407" s="12"/>
    </row>
    <row r="3408" spans="1:19" ht="14.25" customHeight="1" x14ac:dyDescent="0.2">
      <c r="A3408" s="1" t="s">
        <v>19</v>
      </c>
      <c r="B3408" s="7">
        <v>46109.908518518518</v>
      </c>
      <c r="C3408" s="7">
        <v>46109.925763888888</v>
      </c>
      <c r="D3408" s="8">
        <v>46109</v>
      </c>
      <c r="E3408" s="9">
        <v>0.9257638888884685</v>
      </c>
      <c r="F3408" s="10" t="s">
        <v>3721</v>
      </c>
      <c r="G3408" s="10" t="s">
        <v>21</v>
      </c>
      <c r="H3408" s="10" t="s">
        <v>22</v>
      </c>
      <c r="I3408" s="10" t="s">
        <v>23</v>
      </c>
      <c r="J3408" s="11">
        <v>0.83</v>
      </c>
      <c r="K3408" s="12"/>
      <c r="L3408" s="12"/>
      <c r="M3408" s="12"/>
      <c r="N3408" s="12"/>
      <c r="O3408" s="12"/>
      <c r="P3408" s="12"/>
      <c r="Q3408" s="12"/>
      <c r="R3408" s="12"/>
      <c r="S3408" s="12"/>
    </row>
    <row r="3409" spans="1:19" ht="14.25" customHeight="1" x14ac:dyDescent="0.2">
      <c r="A3409" s="22" t="s">
        <v>33</v>
      </c>
      <c r="B3409" s="23">
        <v>46109.888923611114</v>
      </c>
      <c r="C3409" s="23">
        <v>46109.927511574075</v>
      </c>
      <c r="D3409" s="24">
        <v>46109</v>
      </c>
      <c r="E3409" s="25">
        <v>0.92751157407474238</v>
      </c>
      <c r="F3409" s="22" t="s">
        <v>3722</v>
      </c>
      <c r="G3409" s="22" t="s">
        <v>44</v>
      </c>
      <c r="H3409" s="22" t="s">
        <v>185</v>
      </c>
      <c r="I3409" s="22" t="s">
        <v>583</v>
      </c>
      <c r="J3409" s="26">
        <v>0.18</v>
      </c>
      <c r="K3409" s="26"/>
      <c r="L3409" s="26"/>
      <c r="M3409" s="26"/>
      <c r="N3409" s="26"/>
      <c r="O3409" s="26"/>
      <c r="P3409" s="26"/>
      <c r="Q3409" s="26"/>
      <c r="R3409" s="26"/>
      <c r="S3409" s="26"/>
    </row>
    <row r="3410" spans="1:19" ht="14.25" customHeight="1" x14ac:dyDescent="0.2">
      <c r="A3410" s="22" t="s">
        <v>33</v>
      </c>
      <c r="B3410" s="23">
        <v>46109.86246527778</v>
      </c>
      <c r="C3410" s="23">
        <v>46109.929571759261</v>
      </c>
      <c r="D3410" s="24">
        <v>46109</v>
      </c>
      <c r="E3410" s="25">
        <v>0.92957175926130731</v>
      </c>
      <c r="F3410" s="22" t="s">
        <v>3723</v>
      </c>
      <c r="G3410" s="22" t="s">
        <v>44</v>
      </c>
      <c r="H3410" s="22" t="s">
        <v>603</v>
      </c>
      <c r="I3410" s="22" t="s">
        <v>583</v>
      </c>
      <c r="J3410" s="26">
        <v>0.37</v>
      </c>
      <c r="K3410" s="26"/>
      <c r="L3410" s="26"/>
      <c r="M3410" s="26"/>
      <c r="N3410" s="26"/>
      <c r="O3410" s="26"/>
      <c r="P3410" s="26"/>
      <c r="Q3410" s="26"/>
      <c r="R3410" s="26"/>
      <c r="S3410" s="26"/>
    </row>
    <row r="3411" spans="1:19" ht="14.25" customHeight="1" x14ac:dyDescent="0.2">
      <c r="A3411" s="1" t="s">
        <v>42</v>
      </c>
      <c r="B3411" s="7">
        <v>46109.906157407408</v>
      </c>
      <c r="C3411" s="7">
        <v>46109.930381944447</v>
      </c>
      <c r="D3411" s="8">
        <v>46109</v>
      </c>
      <c r="E3411" s="9">
        <v>0.93038194444670808</v>
      </c>
      <c r="F3411" s="10" t="s">
        <v>3724</v>
      </c>
      <c r="G3411" s="10" t="s">
        <v>26</v>
      </c>
      <c r="H3411" s="10" t="s">
        <v>78</v>
      </c>
      <c r="I3411" s="10" t="s">
        <v>23</v>
      </c>
      <c r="J3411" s="11">
        <v>0.56999999999999995</v>
      </c>
      <c r="K3411" s="12"/>
      <c r="L3411" s="12"/>
      <c r="M3411" s="12"/>
      <c r="N3411" s="12"/>
      <c r="O3411" s="12"/>
      <c r="P3411" s="12"/>
      <c r="Q3411" s="12"/>
      <c r="R3411" s="12"/>
      <c r="S3411" s="12"/>
    </row>
    <row r="3412" spans="1:19" ht="14.25" customHeight="1" x14ac:dyDescent="0.2">
      <c r="A3412" s="1" t="s">
        <v>57</v>
      </c>
      <c r="B3412" s="7">
        <v>46109.919594907406</v>
      </c>
      <c r="C3412" s="7">
        <v>46109.933703703704</v>
      </c>
      <c r="D3412" s="8">
        <v>46109</v>
      </c>
      <c r="E3412" s="9">
        <v>0.93370370370394085</v>
      </c>
      <c r="F3412" s="10" t="s">
        <v>3725</v>
      </c>
      <c r="G3412" s="10" t="s">
        <v>21</v>
      </c>
      <c r="H3412" s="10" t="s">
        <v>3726</v>
      </c>
      <c r="I3412" s="10" t="s">
        <v>23</v>
      </c>
      <c r="J3412" s="11">
        <v>0.98</v>
      </c>
      <c r="K3412" s="12"/>
      <c r="L3412" s="12"/>
      <c r="M3412" s="12"/>
      <c r="N3412" s="12"/>
      <c r="O3412" s="12"/>
      <c r="P3412" s="12"/>
      <c r="Q3412" s="12"/>
      <c r="R3412" s="12"/>
      <c r="S3412" s="12"/>
    </row>
    <row r="3413" spans="1:19" ht="14.25" customHeight="1" x14ac:dyDescent="0.2">
      <c r="A3413" s="1" t="s">
        <v>42</v>
      </c>
      <c r="B3413" s="7">
        <v>46109.922372685185</v>
      </c>
      <c r="C3413" s="7">
        <v>46109.950636574074</v>
      </c>
      <c r="D3413" s="8">
        <v>46109</v>
      </c>
      <c r="E3413" s="9">
        <v>0.95063657407445135</v>
      </c>
      <c r="F3413" s="10" t="s">
        <v>3727</v>
      </c>
      <c r="G3413" s="10" t="s">
        <v>26</v>
      </c>
      <c r="H3413" s="10" t="s">
        <v>56</v>
      </c>
      <c r="I3413" s="10" t="s">
        <v>23</v>
      </c>
      <c r="J3413" s="11">
        <v>0.73</v>
      </c>
      <c r="K3413" s="12"/>
      <c r="L3413" s="12"/>
      <c r="M3413" s="12"/>
      <c r="N3413" s="12"/>
      <c r="O3413" s="12"/>
      <c r="P3413" s="12"/>
      <c r="Q3413" s="12"/>
      <c r="R3413" s="12"/>
      <c r="S3413" s="12"/>
    </row>
    <row r="3414" spans="1:19" ht="14.25" customHeight="1" x14ac:dyDescent="0.2">
      <c r="A3414" s="1" t="s">
        <v>57</v>
      </c>
      <c r="B3414" s="7">
        <v>46109.938043981485</v>
      </c>
      <c r="C3414" s="7">
        <v>46109.950983796298</v>
      </c>
      <c r="D3414" s="8">
        <v>46109</v>
      </c>
      <c r="E3414" s="9">
        <v>0.95098379629780538</v>
      </c>
      <c r="F3414" s="10" t="s">
        <v>3728</v>
      </c>
      <c r="G3414" s="10" t="s">
        <v>21</v>
      </c>
      <c r="H3414" s="10" t="s">
        <v>3729</v>
      </c>
      <c r="I3414" s="10" t="s">
        <v>23</v>
      </c>
      <c r="J3414" s="11">
        <v>1.96</v>
      </c>
      <c r="K3414" s="12"/>
      <c r="L3414" s="12"/>
      <c r="M3414" s="12"/>
      <c r="N3414" s="12"/>
      <c r="O3414" s="12"/>
      <c r="P3414" s="12"/>
      <c r="Q3414" s="12"/>
      <c r="R3414" s="12"/>
      <c r="S3414" s="12"/>
    </row>
    <row r="3415" spans="1:19" ht="14.25" customHeight="1" x14ac:dyDescent="0.2">
      <c r="A3415" s="1" t="s">
        <v>24</v>
      </c>
      <c r="B3415" s="7">
        <v>46109.924571759257</v>
      </c>
      <c r="C3415" s="7">
        <v>46109.955127314817</v>
      </c>
      <c r="D3415" s="8">
        <v>46109</v>
      </c>
      <c r="E3415" s="9">
        <v>0.95512731481721858</v>
      </c>
      <c r="F3415" s="10" t="s">
        <v>3730</v>
      </c>
      <c r="G3415" s="10" t="s">
        <v>26</v>
      </c>
      <c r="H3415" s="10" t="s">
        <v>1260</v>
      </c>
      <c r="I3415" s="10" t="s">
        <v>23</v>
      </c>
      <c r="J3415" s="11">
        <v>0.57999999999999996</v>
      </c>
      <c r="K3415" s="12"/>
      <c r="L3415" s="12"/>
      <c r="M3415" s="12"/>
      <c r="N3415" s="12"/>
      <c r="O3415" s="12"/>
      <c r="P3415" s="12"/>
      <c r="Q3415" s="12"/>
      <c r="R3415" s="12"/>
      <c r="S3415" s="12"/>
    </row>
    <row r="3416" spans="1:19" ht="14.25" customHeight="1" x14ac:dyDescent="0.2">
      <c r="A3416" s="22" t="s">
        <v>33</v>
      </c>
      <c r="B3416" s="23">
        <v>46109.86246527778</v>
      </c>
      <c r="C3416" s="23">
        <v>46109.956319444442</v>
      </c>
      <c r="D3416" s="24">
        <v>46109</v>
      </c>
      <c r="E3416" s="25">
        <v>0.95631944444176042</v>
      </c>
      <c r="F3416" s="22" t="s">
        <v>3731</v>
      </c>
      <c r="G3416" s="22" t="s">
        <v>44</v>
      </c>
      <c r="H3416" s="22" t="s">
        <v>3732</v>
      </c>
      <c r="I3416" s="22" t="s">
        <v>583</v>
      </c>
      <c r="J3416" s="26">
        <v>0.22</v>
      </c>
      <c r="K3416" s="26"/>
      <c r="L3416" s="26"/>
      <c r="M3416" s="26"/>
      <c r="N3416" s="26"/>
      <c r="O3416" s="26"/>
      <c r="P3416" s="26"/>
      <c r="Q3416" s="26"/>
      <c r="R3416" s="26"/>
      <c r="S3416" s="26"/>
    </row>
    <row r="3417" spans="1:19" ht="14.25" customHeight="1" x14ac:dyDescent="0.2">
      <c r="A3417" s="22" t="s">
        <v>24</v>
      </c>
      <c r="B3417" s="23">
        <v>46109.87060185185</v>
      </c>
      <c r="C3417" s="23">
        <v>46109.958171296297</v>
      </c>
      <c r="D3417" s="24">
        <v>46109</v>
      </c>
      <c r="E3417" s="25">
        <v>0.95817129629722331</v>
      </c>
      <c r="F3417" s="22" t="s">
        <v>3733</v>
      </c>
      <c r="G3417" s="22" t="s">
        <v>44</v>
      </c>
      <c r="H3417" s="22" t="s">
        <v>48</v>
      </c>
      <c r="I3417" s="22" t="s">
        <v>583</v>
      </c>
      <c r="J3417" s="26">
        <v>0.21</v>
      </c>
      <c r="K3417" s="26"/>
      <c r="L3417" s="26"/>
      <c r="M3417" s="26"/>
      <c r="N3417" s="26"/>
      <c r="O3417" s="26"/>
      <c r="P3417" s="26"/>
      <c r="Q3417" s="26"/>
      <c r="R3417" s="26"/>
      <c r="S3417" s="26"/>
    </row>
    <row r="3418" spans="1:19" ht="14.25" customHeight="1" x14ac:dyDescent="0.2">
      <c r="A3418" s="1" t="s">
        <v>33</v>
      </c>
      <c r="B3418" s="7">
        <v>46109.944432870368</v>
      </c>
      <c r="C3418" s="7">
        <v>46109.959652777776</v>
      </c>
      <c r="D3418" s="8">
        <v>46109</v>
      </c>
      <c r="E3418" s="9">
        <v>0.95965277777577285</v>
      </c>
      <c r="F3418" s="10" t="s">
        <v>3734</v>
      </c>
      <c r="G3418" s="10" t="s">
        <v>21</v>
      </c>
      <c r="H3418" s="10" t="s">
        <v>22</v>
      </c>
      <c r="I3418" s="10" t="s">
        <v>23</v>
      </c>
      <c r="J3418" s="11">
        <v>0.83</v>
      </c>
      <c r="K3418" s="12"/>
      <c r="L3418" s="12">
        <f>SUM(J3418:J3437)</f>
        <v>19.53</v>
      </c>
      <c r="M3418" s="13">
        <f>L3418*65</f>
        <v>1269.45</v>
      </c>
      <c r="N3418" s="14">
        <f>MAX(500,M3418)</f>
        <v>1269.45</v>
      </c>
      <c r="O3418" s="12"/>
      <c r="P3418" s="12"/>
      <c r="Q3418" s="12"/>
      <c r="R3418" s="12"/>
      <c r="S3418" s="12"/>
    </row>
    <row r="3419" spans="1:19" ht="14.25" customHeight="1" x14ac:dyDescent="0.2">
      <c r="A3419" s="1" t="s">
        <v>33</v>
      </c>
      <c r="B3419" s="7">
        <v>46109.944432870368</v>
      </c>
      <c r="C3419" s="7">
        <v>46109.960138888891</v>
      </c>
      <c r="D3419" s="8">
        <v>46109</v>
      </c>
      <c r="E3419" s="9">
        <v>0.96013888889137888</v>
      </c>
      <c r="F3419" s="10" t="s">
        <v>3735</v>
      </c>
      <c r="G3419" s="10" t="s">
        <v>21</v>
      </c>
      <c r="H3419" s="10" t="s">
        <v>31</v>
      </c>
      <c r="I3419" s="10" t="s">
        <v>23</v>
      </c>
      <c r="J3419" s="11">
        <v>0.98</v>
      </c>
      <c r="K3419" s="12"/>
      <c r="L3419" s="12"/>
      <c r="M3419" s="12"/>
      <c r="N3419" s="12"/>
      <c r="O3419" s="12"/>
      <c r="P3419" s="12"/>
      <c r="Q3419" s="12"/>
      <c r="R3419" s="12"/>
      <c r="S3419" s="12"/>
    </row>
    <row r="3420" spans="1:19" ht="14.25" customHeight="1" x14ac:dyDescent="0.2">
      <c r="A3420" s="1" t="s">
        <v>46</v>
      </c>
      <c r="B3420" s="7">
        <v>46109.944768518515</v>
      </c>
      <c r="C3420" s="7">
        <v>46109.963356481479</v>
      </c>
      <c r="D3420" s="8">
        <v>46109</v>
      </c>
      <c r="E3420" s="9">
        <v>0.96335648147942265</v>
      </c>
      <c r="F3420" s="10" t="s">
        <v>3736</v>
      </c>
      <c r="G3420" s="10" t="s">
        <v>21</v>
      </c>
      <c r="H3420" s="10" t="s">
        <v>620</v>
      </c>
      <c r="I3420" s="10" t="s">
        <v>23</v>
      </c>
      <c r="J3420" s="11">
        <v>1.06</v>
      </c>
      <c r="K3420" s="12"/>
      <c r="L3420" s="12"/>
      <c r="M3420" s="12"/>
      <c r="N3420" s="12"/>
      <c r="O3420" s="12"/>
      <c r="P3420" s="12"/>
      <c r="Q3420" s="12"/>
      <c r="R3420" s="12"/>
      <c r="S3420" s="12"/>
    </row>
    <row r="3421" spans="1:19" ht="14.25" customHeight="1" x14ac:dyDescent="0.2">
      <c r="A3421" s="1" t="s">
        <v>95</v>
      </c>
      <c r="B3421" s="7">
        <v>46109.962361111109</v>
      </c>
      <c r="C3421" s="7">
        <v>46109.970196759263</v>
      </c>
      <c r="D3421" s="8">
        <v>46109</v>
      </c>
      <c r="E3421" s="9">
        <v>0.9701967592627625</v>
      </c>
      <c r="F3421" s="10" t="s">
        <v>3737</v>
      </c>
      <c r="G3421" s="10" t="s">
        <v>21</v>
      </c>
      <c r="H3421" s="10" t="s">
        <v>598</v>
      </c>
      <c r="I3421" s="10" t="s">
        <v>23</v>
      </c>
      <c r="J3421" s="11">
        <v>0.98</v>
      </c>
      <c r="K3421" s="12"/>
      <c r="L3421" s="12"/>
      <c r="M3421" s="12"/>
      <c r="N3421" s="12"/>
      <c r="O3421" s="12"/>
      <c r="P3421" s="12"/>
      <c r="Q3421" s="12"/>
      <c r="R3421" s="12"/>
      <c r="S3421" s="12"/>
    </row>
    <row r="3422" spans="1:19" ht="14.25" customHeight="1" x14ac:dyDescent="0.2">
      <c r="A3422" s="22" t="s">
        <v>46</v>
      </c>
      <c r="B3422" s="23">
        <v>46109.939074074071</v>
      </c>
      <c r="C3422" s="23">
        <v>46109.972962962966</v>
      </c>
      <c r="D3422" s="24">
        <v>46109</v>
      </c>
      <c r="E3422" s="25">
        <v>0.97296296296553919</v>
      </c>
      <c r="F3422" s="22" t="s">
        <v>3738</v>
      </c>
      <c r="G3422" s="22" t="s">
        <v>21</v>
      </c>
      <c r="H3422" s="22" t="s">
        <v>598</v>
      </c>
      <c r="I3422" s="22" t="s">
        <v>583</v>
      </c>
      <c r="J3422" s="26">
        <v>0.98</v>
      </c>
      <c r="K3422" s="26"/>
      <c r="L3422" s="26"/>
      <c r="M3422" s="26"/>
      <c r="N3422" s="26"/>
      <c r="O3422" s="26"/>
      <c r="P3422" s="26"/>
      <c r="Q3422" s="26"/>
      <c r="R3422" s="26"/>
      <c r="S3422" s="26"/>
    </row>
    <row r="3423" spans="1:19" ht="14.25" customHeight="1" x14ac:dyDescent="0.2">
      <c r="A3423" s="22" t="s">
        <v>46</v>
      </c>
      <c r="B3423" s="23">
        <v>46109.941041666665</v>
      </c>
      <c r="C3423" s="23">
        <v>46109.972962962966</v>
      </c>
      <c r="D3423" s="24">
        <v>46109</v>
      </c>
      <c r="E3423" s="25">
        <v>0.97296296296553919</v>
      </c>
      <c r="F3423" s="22" t="s">
        <v>3739</v>
      </c>
      <c r="G3423" s="22" t="s">
        <v>21</v>
      </c>
      <c r="H3423" s="22" t="s">
        <v>216</v>
      </c>
      <c r="I3423" s="22" t="s">
        <v>583</v>
      </c>
      <c r="J3423" s="26">
        <v>0.98</v>
      </c>
      <c r="K3423" s="26"/>
      <c r="L3423" s="26"/>
      <c r="M3423" s="26"/>
      <c r="N3423" s="26"/>
      <c r="O3423" s="26"/>
      <c r="P3423" s="26"/>
      <c r="Q3423" s="26"/>
      <c r="R3423" s="26"/>
      <c r="S3423" s="26"/>
    </row>
    <row r="3424" spans="1:19" ht="14.25" customHeight="1" x14ac:dyDescent="0.2">
      <c r="A3424" s="1" t="s">
        <v>95</v>
      </c>
      <c r="B3424" s="7">
        <v>46109.965960648151</v>
      </c>
      <c r="C3424" s="7">
        <v>46109.975312499999</v>
      </c>
      <c r="D3424" s="8">
        <v>46109</v>
      </c>
      <c r="E3424" s="9">
        <v>0.97531249999883585</v>
      </c>
      <c r="F3424" s="10" t="s">
        <v>3740</v>
      </c>
      <c r="G3424" s="10" t="s">
        <v>21</v>
      </c>
      <c r="H3424" s="10" t="s">
        <v>216</v>
      </c>
      <c r="I3424" s="10" t="s">
        <v>23</v>
      </c>
      <c r="J3424" s="11">
        <v>0.98</v>
      </c>
      <c r="K3424" s="12"/>
      <c r="L3424" s="12"/>
      <c r="M3424" s="12"/>
      <c r="N3424" s="12"/>
      <c r="O3424" s="12"/>
      <c r="P3424" s="12"/>
      <c r="Q3424" s="12"/>
      <c r="R3424" s="12"/>
      <c r="S3424" s="12"/>
    </row>
    <row r="3425" spans="1:19" ht="14.25" customHeight="1" x14ac:dyDescent="0.2">
      <c r="A3425" s="1" t="s">
        <v>95</v>
      </c>
      <c r="B3425" s="7">
        <v>46109.95952546296</v>
      </c>
      <c r="C3425" s="7">
        <v>46109.975821759261</v>
      </c>
      <c r="D3425" s="8">
        <v>46109</v>
      </c>
      <c r="E3425" s="9">
        <v>0.97582175926072523</v>
      </c>
      <c r="F3425" s="10" t="s">
        <v>3741</v>
      </c>
      <c r="G3425" s="10" t="s">
        <v>26</v>
      </c>
      <c r="H3425" s="10" t="s">
        <v>1050</v>
      </c>
      <c r="I3425" s="10" t="s">
        <v>23</v>
      </c>
      <c r="J3425" s="11">
        <v>0.5</v>
      </c>
      <c r="K3425" s="12"/>
      <c r="L3425" s="12"/>
      <c r="M3425" s="12"/>
      <c r="N3425" s="12"/>
      <c r="O3425" s="12"/>
      <c r="P3425" s="12"/>
      <c r="Q3425" s="12"/>
      <c r="R3425" s="12"/>
      <c r="S3425" s="12"/>
    </row>
    <row r="3426" spans="1:19" ht="14.25" customHeight="1" x14ac:dyDescent="0.2">
      <c r="A3426" s="1" t="s">
        <v>95</v>
      </c>
      <c r="B3426" s="7">
        <v>46109.969178240739</v>
      </c>
      <c r="C3426" s="7">
        <v>46109.979398148149</v>
      </c>
      <c r="D3426" s="8">
        <v>46109</v>
      </c>
      <c r="E3426" s="9">
        <v>0.97939814814890269</v>
      </c>
      <c r="F3426" s="10" t="s">
        <v>3742</v>
      </c>
      <c r="G3426" s="10" t="s">
        <v>21</v>
      </c>
      <c r="H3426" s="10" t="s">
        <v>551</v>
      </c>
      <c r="I3426" s="10" t="s">
        <v>23</v>
      </c>
      <c r="J3426" s="11">
        <v>1.06</v>
      </c>
      <c r="K3426" s="12"/>
      <c r="L3426" s="12"/>
      <c r="M3426" s="12"/>
      <c r="N3426" s="12"/>
      <c r="O3426" s="12"/>
      <c r="P3426" s="12"/>
      <c r="Q3426" s="12"/>
      <c r="R3426" s="12"/>
      <c r="S3426" s="12"/>
    </row>
    <row r="3427" spans="1:19" ht="14.25" customHeight="1" x14ac:dyDescent="0.2">
      <c r="A3427" s="22" t="s">
        <v>24</v>
      </c>
      <c r="B3427" s="23">
        <v>46109.958379629628</v>
      </c>
      <c r="C3427" s="23">
        <v>46109.983611111114</v>
      </c>
      <c r="D3427" s="24">
        <v>46109</v>
      </c>
      <c r="E3427" s="25">
        <v>0.98361111111444188</v>
      </c>
      <c r="F3427" s="22" t="s">
        <v>3743</v>
      </c>
      <c r="G3427" s="22" t="s">
        <v>21</v>
      </c>
      <c r="H3427" s="22" t="s">
        <v>41</v>
      </c>
      <c r="I3427" s="22" t="s">
        <v>583</v>
      </c>
      <c r="J3427" s="26">
        <v>1.77</v>
      </c>
      <c r="K3427" s="26"/>
      <c r="L3427" s="26"/>
      <c r="M3427" s="26"/>
      <c r="N3427" s="26"/>
      <c r="O3427" s="26"/>
      <c r="P3427" s="26"/>
      <c r="Q3427" s="26"/>
      <c r="R3427" s="26"/>
      <c r="S3427" s="26"/>
    </row>
    <row r="3428" spans="1:19" ht="14.25" customHeight="1" x14ac:dyDescent="0.2">
      <c r="A3428" s="1" t="s">
        <v>24</v>
      </c>
      <c r="B3428" s="7">
        <v>46109.967291666668</v>
      </c>
      <c r="C3428" s="7">
        <v>46109.983773148146</v>
      </c>
      <c r="D3428" s="8">
        <v>46109</v>
      </c>
      <c r="E3428" s="9">
        <v>0.98377314814570127</v>
      </c>
      <c r="F3428" s="10" t="s">
        <v>3744</v>
      </c>
      <c r="G3428" s="10" t="s">
        <v>21</v>
      </c>
      <c r="H3428" s="10" t="s">
        <v>22</v>
      </c>
      <c r="I3428" s="10" t="s">
        <v>23</v>
      </c>
      <c r="J3428" s="11">
        <v>0.83</v>
      </c>
      <c r="K3428" s="12"/>
      <c r="L3428" s="12"/>
      <c r="M3428" s="12"/>
      <c r="N3428" s="12"/>
      <c r="O3428" s="12"/>
      <c r="P3428" s="12"/>
      <c r="Q3428" s="12"/>
      <c r="R3428" s="12"/>
      <c r="S3428" s="12"/>
    </row>
    <row r="3429" spans="1:19" ht="14.25" customHeight="1" x14ac:dyDescent="0.2">
      <c r="A3429" s="1" t="s">
        <v>57</v>
      </c>
      <c r="B3429" s="7">
        <v>46109.979166666664</v>
      </c>
      <c r="C3429" s="7">
        <v>46109.987800925926</v>
      </c>
      <c r="D3429" s="8">
        <v>46109</v>
      </c>
      <c r="E3429" s="9">
        <v>0.98780092592642177</v>
      </c>
      <c r="F3429" s="10" t="s">
        <v>3745</v>
      </c>
      <c r="G3429" s="10" t="s">
        <v>21</v>
      </c>
      <c r="H3429" s="10" t="s">
        <v>687</v>
      </c>
      <c r="I3429" s="10" t="s">
        <v>23</v>
      </c>
      <c r="J3429" s="11">
        <v>1.7</v>
      </c>
      <c r="K3429" s="12"/>
      <c r="L3429" s="12"/>
      <c r="M3429" s="12"/>
      <c r="N3429" s="12"/>
      <c r="O3429" s="12"/>
      <c r="P3429" s="12"/>
      <c r="Q3429" s="12"/>
      <c r="R3429" s="12"/>
      <c r="S3429" s="12"/>
    </row>
    <row r="3430" spans="1:19" ht="14.25" customHeight="1" x14ac:dyDescent="0.2">
      <c r="A3430" s="1" t="s">
        <v>46</v>
      </c>
      <c r="B3430" s="7">
        <v>46109.971817129626</v>
      </c>
      <c r="C3430" s="7">
        <v>46109.988043981481</v>
      </c>
      <c r="D3430" s="8">
        <v>46109</v>
      </c>
      <c r="E3430" s="9">
        <v>0.98804398148058681</v>
      </c>
      <c r="F3430" s="10" t="s">
        <v>3746</v>
      </c>
      <c r="G3430" s="10" t="s">
        <v>21</v>
      </c>
      <c r="H3430" s="10" t="s">
        <v>1116</v>
      </c>
      <c r="I3430" s="10" t="s">
        <v>23</v>
      </c>
      <c r="J3430" s="11">
        <v>0.83</v>
      </c>
      <c r="K3430" s="12"/>
      <c r="L3430" s="12"/>
      <c r="M3430" s="12"/>
      <c r="N3430" s="12"/>
      <c r="O3430" s="12"/>
      <c r="P3430" s="12"/>
      <c r="Q3430" s="12"/>
      <c r="R3430" s="12"/>
      <c r="S3430" s="12"/>
    </row>
    <row r="3431" spans="1:19" ht="14.25" customHeight="1" x14ac:dyDescent="0.2">
      <c r="A3431" s="22" t="s">
        <v>24</v>
      </c>
      <c r="B3431" s="23">
        <v>46109.967291666668</v>
      </c>
      <c r="C3431" s="23">
        <v>46109.989363425928</v>
      </c>
      <c r="D3431" s="24">
        <v>46109</v>
      </c>
      <c r="E3431" s="25">
        <v>0.98936342592787696</v>
      </c>
      <c r="F3431" s="22" t="s">
        <v>3747</v>
      </c>
      <c r="G3431" s="22" t="s">
        <v>21</v>
      </c>
      <c r="H3431" s="22" t="s">
        <v>52</v>
      </c>
      <c r="I3431" s="22" t="s">
        <v>583</v>
      </c>
      <c r="J3431" s="26">
        <v>0.98</v>
      </c>
      <c r="K3431" s="26"/>
      <c r="L3431" s="26"/>
      <c r="M3431" s="26"/>
      <c r="N3431" s="26"/>
      <c r="O3431" s="26"/>
      <c r="P3431" s="26"/>
      <c r="Q3431" s="26"/>
      <c r="R3431" s="26"/>
      <c r="S3431" s="26"/>
    </row>
    <row r="3432" spans="1:19" ht="14.25" customHeight="1" x14ac:dyDescent="0.2">
      <c r="A3432" s="1" t="s">
        <v>24</v>
      </c>
      <c r="B3432" s="7">
        <v>46109.856932870367</v>
      </c>
      <c r="C3432" s="7">
        <v>46109.991944444446</v>
      </c>
      <c r="D3432" s="8">
        <v>46109</v>
      </c>
      <c r="E3432" s="9">
        <v>0.99194444444583496</v>
      </c>
      <c r="F3432" s="10" t="s">
        <v>3748</v>
      </c>
      <c r="G3432" s="10" t="s">
        <v>26</v>
      </c>
      <c r="H3432" s="10" t="s">
        <v>1367</v>
      </c>
      <c r="I3432" s="10" t="s">
        <v>23</v>
      </c>
      <c r="J3432" s="11">
        <v>0.49</v>
      </c>
      <c r="K3432" s="12"/>
      <c r="L3432" s="12"/>
      <c r="M3432" s="12"/>
      <c r="N3432" s="12"/>
      <c r="O3432" s="12"/>
      <c r="P3432" s="12"/>
      <c r="Q3432" s="12"/>
      <c r="R3432" s="12"/>
      <c r="S3432" s="12"/>
    </row>
    <row r="3433" spans="1:19" ht="14.25" customHeight="1" x14ac:dyDescent="0.2">
      <c r="A3433" s="1" t="s">
        <v>95</v>
      </c>
      <c r="B3433" s="7">
        <v>46109.974745370368</v>
      </c>
      <c r="C3433" s="7">
        <v>46109.99255787037</v>
      </c>
      <c r="D3433" s="8">
        <v>46109</v>
      </c>
      <c r="E3433" s="9">
        <v>0.99255787036963739</v>
      </c>
      <c r="F3433" s="10" t="s">
        <v>3749</v>
      </c>
      <c r="G3433" s="10" t="s">
        <v>180</v>
      </c>
      <c r="H3433" s="10" t="s">
        <v>1182</v>
      </c>
      <c r="I3433" s="10" t="s">
        <v>23</v>
      </c>
      <c r="J3433" s="11">
        <v>1.44</v>
      </c>
      <c r="K3433" s="12"/>
      <c r="L3433" s="12"/>
      <c r="M3433" s="12"/>
      <c r="N3433" s="12"/>
      <c r="O3433" s="12"/>
      <c r="P3433" s="12"/>
      <c r="Q3433" s="12"/>
      <c r="R3433" s="12"/>
      <c r="S3433" s="12"/>
    </row>
    <row r="3434" spans="1:19" ht="14.25" customHeight="1" x14ac:dyDescent="0.2">
      <c r="A3434" s="22" t="s">
        <v>24</v>
      </c>
      <c r="B3434" s="23">
        <v>46109.912129629629</v>
      </c>
      <c r="C3434" s="23">
        <v>46109.992777777778</v>
      </c>
      <c r="D3434" s="24">
        <v>46109</v>
      </c>
      <c r="E3434" s="25">
        <v>0.99277777777751908</v>
      </c>
      <c r="F3434" s="22" t="s">
        <v>3750</v>
      </c>
      <c r="G3434" s="22" t="s">
        <v>44</v>
      </c>
      <c r="H3434" s="22" t="s">
        <v>185</v>
      </c>
      <c r="I3434" s="22" t="s">
        <v>583</v>
      </c>
      <c r="J3434" s="26">
        <v>0.18</v>
      </c>
      <c r="K3434" s="26"/>
      <c r="L3434" s="26"/>
      <c r="M3434" s="26"/>
      <c r="N3434" s="26"/>
      <c r="O3434" s="26"/>
      <c r="P3434" s="26"/>
      <c r="Q3434" s="26"/>
      <c r="R3434" s="26"/>
      <c r="S3434" s="26"/>
    </row>
    <row r="3435" spans="1:19" ht="14.25" customHeight="1" x14ac:dyDescent="0.2">
      <c r="A3435" s="1" t="s">
        <v>95</v>
      </c>
      <c r="B3435" s="7">
        <v>46109.961076388892</v>
      </c>
      <c r="C3435" s="7">
        <v>46109.993113425924</v>
      </c>
      <c r="D3435" s="8">
        <v>46109</v>
      </c>
      <c r="E3435" s="9">
        <v>0.99311342592409346</v>
      </c>
      <c r="F3435" s="10" t="s">
        <v>3751</v>
      </c>
      <c r="G3435" s="10" t="s">
        <v>21</v>
      </c>
      <c r="H3435" s="10" t="s">
        <v>97</v>
      </c>
      <c r="I3435" s="10" t="s">
        <v>23</v>
      </c>
      <c r="J3435" s="11">
        <v>1.77</v>
      </c>
      <c r="K3435" s="12"/>
      <c r="L3435" s="12"/>
      <c r="M3435" s="12"/>
      <c r="N3435" s="12"/>
      <c r="O3435" s="12"/>
      <c r="P3435" s="12"/>
      <c r="Q3435" s="12"/>
      <c r="R3435" s="12"/>
      <c r="S3435" s="12"/>
    </row>
    <row r="3436" spans="1:19" ht="14.25" customHeight="1" x14ac:dyDescent="0.2">
      <c r="A3436" s="22" t="s">
        <v>33</v>
      </c>
      <c r="B3436" s="23">
        <v>46109.936585648145</v>
      </c>
      <c r="C3436" s="23">
        <v>46109.995775462965</v>
      </c>
      <c r="D3436" s="24">
        <v>46109</v>
      </c>
      <c r="E3436" s="25">
        <v>0.99577546296495711</v>
      </c>
      <c r="F3436" s="22" t="s">
        <v>3752</v>
      </c>
      <c r="G3436" s="22" t="s">
        <v>44</v>
      </c>
      <c r="H3436" s="22" t="s">
        <v>48</v>
      </c>
      <c r="I3436" s="22" t="s">
        <v>583</v>
      </c>
      <c r="J3436" s="26">
        <v>0.21</v>
      </c>
      <c r="K3436" s="26"/>
      <c r="L3436" s="26"/>
      <c r="M3436" s="26"/>
      <c r="N3436" s="26"/>
      <c r="O3436" s="26"/>
      <c r="P3436" s="26"/>
      <c r="Q3436" s="26"/>
      <c r="R3436" s="26"/>
      <c r="S3436" s="26"/>
    </row>
    <row r="3437" spans="1:19" ht="14.25" customHeight="1" x14ac:dyDescent="0.2">
      <c r="A3437" s="1" t="s">
        <v>28</v>
      </c>
      <c r="B3437" s="7">
        <v>46109.966979166667</v>
      </c>
      <c r="C3437" s="7">
        <v>46109.999976851854</v>
      </c>
      <c r="D3437" s="8">
        <v>46109</v>
      </c>
      <c r="E3437" s="9">
        <v>0.99997685185371665</v>
      </c>
      <c r="F3437" s="10" t="s">
        <v>3753</v>
      </c>
      <c r="G3437" s="10" t="s">
        <v>21</v>
      </c>
      <c r="H3437" s="10" t="s">
        <v>1696</v>
      </c>
      <c r="I3437" s="10" t="s">
        <v>23</v>
      </c>
      <c r="J3437" s="11">
        <v>0.98</v>
      </c>
      <c r="K3437" s="12"/>
      <c r="L3437" s="12"/>
      <c r="M3437" s="12"/>
      <c r="N3437" s="12"/>
      <c r="O3437" s="12"/>
      <c r="P3437" s="12"/>
      <c r="Q3437" s="12"/>
      <c r="R3437" s="12"/>
      <c r="S3437" s="12"/>
    </row>
    <row r="3438" spans="1:19" ht="14.25" customHeight="1" x14ac:dyDescent="0.2">
      <c r="A3438" s="1" t="s">
        <v>95</v>
      </c>
      <c r="B3438" s="7">
        <v>46110.00072916667</v>
      </c>
      <c r="C3438" s="7">
        <v>46110.000694444447</v>
      </c>
      <c r="D3438" s="8">
        <v>46110</v>
      </c>
      <c r="E3438" s="9">
        <v>6.944444467080757E-4</v>
      </c>
      <c r="F3438" s="10" t="s">
        <v>3754</v>
      </c>
      <c r="G3438" s="10" t="s">
        <v>21</v>
      </c>
      <c r="H3438" s="10" t="s">
        <v>108</v>
      </c>
      <c r="I3438" s="10" t="s">
        <v>23</v>
      </c>
      <c r="J3438" s="11">
        <v>1.7</v>
      </c>
      <c r="K3438" s="12"/>
      <c r="L3438" s="12">
        <f>SUM(J3438:J3458)</f>
        <v>22.119999999999997</v>
      </c>
      <c r="M3438" s="13">
        <f>L3438*65</f>
        <v>1437.7999999999997</v>
      </c>
      <c r="N3438" s="14">
        <f>MAX(500,M3438)</f>
        <v>1437.7999999999997</v>
      </c>
      <c r="O3438" s="12"/>
      <c r="P3438" s="12"/>
      <c r="Q3438" s="12"/>
      <c r="R3438" s="12"/>
      <c r="S3438" s="12"/>
    </row>
    <row r="3439" spans="1:19" ht="14.25" customHeight="1" x14ac:dyDescent="0.2">
      <c r="A3439" s="1" t="s">
        <v>24</v>
      </c>
      <c r="B3439" s="7">
        <v>46109.976134259261</v>
      </c>
      <c r="C3439" s="7">
        <v>46110.001331018517</v>
      </c>
      <c r="D3439" s="8">
        <v>46110</v>
      </c>
      <c r="E3439" s="9">
        <v>1.3310185167938471E-3</v>
      </c>
      <c r="F3439" s="10" t="s">
        <v>3755</v>
      </c>
      <c r="G3439" s="10" t="s">
        <v>21</v>
      </c>
      <c r="H3439" s="10" t="s">
        <v>22</v>
      </c>
      <c r="I3439" s="10" t="s">
        <v>23</v>
      </c>
      <c r="J3439" s="11">
        <v>0.83</v>
      </c>
      <c r="K3439" s="12"/>
      <c r="L3439" s="12"/>
      <c r="M3439" s="12"/>
      <c r="N3439" s="12"/>
      <c r="O3439" s="12"/>
      <c r="P3439" s="12"/>
      <c r="Q3439" s="12"/>
      <c r="R3439" s="12"/>
      <c r="S3439" s="12"/>
    </row>
    <row r="3440" spans="1:19" ht="14.25" customHeight="1" x14ac:dyDescent="0.2">
      <c r="A3440" s="22" t="s">
        <v>95</v>
      </c>
      <c r="B3440" s="23">
        <v>46109.958819444444</v>
      </c>
      <c r="C3440" s="23">
        <v>46110.005787037036</v>
      </c>
      <c r="D3440" s="24">
        <v>46110</v>
      </c>
      <c r="E3440" s="25">
        <v>5.7870370364980772E-3</v>
      </c>
      <c r="F3440" s="22" t="s">
        <v>3756</v>
      </c>
      <c r="G3440" s="22" t="s">
        <v>21</v>
      </c>
      <c r="H3440" s="22" t="s">
        <v>154</v>
      </c>
      <c r="I3440" s="22" t="s">
        <v>583</v>
      </c>
      <c r="J3440" s="26">
        <v>1.77</v>
      </c>
      <c r="K3440" s="26"/>
      <c r="L3440" s="26"/>
      <c r="M3440" s="26"/>
      <c r="N3440" s="26"/>
      <c r="O3440" s="26"/>
      <c r="P3440" s="26"/>
      <c r="Q3440" s="26"/>
      <c r="R3440" s="26"/>
      <c r="S3440" s="26"/>
    </row>
    <row r="3441" spans="1:19" ht="14.25" customHeight="1" x14ac:dyDescent="0.2">
      <c r="A3441" s="22" t="s">
        <v>24</v>
      </c>
      <c r="B3441" s="23">
        <v>46109.987812500003</v>
      </c>
      <c r="C3441" s="23">
        <v>46110.0075462963</v>
      </c>
      <c r="D3441" s="24">
        <v>46110</v>
      </c>
      <c r="E3441" s="25">
        <v>7.5462962995516136E-3</v>
      </c>
      <c r="F3441" s="22" t="s">
        <v>3757</v>
      </c>
      <c r="G3441" s="22" t="s">
        <v>44</v>
      </c>
      <c r="H3441" s="22" t="s">
        <v>185</v>
      </c>
      <c r="I3441" s="22" t="s">
        <v>583</v>
      </c>
      <c r="J3441" s="26">
        <v>0.18</v>
      </c>
      <c r="K3441" s="26"/>
      <c r="L3441" s="26"/>
      <c r="M3441" s="26"/>
      <c r="N3441" s="26"/>
      <c r="O3441" s="26"/>
      <c r="P3441" s="26"/>
      <c r="Q3441" s="26"/>
      <c r="R3441" s="26"/>
      <c r="S3441" s="26"/>
    </row>
    <row r="3442" spans="1:19" ht="14.25" customHeight="1" x14ac:dyDescent="0.2">
      <c r="A3442" s="22" t="s">
        <v>46</v>
      </c>
      <c r="B3442" s="23">
        <v>46109.966898148145</v>
      </c>
      <c r="C3442" s="23">
        <v>46110.00886574074</v>
      </c>
      <c r="D3442" s="24">
        <v>46110</v>
      </c>
      <c r="E3442" s="25">
        <v>8.8657407395658083E-3</v>
      </c>
      <c r="F3442" s="22" t="s">
        <v>3758</v>
      </c>
      <c r="G3442" s="22" t="s">
        <v>44</v>
      </c>
      <c r="H3442" s="22" t="s">
        <v>185</v>
      </c>
      <c r="I3442" s="22" t="s">
        <v>583</v>
      </c>
      <c r="J3442" s="26">
        <v>0.18</v>
      </c>
      <c r="K3442" s="26"/>
      <c r="L3442" s="26"/>
      <c r="M3442" s="26"/>
      <c r="N3442" s="26"/>
      <c r="O3442" s="26"/>
      <c r="P3442" s="26"/>
      <c r="Q3442" s="26"/>
      <c r="R3442" s="26"/>
      <c r="S3442" s="26"/>
    </row>
    <row r="3443" spans="1:19" ht="14.25" customHeight="1" x14ac:dyDescent="0.2">
      <c r="A3443" s="1" t="s">
        <v>24</v>
      </c>
      <c r="B3443" s="7">
        <v>46109.984525462962</v>
      </c>
      <c r="C3443" s="7">
        <v>46110.013958333337</v>
      </c>
      <c r="D3443" s="8">
        <v>46110</v>
      </c>
      <c r="E3443" s="9">
        <v>1.3958333336631767E-2</v>
      </c>
      <c r="F3443" s="10" t="s">
        <v>3759</v>
      </c>
      <c r="G3443" s="10" t="s">
        <v>21</v>
      </c>
      <c r="H3443" s="10" t="s">
        <v>1709</v>
      </c>
      <c r="I3443" s="10" t="s">
        <v>23</v>
      </c>
      <c r="J3443" s="11">
        <v>1.77</v>
      </c>
      <c r="K3443" s="12"/>
      <c r="L3443" s="12"/>
      <c r="M3443" s="12"/>
      <c r="N3443" s="12"/>
      <c r="O3443" s="12"/>
      <c r="P3443" s="12"/>
      <c r="Q3443" s="12"/>
      <c r="R3443" s="12"/>
      <c r="S3443" s="12"/>
    </row>
    <row r="3444" spans="1:19" ht="14.25" customHeight="1" x14ac:dyDescent="0.2">
      <c r="A3444" s="1" t="s">
        <v>95</v>
      </c>
      <c r="B3444" s="7">
        <v>46109.995787037034</v>
      </c>
      <c r="C3444" s="7">
        <v>46110.014097222222</v>
      </c>
      <c r="D3444" s="8">
        <v>46110</v>
      </c>
      <c r="E3444" s="9">
        <v>1.4097222221607808E-2</v>
      </c>
      <c r="F3444" s="10" t="s">
        <v>3760</v>
      </c>
      <c r="G3444" s="10" t="s">
        <v>21</v>
      </c>
      <c r="H3444" s="10" t="s">
        <v>110</v>
      </c>
      <c r="I3444" s="10" t="s">
        <v>23</v>
      </c>
      <c r="J3444" s="11">
        <v>0.83</v>
      </c>
      <c r="K3444" s="12"/>
      <c r="L3444" s="12"/>
      <c r="M3444" s="12"/>
      <c r="N3444" s="12"/>
      <c r="O3444" s="12"/>
      <c r="P3444" s="12"/>
      <c r="Q3444" s="12"/>
      <c r="R3444" s="12"/>
      <c r="S3444" s="12"/>
    </row>
    <row r="3445" spans="1:19" ht="14.25" customHeight="1" x14ac:dyDescent="0.2">
      <c r="A3445" s="1" t="s">
        <v>95</v>
      </c>
      <c r="B3445" s="7">
        <v>46109.979513888888</v>
      </c>
      <c r="C3445" s="7">
        <v>46110.015428240738</v>
      </c>
      <c r="D3445" s="8">
        <v>46110</v>
      </c>
      <c r="E3445" s="9">
        <v>1.5428240738401655E-2</v>
      </c>
      <c r="F3445" s="10" t="s">
        <v>3761</v>
      </c>
      <c r="G3445" s="10" t="s">
        <v>21</v>
      </c>
      <c r="H3445" s="10" t="s">
        <v>551</v>
      </c>
      <c r="I3445" s="10" t="s">
        <v>23</v>
      </c>
      <c r="J3445" s="11">
        <v>1.06</v>
      </c>
      <c r="K3445" s="12"/>
      <c r="L3445" s="12"/>
      <c r="M3445" s="12"/>
      <c r="N3445" s="12"/>
      <c r="O3445" s="12"/>
      <c r="P3445" s="12"/>
      <c r="Q3445" s="12"/>
      <c r="R3445" s="12"/>
      <c r="S3445" s="12"/>
    </row>
    <row r="3446" spans="1:19" ht="14.25" customHeight="1" x14ac:dyDescent="0.2">
      <c r="A3446" s="22" t="s">
        <v>24</v>
      </c>
      <c r="B3446" s="23">
        <v>46109.988506944443</v>
      </c>
      <c r="C3446" s="23">
        <v>46110.016053240739</v>
      </c>
      <c r="D3446" s="24">
        <v>46110</v>
      </c>
      <c r="E3446" s="25">
        <v>1.6053240738983732E-2</v>
      </c>
      <c r="F3446" s="22" t="s">
        <v>3762</v>
      </c>
      <c r="G3446" s="22" t="s">
        <v>21</v>
      </c>
      <c r="H3446" s="22" t="s">
        <v>22</v>
      </c>
      <c r="I3446" s="22" t="s">
        <v>583</v>
      </c>
      <c r="J3446" s="26">
        <v>0.83</v>
      </c>
      <c r="K3446" s="26"/>
      <c r="L3446" s="26"/>
      <c r="M3446" s="26"/>
      <c r="N3446" s="26"/>
      <c r="O3446" s="26"/>
      <c r="P3446" s="26"/>
      <c r="Q3446" s="26"/>
      <c r="R3446" s="26"/>
      <c r="S3446" s="26"/>
    </row>
    <row r="3447" spans="1:19" ht="14.25" customHeight="1" x14ac:dyDescent="0.2">
      <c r="A3447" s="1" t="s">
        <v>19</v>
      </c>
      <c r="B3447" s="7">
        <v>46109.921006944445</v>
      </c>
      <c r="C3447" s="7">
        <v>46110.023321759261</v>
      </c>
      <c r="D3447" s="8">
        <v>46110</v>
      </c>
      <c r="E3447" s="9">
        <v>2.3321759261307307E-2</v>
      </c>
      <c r="F3447" s="10" t="s">
        <v>3763</v>
      </c>
      <c r="G3447" s="10" t="s">
        <v>21</v>
      </c>
      <c r="H3447" s="10" t="s">
        <v>54</v>
      </c>
      <c r="I3447" s="10" t="s">
        <v>23</v>
      </c>
      <c r="J3447" s="11">
        <v>0.83</v>
      </c>
      <c r="K3447" s="12"/>
      <c r="L3447" s="12"/>
      <c r="M3447" s="12"/>
      <c r="N3447" s="12"/>
      <c r="O3447" s="12"/>
      <c r="P3447" s="12"/>
      <c r="Q3447" s="12"/>
      <c r="R3447" s="12"/>
      <c r="S3447" s="12"/>
    </row>
    <row r="3448" spans="1:19" ht="14.25" customHeight="1" x14ac:dyDescent="0.2">
      <c r="A3448" s="1" t="s">
        <v>19</v>
      </c>
      <c r="B3448" s="7">
        <v>46109.926423611112</v>
      </c>
      <c r="C3448" s="7">
        <v>46110.024293981478</v>
      </c>
      <c r="D3448" s="8">
        <v>46110</v>
      </c>
      <c r="E3448" s="9">
        <v>2.4293981477967463E-2</v>
      </c>
      <c r="F3448" s="10" t="s">
        <v>3764</v>
      </c>
      <c r="G3448" s="10" t="s">
        <v>21</v>
      </c>
      <c r="H3448" s="10" t="s">
        <v>35</v>
      </c>
      <c r="I3448" s="10" t="s">
        <v>23</v>
      </c>
      <c r="J3448" s="11">
        <v>2.5</v>
      </c>
      <c r="K3448" s="12"/>
      <c r="L3448" s="12"/>
      <c r="M3448" s="12"/>
      <c r="N3448" s="12"/>
      <c r="O3448" s="12"/>
      <c r="P3448" s="12"/>
      <c r="Q3448" s="12"/>
      <c r="R3448" s="12"/>
      <c r="S3448" s="12"/>
    </row>
    <row r="3449" spans="1:19" ht="14.25" customHeight="1" x14ac:dyDescent="0.2">
      <c r="A3449" s="1" t="s">
        <v>95</v>
      </c>
      <c r="B3449" s="7">
        <v>46110.004861111112</v>
      </c>
      <c r="C3449" s="7">
        <v>46110.024768518517</v>
      </c>
      <c r="D3449" s="8">
        <v>46110</v>
      </c>
      <c r="E3449" s="9">
        <v>2.4768518516793847E-2</v>
      </c>
      <c r="F3449" s="10" t="s">
        <v>3765</v>
      </c>
      <c r="G3449" s="10" t="s">
        <v>21</v>
      </c>
      <c r="H3449" s="10" t="s">
        <v>110</v>
      </c>
      <c r="I3449" s="10" t="s">
        <v>23</v>
      </c>
      <c r="J3449" s="11">
        <v>0.83</v>
      </c>
      <c r="K3449" s="12"/>
      <c r="L3449" s="12"/>
      <c r="M3449" s="12"/>
      <c r="N3449" s="12"/>
      <c r="O3449" s="12"/>
      <c r="P3449" s="12"/>
      <c r="Q3449" s="12"/>
      <c r="R3449" s="12"/>
      <c r="S3449" s="12"/>
    </row>
    <row r="3450" spans="1:19" ht="14.25" customHeight="1" x14ac:dyDescent="0.2">
      <c r="A3450" s="1" t="s">
        <v>19</v>
      </c>
      <c r="B3450" s="7">
        <v>46109.987233796295</v>
      </c>
      <c r="C3450" s="7">
        <v>46110.025150462963</v>
      </c>
      <c r="D3450" s="8">
        <v>46110</v>
      </c>
      <c r="E3450" s="9">
        <v>2.5150462963210884E-2</v>
      </c>
      <c r="F3450" s="10" t="s">
        <v>3766</v>
      </c>
      <c r="G3450" s="10" t="s">
        <v>21</v>
      </c>
      <c r="H3450" s="10" t="s">
        <v>216</v>
      </c>
      <c r="I3450" s="10" t="s">
        <v>23</v>
      </c>
      <c r="J3450" s="11">
        <v>0.98</v>
      </c>
      <c r="K3450" s="12"/>
      <c r="L3450" s="12"/>
      <c r="M3450" s="12"/>
      <c r="N3450" s="12"/>
      <c r="O3450" s="12"/>
      <c r="P3450" s="12"/>
      <c r="Q3450" s="12"/>
      <c r="R3450" s="12"/>
      <c r="S3450" s="12"/>
    </row>
    <row r="3451" spans="1:19" ht="14.25" customHeight="1" x14ac:dyDescent="0.2">
      <c r="A3451" s="22" t="s">
        <v>57</v>
      </c>
      <c r="B3451" s="23">
        <v>46110.001909722225</v>
      </c>
      <c r="C3451" s="23">
        <v>46110.025590277779</v>
      </c>
      <c r="D3451" s="24">
        <v>46110</v>
      </c>
      <c r="E3451" s="25">
        <v>2.5590277778974269E-2</v>
      </c>
      <c r="F3451" s="22" t="s">
        <v>3767</v>
      </c>
      <c r="G3451" s="22" t="s">
        <v>21</v>
      </c>
      <c r="H3451" s="22" t="s">
        <v>656</v>
      </c>
      <c r="I3451" s="22" t="s">
        <v>583</v>
      </c>
      <c r="J3451" s="26">
        <v>1.7</v>
      </c>
      <c r="K3451" s="26"/>
      <c r="L3451" s="26"/>
      <c r="M3451" s="26"/>
      <c r="N3451" s="26"/>
      <c r="O3451" s="26"/>
      <c r="P3451" s="26"/>
      <c r="Q3451" s="26"/>
      <c r="R3451" s="26"/>
      <c r="S3451" s="26"/>
    </row>
    <row r="3452" spans="1:19" ht="14.25" customHeight="1" x14ac:dyDescent="0.2">
      <c r="A3452" s="22" t="s">
        <v>19</v>
      </c>
      <c r="B3452" s="23">
        <v>46109.896481481483</v>
      </c>
      <c r="C3452" s="23">
        <v>46110.026979166665</v>
      </c>
      <c r="D3452" s="24">
        <v>46110</v>
      </c>
      <c r="E3452" s="25">
        <v>2.6979166665114462E-2</v>
      </c>
      <c r="F3452" s="22" t="s">
        <v>3768</v>
      </c>
      <c r="G3452" s="22" t="s">
        <v>44</v>
      </c>
      <c r="H3452" s="22" t="s">
        <v>1522</v>
      </c>
      <c r="I3452" s="22" t="s">
        <v>583</v>
      </c>
      <c r="J3452" s="26">
        <v>0.18</v>
      </c>
      <c r="K3452" s="26"/>
      <c r="L3452" s="26"/>
      <c r="M3452" s="26"/>
      <c r="N3452" s="26"/>
      <c r="O3452" s="26"/>
      <c r="P3452" s="26"/>
      <c r="Q3452" s="26"/>
      <c r="R3452" s="26"/>
      <c r="S3452" s="26"/>
    </row>
    <row r="3453" spans="1:19" ht="14.25" customHeight="1" x14ac:dyDescent="0.2">
      <c r="A3453" s="1" t="s">
        <v>33</v>
      </c>
      <c r="B3453" s="7">
        <v>46110.006249999999</v>
      </c>
      <c r="C3453" s="7">
        <v>46110.028055555558</v>
      </c>
      <c r="D3453" s="8">
        <v>46110</v>
      </c>
      <c r="E3453" s="9">
        <v>2.8055555558239575E-2</v>
      </c>
      <c r="F3453" s="10" t="s">
        <v>3769</v>
      </c>
      <c r="G3453" s="10" t="s">
        <v>21</v>
      </c>
      <c r="H3453" s="10" t="s">
        <v>41</v>
      </c>
      <c r="I3453" s="10" t="s">
        <v>23</v>
      </c>
      <c r="J3453" s="11">
        <v>1.77</v>
      </c>
      <c r="K3453" s="12"/>
      <c r="L3453" s="12"/>
      <c r="M3453" s="12"/>
      <c r="N3453" s="12"/>
      <c r="O3453" s="12"/>
      <c r="P3453" s="12"/>
      <c r="Q3453" s="12"/>
      <c r="R3453" s="12"/>
      <c r="S3453" s="12"/>
    </row>
    <row r="3454" spans="1:19" ht="14.25" customHeight="1" x14ac:dyDescent="0.2">
      <c r="A3454" s="22" t="s">
        <v>33</v>
      </c>
      <c r="B3454" s="23">
        <v>46109.911574074074</v>
      </c>
      <c r="C3454" s="23">
        <v>46110.028391203705</v>
      </c>
      <c r="D3454" s="24">
        <v>46110</v>
      </c>
      <c r="E3454" s="25">
        <v>2.8391203704813961E-2</v>
      </c>
      <c r="F3454" s="22" t="s">
        <v>3770</v>
      </c>
      <c r="G3454" s="22" t="s">
        <v>44</v>
      </c>
      <c r="H3454" s="22" t="s">
        <v>185</v>
      </c>
      <c r="I3454" s="22" t="s">
        <v>583</v>
      </c>
      <c r="J3454" s="26">
        <v>0.18</v>
      </c>
      <c r="K3454" s="26"/>
      <c r="L3454" s="26"/>
      <c r="M3454" s="26"/>
      <c r="N3454" s="26"/>
      <c r="O3454" s="26"/>
      <c r="P3454" s="26"/>
      <c r="Q3454" s="26"/>
      <c r="R3454" s="26"/>
      <c r="S3454" s="26"/>
    </row>
    <row r="3455" spans="1:19" ht="14.25" customHeight="1" x14ac:dyDescent="0.2">
      <c r="A3455" s="1" t="s">
        <v>24</v>
      </c>
      <c r="B3455" s="7">
        <v>46110.012395833335</v>
      </c>
      <c r="C3455" s="7">
        <v>46110.033379629633</v>
      </c>
      <c r="D3455" s="8">
        <v>46110</v>
      </c>
      <c r="E3455" s="9">
        <v>3.3379629632690921E-2</v>
      </c>
      <c r="F3455" s="10" t="s">
        <v>3771</v>
      </c>
      <c r="G3455" s="10" t="s">
        <v>26</v>
      </c>
      <c r="H3455" s="10" t="s">
        <v>1367</v>
      </c>
      <c r="I3455" s="10" t="s">
        <v>23</v>
      </c>
      <c r="J3455" s="11">
        <v>0.49</v>
      </c>
      <c r="K3455" s="12"/>
      <c r="L3455" s="12"/>
      <c r="M3455" s="12"/>
      <c r="N3455" s="12"/>
      <c r="O3455" s="12"/>
      <c r="P3455" s="12"/>
      <c r="Q3455" s="12"/>
      <c r="R3455" s="12"/>
      <c r="S3455" s="12"/>
    </row>
    <row r="3456" spans="1:19" ht="14.25" customHeight="1" x14ac:dyDescent="0.2">
      <c r="A3456" s="1" t="s">
        <v>95</v>
      </c>
      <c r="B3456" s="7">
        <v>46110.034085648149</v>
      </c>
      <c r="C3456" s="7">
        <v>46110.033553240741</v>
      </c>
      <c r="D3456" s="8">
        <v>46110</v>
      </c>
      <c r="E3456" s="9">
        <v>3.3553240740729962E-2</v>
      </c>
      <c r="F3456" s="10" t="s">
        <v>3772</v>
      </c>
      <c r="G3456" s="10" t="s">
        <v>21</v>
      </c>
      <c r="H3456" s="10" t="s">
        <v>110</v>
      </c>
      <c r="I3456" s="10" t="s">
        <v>23</v>
      </c>
      <c r="J3456" s="11">
        <v>0.83</v>
      </c>
      <c r="K3456" s="12"/>
      <c r="L3456" s="12"/>
      <c r="M3456" s="12"/>
      <c r="N3456" s="12"/>
      <c r="O3456" s="12"/>
      <c r="P3456" s="12"/>
      <c r="Q3456" s="12"/>
      <c r="R3456" s="12"/>
      <c r="S3456" s="12"/>
    </row>
    <row r="3457" spans="1:19" ht="14.25" customHeight="1" x14ac:dyDescent="0.2">
      <c r="A3457" s="1" t="s">
        <v>95</v>
      </c>
      <c r="B3457" s="7">
        <v>46110.036828703705</v>
      </c>
      <c r="C3457" s="7">
        <v>46110.037627314814</v>
      </c>
      <c r="D3457" s="8">
        <v>46110</v>
      </c>
      <c r="E3457" s="9">
        <v>3.7627314814017154E-2</v>
      </c>
      <c r="F3457" s="10" t="s">
        <v>3773</v>
      </c>
      <c r="G3457" s="10" t="s">
        <v>21</v>
      </c>
      <c r="H3457" s="10" t="s">
        <v>52</v>
      </c>
      <c r="I3457" s="10" t="s">
        <v>23</v>
      </c>
      <c r="J3457" s="11">
        <v>0.98</v>
      </c>
      <c r="K3457" s="12"/>
      <c r="L3457" s="12"/>
      <c r="M3457" s="12"/>
      <c r="N3457" s="12"/>
      <c r="O3457" s="12"/>
      <c r="P3457" s="12"/>
      <c r="Q3457" s="12"/>
      <c r="R3457" s="12"/>
      <c r="S3457" s="12"/>
    </row>
    <row r="3458" spans="1:19" ht="14.25" customHeight="1" x14ac:dyDescent="0.2">
      <c r="A3458" s="22" t="s">
        <v>19</v>
      </c>
      <c r="B3458" s="23">
        <v>46109.926886574074</v>
      </c>
      <c r="C3458" s="23">
        <v>46110.041377314818</v>
      </c>
      <c r="D3458" s="24">
        <v>46110</v>
      </c>
      <c r="E3458" s="25">
        <v>4.1377314817509614E-2</v>
      </c>
      <c r="F3458" s="22" t="s">
        <v>3774</v>
      </c>
      <c r="G3458" s="22" t="s">
        <v>21</v>
      </c>
      <c r="H3458" s="22" t="s">
        <v>101</v>
      </c>
      <c r="I3458" s="22" t="s">
        <v>583</v>
      </c>
      <c r="J3458" s="26">
        <v>1.7</v>
      </c>
      <c r="K3458" s="26"/>
      <c r="L3458" s="26"/>
      <c r="M3458" s="26"/>
      <c r="N3458" s="26"/>
      <c r="O3458" s="26"/>
      <c r="P3458" s="26"/>
      <c r="Q3458" s="26"/>
      <c r="R3458" s="26"/>
      <c r="S3458" s="26"/>
    </row>
    <row r="3459" spans="1:19" ht="14.25" customHeight="1" x14ac:dyDescent="0.2">
      <c r="A3459" s="1" t="s">
        <v>28</v>
      </c>
      <c r="B3459" s="7">
        <v>46109.984270833331</v>
      </c>
      <c r="C3459" s="7">
        <v>46110.041956018518</v>
      </c>
      <c r="D3459" s="8">
        <v>46110</v>
      </c>
      <c r="E3459" s="9">
        <v>4.1956018518249039E-2</v>
      </c>
      <c r="F3459" s="10" t="s">
        <v>3775</v>
      </c>
      <c r="G3459" s="10" t="s">
        <v>26</v>
      </c>
      <c r="H3459" s="10" t="s">
        <v>128</v>
      </c>
      <c r="I3459" s="10" t="s">
        <v>23</v>
      </c>
      <c r="J3459" s="11">
        <v>0.97</v>
      </c>
      <c r="K3459" s="12"/>
      <c r="L3459" s="12">
        <f>SUM(J3459:J3467)</f>
        <v>10.35</v>
      </c>
      <c r="M3459" s="13">
        <f>L3459*65</f>
        <v>672.75</v>
      </c>
      <c r="N3459" s="14">
        <f>MAX(500,M3459)</f>
        <v>672.75</v>
      </c>
      <c r="O3459" s="12"/>
      <c r="P3459" s="12"/>
      <c r="Q3459" s="12"/>
      <c r="R3459" s="12"/>
      <c r="S3459" s="12"/>
    </row>
    <row r="3460" spans="1:19" ht="14.25" customHeight="1" x14ac:dyDescent="0.2">
      <c r="A3460" s="1" t="s">
        <v>42</v>
      </c>
      <c r="B3460" s="7">
        <v>46110.009942129633</v>
      </c>
      <c r="C3460" s="7">
        <v>46110.043113425927</v>
      </c>
      <c r="D3460" s="8">
        <v>46110</v>
      </c>
      <c r="E3460" s="9">
        <v>4.3113425927003846E-2</v>
      </c>
      <c r="F3460" s="10" t="s">
        <v>3776</v>
      </c>
      <c r="G3460" s="10" t="s">
        <v>26</v>
      </c>
      <c r="H3460" s="10" t="s">
        <v>172</v>
      </c>
      <c r="I3460" s="10" t="s">
        <v>23</v>
      </c>
      <c r="J3460" s="11">
        <v>0.67</v>
      </c>
      <c r="K3460" s="12"/>
      <c r="L3460" s="12"/>
      <c r="M3460" s="12"/>
      <c r="N3460" s="12"/>
      <c r="O3460" s="12"/>
      <c r="P3460" s="12"/>
      <c r="Q3460" s="12"/>
      <c r="R3460" s="12"/>
      <c r="S3460" s="12"/>
    </row>
    <row r="3461" spans="1:19" ht="14.25" customHeight="1" x14ac:dyDescent="0.2">
      <c r="A3461" s="1" t="s">
        <v>95</v>
      </c>
      <c r="B3461" s="7">
        <v>46110.031875000001</v>
      </c>
      <c r="C3461" s="7">
        <v>46110.043634259258</v>
      </c>
      <c r="D3461" s="8">
        <v>46110</v>
      </c>
      <c r="E3461" s="9">
        <v>4.3634259258396924E-2</v>
      </c>
      <c r="F3461" s="10" t="s">
        <v>3777</v>
      </c>
      <c r="G3461" s="10" t="s">
        <v>44</v>
      </c>
      <c r="H3461" s="10" t="s">
        <v>45</v>
      </c>
      <c r="I3461" s="10" t="s">
        <v>23</v>
      </c>
      <c r="J3461" s="11">
        <v>0.18</v>
      </c>
      <c r="K3461" s="12"/>
      <c r="L3461" s="12"/>
      <c r="M3461" s="12"/>
      <c r="N3461" s="12"/>
      <c r="O3461" s="12"/>
      <c r="P3461" s="12"/>
      <c r="Q3461" s="12"/>
      <c r="R3461" s="12"/>
      <c r="S3461" s="12"/>
    </row>
    <row r="3462" spans="1:19" ht="14.25" customHeight="1" x14ac:dyDescent="0.2">
      <c r="A3462" s="1" t="s">
        <v>95</v>
      </c>
      <c r="B3462" s="7">
        <v>46110.047592592593</v>
      </c>
      <c r="C3462" s="7">
        <v>46110.046909722223</v>
      </c>
      <c r="D3462" s="8">
        <v>46110</v>
      </c>
      <c r="E3462" s="9">
        <v>4.6909722223063E-2</v>
      </c>
      <c r="F3462" s="10" t="s">
        <v>3778</v>
      </c>
      <c r="G3462" s="10" t="s">
        <v>21</v>
      </c>
      <c r="H3462" s="10" t="s">
        <v>110</v>
      </c>
      <c r="I3462" s="10" t="s">
        <v>23</v>
      </c>
      <c r="J3462" s="11">
        <v>0.83</v>
      </c>
      <c r="K3462" s="12"/>
      <c r="L3462" s="12"/>
      <c r="M3462" s="12"/>
      <c r="N3462" s="12"/>
      <c r="O3462" s="12"/>
      <c r="P3462" s="12"/>
      <c r="Q3462" s="12"/>
      <c r="R3462" s="12"/>
      <c r="S3462" s="12"/>
    </row>
    <row r="3463" spans="1:19" ht="14.25" customHeight="1" x14ac:dyDescent="0.2">
      <c r="A3463" s="1" t="s">
        <v>24</v>
      </c>
      <c r="B3463" s="7">
        <v>46110.032071759262</v>
      </c>
      <c r="C3463" s="7">
        <v>46110.050324074073</v>
      </c>
      <c r="D3463" s="8">
        <v>46110</v>
      </c>
      <c r="E3463" s="9">
        <v>5.0324074072705116E-2</v>
      </c>
      <c r="F3463" s="10" t="s">
        <v>3779</v>
      </c>
      <c r="G3463" s="10" t="s">
        <v>21</v>
      </c>
      <c r="H3463" s="10" t="s">
        <v>39</v>
      </c>
      <c r="I3463" s="10" t="s">
        <v>23</v>
      </c>
      <c r="J3463" s="11">
        <v>1.77</v>
      </c>
      <c r="K3463" s="12"/>
      <c r="L3463" s="12"/>
      <c r="M3463" s="12"/>
      <c r="N3463" s="12"/>
      <c r="O3463" s="12"/>
      <c r="P3463" s="12"/>
      <c r="Q3463" s="12"/>
      <c r="R3463" s="12"/>
      <c r="S3463" s="12"/>
    </row>
    <row r="3464" spans="1:19" ht="14.25" customHeight="1" x14ac:dyDescent="0.2">
      <c r="A3464" s="1" t="s">
        <v>95</v>
      </c>
      <c r="B3464" s="7">
        <v>46110.034317129626</v>
      </c>
      <c r="C3464" s="7">
        <v>46110.055011574077</v>
      </c>
      <c r="D3464" s="8">
        <v>46110</v>
      </c>
      <c r="E3464" s="9">
        <v>5.5011574077070691E-2</v>
      </c>
      <c r="F3464" s="10" t="s">
        <v>3780</v>
      </c>
      <c r="G3464" s="10" t="s">
        <v>21</v>
      </c>
      <c r="H3464" s="10" t="s">
        <v>97</v>
      </c>
      <c r="I3464" s="10" t="s">
        <v>23</v>
      </c>
      <c r="J3464" s="11">
        <v>1.77</v>
      </c>
      <c r="K3464" s="12"/>
      <c r="L3464" s="12"/>
      <c r="M3464" s="12"/>
      <c r="N3464" s="12"/>
      <c r="O3464" s="12"/>
      <c r="P3464" s="12"/>
      <c r="Q3464" s="12"/>
      <c r="R3464" s="12"/>
      <c r="S3464" s="12"/>
    </row>
    <row r="3465" spans="1:19" ht="14.25" customHeight="1" x14ac:dyDescent="0.2">
      <c r="A3465" s="1" t="s">
        <v>95</v>
      </c>
      <c r="B3465" s="7">
        <v>46110.065150462964</v>
      </c>
      <c r="C3465" s="7">
        <v>46110.066284722219</v>
      </c>
      <c r="D3465" s="8">
        <v>46110</v>
      </c>
      <c r="E3465" s="9">
        <v>6.6284722219279502E-2</v>
      </c>
      <c r="F3465" s="10" t="s">
        <v>3781</v>
      </c>
      <c r="G3465" s="10" t="s">
        <v>21</v>
      </c>
      <c r="H3465" s="10" t="s">
        <v>110</v>
      </c>
      <c r="I3465" s="10" t="s">
        <v>23</v>
      </c>
      <c r="J3465" s="11">
        <v>0.83</v>
      </c>
      <c r="K3465" s="12"/>
      <c r="L3465" s="12"/>
      <c r="M3465" s="12"/>
      <c r="N3465" s="12"/>
      <c r="O3465" s="12"/>
      <c r="P3465" s="12"/>
      <c r="Q3465" s="12"/>
      <c r="R3465" s="12"/>
      <c r="S3465" s="12"/>
    </row>
    <row r="3466" spans="1:19" ht="14.25" customHeight="1" x14ac:dyDescent="0.2">
      <c r="A3466" s="1" t="s">
        <v>28</v>
      </c>
      <c r="B3466" s="7">
        <v>46110.057881944442</v>
      </c>
      <c r="C3466" s="7">
        <v>46110.068622685183</v>
      </c>
      <c r="D3466" s="8">
        <v>46110</v>
      </c>
      <c r="E3466" s="9">
        <v>6.8622685183072463E-2</v>
      </c>
      <c r="F3466" s="10" t="s">
        <v>3782</v>
      </c>
      <c r="G3466" s="10" t="s">
        <v>21</v>
      </c>
      <c r="H3466" s="10" t="s">
        <v>22</v>
      </c>
      <c r="I3466" s="10" t="s">
        <v>23</v>
      </c>
      <c r="J3466" s="11">
        <v>0.83</v>
      </c>
      <c r="K3466" s="12"/>
      <c r="L3466" s="12"/>
      <c r="M3466" s="12"/>
      <c r="N3466" s="12"/>
      <c r="O3466" s="12"/>
      <c r="P3466" s="12"/>
      <c r="Q3466" s="12"/>
      <c r="R3466" s="12"/>
      <c r="S3466" s="12"/>
    </row>
    <row r="3467" spans="1:19" ht="14.25" customHeight="1" x14ac:dyDescent="0.2">
      <c r="A3467" s="1" t="s">
        <v>19</v>
      </c>
      <c r="B3467" s="7">
        <v>46109.970104166663</v>
      </c>
      <c r="C3467" s="7">
        <v>46110.072604166664</v>
      </c>
      <c r="D3467" s="8">
        <v>46110</v>
      </c>
      <c r="E3467" s="9">
        <v>7.2604166663950309E-2</v>
      </c>
      <c r="F3467" s="10" t="s">
        <v>3783</v>
      </c>
      <c r="G3467" s="10" t="s">
        <v>21</v>
      </c>
      <c r="H3467" s="10" t="s">
        <v>281</v>
      </c>
      <c r="I3467" s="10" t="s">
        <v>23</v>
      </c>
      <c r="J3467" s="11">
        <v>2.5</v>
      </c>
      <c r="K3467" s="12"/>
      <c r="L3467" s="12"/>
      <c r="M3467" s="12"/>
      <c r="N3467" s="12"/>
      <c r="O3467" s="12"/>
      <c r="P3467" s="12"/>
      <c r="Q3467" s="12"/>
      <c r="R3467" s="12"/>
      <c r="S3467" s="12"/>
    </row>
    <row r="3468" spans="1:19" ht="14.25" customHeight="1" x14ac:dyDescent="0.2">
      <c r="A3468" s="1" t="s">
        <v>24</v>
      </c>
      <c r="B3468" s="7">
        <v>46110.066319444442</v>
      </c>
      <c r="C3468" s="7">
        <v>46110.084421296298</v>
      </c>
      <c r="D3468" s="8">
        <v>46110</v>
      </c>
      <c r="E3468" s="9">
        <v>8.442129629838746E-2</v>
      </c>
      <c r="F3468" s="10" t="s">
        <v>3784</v>
      </c>
      <c r="G3468" s="10" t="s">
        <v>26</v>
      </c>
      <c r="H3468" s="10" t="s">
        <v>56</v>
      </c>
      <c r="I3468" s="10" t="s">
        <v>23</v>
      </c>
      <c r="J3468" s="11">
        <v>0.73</v>
      </c>
      <c r="K3468" s="12"/>
      <c r="L3468" s="12">
        <f>SUM(J3468:J3476)</f>
        <v>8.75</v>
      </c>
      <c r="M3468" s="13">
        <f>L3468*65</f>
        <v>568.75</v>
      </c>
      <c r="N3468" s="14">
        <f>MAX(500,M3468)</f>
        <v>568.75</v>
      </c>
      <c r="O3468" s="12"/>
      <c r="P3468" s="12"/>
      <c r="Q3468" s="12"/>
      <c r="R3468" s="12"/>
      <c r="S3468" s="12"/>
    </row>
    <row r="3469" spans="1:19" ht="14.25" customHeight="1" x14ac:dyDescent="0.2">
      <c r="A3469" s="1" t="s">
        <v>33</v>
      </c>
      <c r="B3469" s="7">
        <v>46110.07068287037</v>
      </c>
      <c r="C3469" s="7">
        <v>46110.08935185185</v>
      </c>
      <c r="D3469" s="8">
        <v>46110</v>
      </c>
      <c r="E3469" s="9">
        <v>8.9351851849642117E-2</v>
      </c>
      <c r="F3469" s="10" t="s">
        <v>3785</v>
      </c>
      <c r="G3469" s="10" t="s">
        <v>21</v>
      </c>
      <c r="H3469" s="10" t="s">
        <v>22</v>
      </c>
      <c r="I3469" s="10" t="s">
        <v>23</v>
      </c>
      <c r="J3469" s="11">
        <v>0.83</v>
      </c>
      <c r="K3469" s="12"/>
      <c r="L3469" s="12"/>
      <c r="M3469" s="12"/>
      <c r="N3469" s="12"/>
      <c r="O3469" s="12"/>
      <c r="P3469" s="12"/>
      <c r="Q3469" s="12"/>
      <c r="R3469" s="12"/>
      <c r="S3469" s="12"/>
    </row>
    <row r="3470" spans="1:19" ht="14.25" customHeight="1" x14ac:dyDescent="0.2">
      <c r="A3470" s="1" t="s">
        <v>95</v>
      </c>
      <c r="B3470" s="7">
        <v>46110.078750000001</v>
      </c>
      <c r="C3470" s="7">
        <v>46110.094050925924</v>
      </c>
      <c r="D3470" s="8">
        <v>46110</v>
      </c>
      <c r="E3470" s="9">
        <v>9.4050925923511386E-2</v>
      </c>
      <c r="F3470" s="10" t="s">
        <v>3786</v>
      </c>
      <c r="G3470" s="10" t="s">
        <v>21</v>
      </c>
      <c r="H3470" s="10" t="s">
        <v>110</v>
      </c>
      <c r="I3470" s="10" t="s">
        <v>23</v>
      </c>
      <c r="J3470" s="11">
        <v>0.83</v>
      </c>
      <c r="K3470" s="12"/>
      <c r="L3470" s="12"/>
      <c r="M3470" s="12"/>
      <c r="N3470" s="12"/>
      <c r="O3470" s="12"/>
      <c r="P3470" s="12"/>
      <c r="Q3470" s="12"/>
      <c r="R3470" s="12"/>
      <c r="S3470" s="12"/>
    </row>
    <row r="3471" spans="1:19" ht="14.25" customHeight="1" x14ac:dyDescent="0.2">
      <c r="A3471" s="1" t="s">
        <v>28</v>
      </c>
      <c r="B3471" s="7">
        <v>46110.078055555554</v>
      </c>
      <c r="C3471" s="7">
        <v>46110.094444444447</v>
      </c>
      <c r="D3471" s="8">
        <v>46110</v>
      </c>
      <c r="E3471" s="9">
        <v>9.4444444446708076E-2</v>
      </c>
      <c r="F3471" s="10" t="s">
        <v>3787</v>
      </c>
      <c r="G3471" s="10" t="s">
        <v>21</v>
      </c>
      <c r="H3471" s="10" t="s">
        <v>22</v>
      </c>
      <c r="I3471" s="10" t="s">
        <v>23</v>
      </c>
      <c r="J3471" s="11">
        <v>0.83</v>
      </c>
      <c r="K3471" s="12"/>
      <c r="L3471" s="12"/>
      <c r="M3471" s="12"/>
      <c r="N3471" s="12"/>
      <c r="O3471" s="12"/>
      <c r="P3471" s="12"/>
      <c r="Q3471" s="12"/>
      <c r="R3471" s="12"/>
      <c r="S3471" s="12"/>
    </row>
    <row r="3472" spans="1:19" ht="14.25" customHeight="1" x14ac:dyDescent="0.2">
      <c r="A3472" s="1" t="s">
        <v>33</v>
      </c>
      <c r="B3472" s="7">
        <v>46110.066134259258</v>
      </c>
      <c r="C3472" s="7">
        <v>46110.095567129632</v>
      </c>
      <c r="D3472" s="8">
        <v>46110</v>
      </c>
      <c r="E3472" s="9">
        <v>9.5567129632399883E-2</v>
      </c>
      <c r="F3472" s="10" t="s">
        <v>3788</v>
      </c>
      <c r="G3472" s="10" t="s">
        <v>21</v>
      </c>
      <c r="H3472" s="10" t="s">
        <v>216</v>
      </c>
      <c r="I3472" s="10" t="s">
        <v>23</v>
      </c>
      <c r="J3472" s="11">
        <v>0.98</v>
      </c>
      <c r="K3472" s="12"/>
      <c r="L3472" s="12"/>
      <c r="M3472" s="12"/>
      <c r="N3472" s="12"/>
      <c r="O3472" s="12"/>
      <c r="P3472" s="12"/>
      <c r="Q3472" s="12"/>
      <c r="R3472" s="12"/>
      <c r="S3472" s="12"/>
    </row>
    <row r="3473" spans="1:19" ht="14.25" customHeight="1" x14ac:dyDescent="0.2">
      <c r="A3473" s="1" t="s">
        <v>28</v>
      </c>
      <c r="B3473" s="7">
        <v>46110.084722222222</v>
      </c>
      <c r="C3473" s="7">
        <v>46110.096064814818</v>
      </c>
      <c r="D3473" s="8">
        <v>46110</v>
      </c>
      <c r="E3473" s="9">
        <v>9.6064814817509614E-2</v>
      </c>
      <c r="F3473" s="10" t="s">
        <v>3789</v>
      </c>
      <c r="G3473" s="10" t="s">
        <v>21</v>
      </c>
      <c r="H3473" s="10" t="s">
        <v>276</v>
      </c>
      <c r="I3473" s="10" t="s">
        <v>23</v>
      </c>
      <c r="J3473" s="11">
        <v>1.77</v>
      </c>
      <c r="K3473" s="12"/>
      <c r="L3473" s="12"/>
      <c r="M3473" s="12"/>
      <c r="N3473" s="12"/>
      <c r="O3473" s="12"/>
      <c r="P3473" s="12"/>
      <c r="Q3473" s="12"/>
      <c r="R3473" s="12"/>
      <c r="S3473" s="12"/>
    </row>
    <row r="3474" spans="1:19" ht="14.25" customHeight="1" x14ac:dyDescent="0.2">
      <c r="A3474" s="1" t="s">
        <v>33</v>
      </c>
      <c r="B3474" s="7">
        <v>46110.080752314818</v>
      </c>
      <c r="C3474" s="7">
        <v>46110.100115740737</v>
      </c>
      <c r="D3474" s="8">
        <v>46110</v>
      </c>
      <c r="E3474" s="9">
        <v>0.1001157407372375</v>
      </c>
      <c r="F3474" s="10" t="s">
        <v>3790</v>
      </c>
      <c r="G3474" s="10" t="s">
        <v>44</v>
      </c>
      <c r="H3474" s="10" t="s">
        <v>185</v>
      </c>
      <c r="I3474" s="10" t="s">
        <v>23</v>
      </c>
      <c r="J3474" s="11">
        <v>0.18</v>
      </c>
      <c r="K3474" s="12"/>
      <c r="L3474" s="12"/>
      <c r="M3474" s="12"/>
      <c r="N3474" s="12"/>
      <c r="O3474" s="12"/>
      <c r="P3474" s="12"/>
      <c r="Q3474" s="12"/>
      <c r="R3474" s="12"/>
      <c r="S3474" s="12"/>
    </row>
    <row r="3475" spans="1:19" ht="14.25" customHeight="1" x14ac:dyDescent="0.2">
      <c r="A3475" s="1" t="s">
        <v>28</v>
      </c>
      <c r="B3475" s="7">
        <v>46110.105231481481</v>
      </c>
      <c r="C3475" s="7">
        <v>46110.124618055554</v>
      </c>
      <c r="D3475" s="8">
        <v>46110</v>
      </c>
      <c r="E3475" s="9">
        <v>0.12461805555358296</v>
      </c>
      <c r="F3475" s="10" t="s">
        <v>3791</v>
      </c>
      <c r="G3475" s="10" t="s">
        <v>21</v>
      </c>
      <c r="H3475" s="10" t="s">
        <v>276</v>
      </c>
      <c r="I3475" s="10" t="s">
        <v>23</v>
      </c>
      <c r="J3475" s="11">
        <v>1.77</v>
      </c>
      <c r="K3475" s="12"/>
      <c r="L3475" s="12"/>
      <c r="M3475" s="12"/>
      <c r="N3475" s="12"/>
      <c r="O3475" s="12"/>
      <c r="P3475" s="12"/>
      <c r="Q3475" s="12"/>
      <c r="R3475" s="12"/>
      <c r="S3475" s="12"/>
    </row>
    <row r="3476" spans="1:19" ht="14.25" customHeight="1" x14ac:dyDescent="0.2">
      <c r="A3476" s="1" t="s">
        <v>19</v>
      </c>
      <c r="B3476" s="7">
        <v>46110.010069444441</v>
      </c>
      <c r="C3476" s="7">
        <v>46110.124780092592</v>
      </c>
      <c r="D3476" s="8">
        <v>46110</v>
      </c>
      <c r="E3476" s="9">
        <v>0.12478009259211831</v>
      </c>
      <c r="F3476" s="10" t="s">
        <v>3792</v>
      </c>
      <c r="G3476" s="10" t="s">
        <v>21</v>
      </c>
      <c r="H3476" s="10" t="s">
        <v>54</v>
      </c>
      <c r="I3476" s="10" t="s">
        <v>23</v>
      </c>
      <c r="J3476" s="11">
        <v>0.83</v>
      </c>
      <c r="K3476" s="12"/>
      <c r="L3476" s="12"/>
      <c r="M3476" s="12"/>
      <c r="N3476" s="12"/>
      <c r="O3476" s="12"/>
      <c r="P3476" s="12"/>
      <c r="Q3476" s="12"/>
      <c r="R3476" s="12"/>
      <c r="S3476" s="12"/>
    </row>
    <row r="3477" spans="1:19" ht="14.25" customHeight="1" x14ac:dyDescent="0.2">
      <c r="A3477" s="1" t="s">
        <v>19</v>
      </c>
      <c r="B3477" s="7">
        <v>46110.023229166669</v>
      </c>
      <c r="C3477" s="7">
        <v>46110.125520833331</v>
      </c>
      <c r="D3477" s="8">
        <v>46110</v>
      </c>
      <c r="E3477" s="9">
        <v>0.12552083333139308</v>
      </c>
      <c r="F3477" s="10" t="s">
        <v>3793</v>
      </c>
      <c r="G3477" s="10" t="s">
        <v>21</v>
      </c>
      <c r="H3477" s="10" t="s">
        <v>2275</v>
      </c>
      <c r="I3477" s="10" t="s">
        <v>23</v>
      </c>
      <c r="J3477" s="11">
        <v>1.75</v>
      </c>
      <c r="K3477" s="12">
        <f>SUM(J3477:J3516)</f>
        <v>47.580000000000013</v>
      </c>
      <c r="L3477" s="12">
        <f>SUM(J3477:J3492)</f>
        <v>18.7</v>
      </c>
      <c r="M3477" s="13">
        <f>L3477*65</f>
        <v>1215.5</v>
      </c>
      <c r="N3477" s="14">
        <f>MAX(500,M3477)</f>
        <v>1215.5</v>
      </c>
      <c r="O3477" s="12"/>
      <c r="P3477" s="12"/>
      <c r="Q3477" s="12"/>
      <c r="R3477" s="12"/>
      <c r="S3477" s="12"/>
    </row>
    <row r="3478" spans="1:19" ht="14.25" customHeight="1" x14ac:dyDescent="0.2">
      <c r="A3478" s="1" t="s">
        <v>19</v>
      </c>
      <c r="B3478" s="7">
        <v>46110.103518518517</v>
      </c>
      <c r="C3478" s="7">
        <v>46110.125833333332</v>
      </c>
      <c r="D3478" s="8">
        <v>46110</v>
      </c>
      <c r="E3478" s="9">
        <v>0.12583333333168412</v>
      </c>
      <c r="F3478" s="10" t="s">
        <v>3794</v>
      </c>
      <c r="G3478" s="10" t="s">
        <v>21</v>
      </c>
      <c r="H3478" s="10" t="s">
        <v>101</v>
      </c>
      <c r="I3478" s="10" t="s">
        <v>23</v>
      </c>
      <c r="J3478" s="11">
        <v>1.7</v>
      </c>
      <c r="K3478" s="12"/>
      <c r="L3478" s="12"/>
      <c r="M3478" s="12"/>
      <c r="N3478" s="12"/>
      <c r="O3478" s="12"/>
      <c r="P3478" s="12"/>
      <c r="Q3478" s="12"/>
      <c r="R3478" s="12"/>
      <c r="S3478" s="12"/>
    </row>
    <row r="3479" spans="1:19" ht="14.25" customHeight="1" x14ac:dyDescent="0.2">
      <c r="A3479" s="1" t="s">
        <v>19</v>
      </c>
      <c r="B3479" s="7">
        <v>46110.054722222223</v>
      </c>
      <c r="C3479" s="7">
        <v>46110.127060185187</v>
      </c>
      <c r="D3479" s="8">
        <v>46110</v>
      </c>
      <c r="E3479" s="9">
        <v>0.12706018518656492</v>
      </c>
      <c r="F3479" s="10" t="s">
        <v>3795</v>
      </c>
      <c r="G3479" s="10" t="s">
        <v>21</v>
      </c>
      <c r="H3479" s="10" t="s">
        <v>268</v>
      </c>
      <c r="I3479" s="10" t="s">
        <v>23</v>
      </c>
      <c r="J3479" s="11">
        <v>1.35</v>
      </c>
      <c r="K3479" s="12"/>
      <c r="L3479" s="12"/>
      <c r="M3479" s="12"/>
      <c r="N3479" s="12"/>
      <c r="O3479" s="12"/>
      <c r="P3479" s="12"/>
      <c r="Q3479" s="12"/>
      <c r="R3479" s="12"/>
      <c r="S3479" s="12"/>
    </row>
    <row r="3480" spans="1:19" ht="14.25" customHeight="1" x14ac:dyDescent="0.2">
      <c r="A3480" s="1" t="s">
        <v>19</v>
      </c>
      <c r="B3480" s="7">
        <v>46110.028252314813</v>
      </c>
      <c r="C3480" s="7">
        <v>46110.128298611111</v>
      </c>
      <c r="D3480" s="8">
        <v>46110</v>
      </c>
      <c r="E3480" s="9">
        <v>0.12829861111094942</v>
      </c>
      <c r="F3480" s="10" t="s">
        <v>3796</v>
      </c>
      <c r="G3480" s="10" t="s">
        <v>21</v>
      </c>
      <c r="H3480" s="10" t="s">
        <v>41</v>
      </c>
      <c r="I3480" s="10" t="s">
        <v>23</v>
      </c>
      <c r="J3480" s="11">
        <v>1.77</v>
      </c>
      <c r="K3480" s="12"/>
      <c r="L3480" s="12"/>
      <c r="M3480" s="12"/>
      <c r="N3480" s="12"/>
      <c r="O3480" s="12"/>
      <c r="P3480" s="12"/>
      <c r="Q3480" s="12"/>
      <c r="R3480" s="12"/>
      <c r="S3480" s="12"/>
    </row>
    <row r="3481" spans="1:19" ht="14.25" customHeight="1" x14ac:dyDescent="0.2">
      <c r="A3481" s="1" t="s">
        <v>19</v>
      </c>
      <c r="B3481" s="7">
        <v>46110.078518518516</v>
      </c>
      <c r="C3481" s="7">
        <v>46110.129861111112</v>
      </c>
      <c r="D3481" s="8">
        <v>46110</v>
      </c>
      <c r="E3481" s="9">
        <v>0.12986111111240461</v>
      </c>
      <c r="F3481" s="10" t="s">
        <v>3797</v>
      </c>
      <c r="G3481" s="10" t="s">
        <v>21</v>
      </c>
      <c r="H3481" s="10" t="s">
        <v>101</v>
      </c>
      <c r="I3481" s="10" t="s">
        <v>23</v>
      </c>
      <c r="J3481" s="11">
        <v>1.7</v>
      </c>
      <c r="K3481" s="12"/>
      <c r="L3481" s="12"/>
      <c r="M3481" s="12"/>
      <c r="N3481" s="12"/>
      <c r="O3481" s="12"/>
      <c r="P3481" s="12"/>
      <c r="Q3481" s="12"/>
      <c r="R3481" s="12"/>
      <c r="S3481" s="12"/>
    </row>
    <row r="3482" spans="1:19" ht="14.25" customHeight="1" x14ac:dyDescent="0.2">
      <c r="A3482" s="1" t="s">
        <v>19</v>
      </c>
      <c r="B3482" s="7">
        <v>46110.086527777778</v>
      </c>
      <c r="C3482" s="7">
        <v>46110.130439814813</v>
      </c>
      <c r="D3482" s="8">
        <v>46110</v>
      </c>
      <c r="E3482" s="9">
        <v>0.13043981481314404</v>
      </c>
      <c r="F3482" s="10" t="s">
        <v>3798</v>
      </c>
      <c r="G3482" s="10" t="s">
        <v>26</v>
      </c>
      <c r="H3482" s="10" t="s">
        <v>128</v>
      </c>
      <c r="I3482" s="10" t="s">
        <v>23</v>
      </c>
      <c r="J3482" s="11">
        <v>0.97</v>
      </c>
      <c r="K3482" s="12"/>
      <c r="L3482" s="12"/>
      <c r="M3482" s="12"/>
      <c r="N3482" s="12"/>
      <c r="O3482" s="12"/>
      <c r="P3482" s="12"/>
      <c r="Q3482" s="12"/>
      <c r="R3482" s="12"/>
      <c r="S3482" s="12"/>
    </row>
    <row r="3483" spans="1:19" ht="14.25" customHeight="1" x14ac:dyDescent="0.2">
      <c r="A3483" s="1" t="s">
        <v>95</v>
      </c>
      <c r="B3483" s="7">
        <v>46110.065891203703</v>
      </c>
      <c r="C3483" s="7">
        <v>46110.130787037036</v>
      </c>
      <c r="D3483" s="8">
        <v>46110</v>
      </c>
      <c r="E3483" s="9">
        <v>0.13078703703649808</v>
      </c>
      <c r="F3483" s="10" t="s">
        <v>3799</v>
      </c>
      <c r="G3483" s="10" t="s">
        <v>44</v>
      </c>
      <c r="H3483" s="10" t="s">
        <v>45</v>
      </c>
      <c r="I3483" s="10" t="s">
        <v>23</v>
      </c>
      <c r="J3483" s="11">
        <v>0.18</v>
      </c>
      <c r="K3483" s="12"/>
      <c r="L3483" s="12"/>
      <c r="M3483" s="12"/>
      <c r="N3483" s="12"/>
      <c r="O3483" s="12"/>
      <c r="P3483" s="12"/>
      <c r="Q3483" s="12"/>
      <c r="R3483" s="12"/>
      <c r="S3483" s="12"/>
    </row>
    <row r="3484" spans="1:19" ht="14.25" customHeight="1" x14ac:dyDescent="0.2">
      <c r="A3484" s="1" t="s">
        <v>95</v>
      </c>
      <c r="B3484" s="7">
        <v>46110.14334490741</v>
      </c>
      <c r="C3484" s="7">
        <v>46110.143368055556</v>
      </c>
      <c r="D3484" s="8">
        <v>46110</v>
      </c>
      <c r="E3484" s="9">
        <v>0.14336805555649335</v>
      </c>
      <c r="F3484" s="10" t="s">
        <v>3800</v>
      </c>
      <c r="G3484" s="10" t="s">
        <v>21</v>
      </c>
      <c r="H3484" s="10" t="s">
        <v>110</v>
      </c>
      <c r="I3484" s="10" t="s">
        <v>23</v>
      </c>
      <c r="J3484" s="11">
        <v>0.83</v>
      </c>
      <c r="K3484" s="12"/>
      <c r="L3484" s="12"/>
      <c r="M3484" s="12"/>
      <c r="N3484" s="12"/>
      <c r="O3484" s="12"/>
      <c r="P3484" s="12"/>
      <c r="Q3484" s="12"/>
      <c r="R3484" s="12"/>
      <c r="S3484" s="12"/>
    </row>
    <row r="3485" spans="1:19" ht="14.25" customHeight="1" x14ac:dyDescent="0.2">
      <c r="A3485" s="1" t="s">
        <v>57</v>
      </c>
      <c r="B3485" s="7">
        <v>46110.129699074074</v>
      </c>
      <c r="C3485" s="7">
        <v>46110.143761574072</v>
      </c>
      <c r="D3485" s="8">
        <v>46110</v>
      </c>
      <c r="E3485" s="9">
        <v>0.14376157407241408</v>
      </c>
      <c r="F3485" s="10" t="s">
        <v>3801</v>
      </c>
      <c r="G3485" s="10" t="s">
        <v>21</v>
      </c>
      <c r="H3485" s="10" t="s">
        <v>3802</v>
      </c>
      <c r="I3485" s="10" t="s">
        <v>23</v>
      </c>
      <c r="J3485" s="11">
        <v>1.06</v>
      </c>
      <c r="K3485" s="12"/>
      <c r="L3485" s="12"/>
      <c r="M3485" s="12"/>
      <c r="N3485" s="12"/>
      <c r="O3485" s="12"/>
      <c r="P3485" s="12"/>
      <c r="Q3485" s="12"/>
      <c r="R3485" s="12"/>
      <c r="S3485" s="12"/>
    </row>
    <row r="3486" spans="1:19" ht="14.25" customHeight="1" x14ac:dyDescent="0.2">
      <c r="A3486" s="1" t="s">
        <v>24</v>
      </c>
      <c r="B3486" s="7">
        <v>46110.127187500002</v>
      </c>
      <c r="C3486" s="7">
        <v>46110.148715277777</v>
      </c>
      <c r="D3486" s="8">
        <v>46110</v>
      </c>
      <c r="E3486" s="9">
        <v>0.14871527777722804</v>
      </c>
      <c r="F3486" s="10" t="s">
        <v>3803</v>
      </c>
      <c r="G3486" s="10" t="s">
        <v>21</v>
      </c>
      <c r="H3486" s="10" t="s">
        <v>22</v>
      </c>
      <c r="I3486" s="10" t="s">
        <v>23</v>
      </c>
      <c r="J3486" s="11">
        <v>0.83</v>
      </c>
      <c r="K3486" s="12"/>
      <c r="L3486" s="12"/>
      <c r="M3486" s="12"/>
      <c r="N3486" s="12"/>
      <c r="O3486" s="12"/>
      <c r="P3486" s="12"/>
      <c r="Q3486" s="12"/>
      <c r="R3486" s="12"/>
      <c r="S3486" s="12"/>
    </row>
    <row r="3487" spans="1:19" ht="14.25" customHeight="1" x14ac:dyDescent="0.2">
      <c r="A3487" s="1" t="s">
        <v>24</v>
      </c>
      <c r="B3487" s="7">
        <v>46110.127187500002</v>
      </c>
      <c r="C3487" s="7">
        <v>46110.149016203701</v>
      </c>
      <c r="D3487" s="8">
        <v>46110</v>
      </c>
      <c r="E3487" s="9">
        <v>0.14901620370073942</v>
      </c>
      <c r="F3487" s="10" t="s">
        <v>3804</v>
      </c>
      <c r="G3487" s="10" t="s">
        <v>21</v>
      </c>
      <c r="H3487" s="10" t="s">
        <v>142</v>
      </c>
      <c r="I3487" s="10" t="s">
        <v>23</v>
      </c>
      <c r="J3487" s="11">
        <v>0.83</v>
      </c>
      <c r="K3487" s="12"/>
      <c r="L3487" s="12"/>
      <c r="M3487" s="12"/>
      <c r="N3487" s="12"/>
      <c r="O3487" s="12"/>
      <c r="P3487" s="12"/>
      <c r="Q3487" s="12"/>
      <c r="R3487" s="12"/>
      <c r="S3487" s="12"/>
    </row>
    <row r="3488" spans="1:19" ht="14.25" customHeight="1" x14ac:dyDescent="0.2">
      <c r="A3488" s="1" t="s">
        <v>19</v>
      </c>
      <c r="B3488" s="7">
        <v>46110.142500000002</v>
      </c>
      <c r="C3488" s="7">
        <v>46110.152442129627</v>
      </c>
      <c r="D3488" s="8">
        <v>46110</v>
      </c>
      <c r="E3488" s="9">
        <v>0.15244212962716119</v>
      </c>
      <c r="F3488" s="10" t="s">
        <v>3805</v>
      </c>
      <c r="G3488" s="10" t="s">
        <v>21</v>
      </c>
      <c r="H3488" s="10" t="s">
        <v>3458</v>
      </c>
      <c r="I3488" s="10" t="s">
        <v>23</v>
      </c>
      <c r="J3488" s="11">
        <v>1.96</v>
      </c>
      <c r="K3488" s="12"/>
      <c r="L3488" s="12"/>
      <c r="M3488" s="12"/>
      <c r="N3488" s="12"/>
      <c r="O3488" s="12"/>
      <c r="P3488" s="12"/>
      <c r="Q3488" s="12"/>
      <c r="R3488" s="12"/>
      <c r="S3488" s="12"/>
    </row>
    <row r="3489" spans="1:19" ht="14.25" customHeight="1" x14ac:dyDescent="0.2">
      <c r="A3489" s="1" t="s">
        <v>24</v>
      </c>
      <c r="B3489" s="7">
        <v>46110.138703703706</v>
      </c>
      <c r="C3489" s="7">
        <v>46110.16238425926</v>
      </c>
      <c r="D3489" s="8">
        <v>46110</v>
      </c>
      <c r="E3489" s="9">
        <v>0.16238425925985212</v>
      </c>
      <c r="F3489" s="10" t="s">
        <v>3806</v>
      </c>
      <c r="G3489" s="10" t="s">
        <v>21</v>
      </c>
      <c r="H3489" s="10" t="s">
        <v>22</v>
      </c>
      <c r="I3489" s="10" t="s">
        <v>23</v>
      </c>
      <c r="J3489" s="11">
        <v>0.83</v>
      </c>
      <c r="K3489" s="12"/>
      <c r="L3489" s="12"/>
      <c r="M3489" s="12"/>
      <c r="N3489" s="12"/>
      <c r="O3489" s="12"/>
      <c r="P3489" s="12"/>
      <c r="Q3489" s="12"/>
      <c r="R3489" s="12"/>
      <c r="S3489" s="12"/>
    </row>
    <row r="3490" spans="1:19" ht="14.25" customHeight="1" x14ac:dyDescent="0.2">
      <c r="A3490" s="1" t="s">
        <v>24</v>
      </c>
      <c r="B3490" s="7">
        <v>46110.138703703706</v>
      </c>
      <c r="C3490" s="7">
        <v>46110.162557870368</v>
      </c>
      <c r="D3490" s="8">
        <v>46110</v>
      </c>
      <c r="E3490" s="9">
        <v>0.16255787036789116</v>
      </c>
      <c r="F3490" s="10" t="s">
        <v>3807</v>
      </c>
      <c r="G3490" s="10" t="s">
        <v>21</v>
      </c>
      <c r="H3490" s="10" t="s">
        <v>52</v>
      </c>
      <c r="I3490" s="10" t="s">
        <v>23</v>
      </c>
      <c r="J3490" s="11">
        <v>0.98</v>
      </c>
      <c r="K3490" s="12"/>
      <c r="L3490" s="12"/>
      <c r="M3490" s="12"/>
      <c r="N3490" s="12"/>
      <c r="O3490" s="12"/>
      <c r="P3490" s="12"/>
      <c r="Q3490" s="12"/>
      <c r="R3490" s="12"/>
      <c r="S3490" s="12"/>
    </row>
    <row r="3491" spans="1:19" ht="14.25" customHeight="1" x14ac:dyDescent="0.2">
      <c r="A3491" s="1" t="s">
        <v>24</v>
      </c>
      <c r="B3491" s="7">
        <v>46110.140821759262</v>
      </c>
      <c r="C3491" s="7">
        <v>46110.162824074076</v>
      </c>
      <c r="D3491" s="8">
        <v>46110</v>
      </c>
      <c r="E3491" s="9">
        <v>0.1628240740756155</v>
      </c>
      <c r="F3491" s="10" t="s">
        <v>3808</v>
      </c>
      <c r="G3491" s="10" t="s">
        <v>21</v>
      </c>
      <c r="H3491" s="10" t="s">
        <v>216</v>
      </c>
      <c r="I3491" s="10" t="s">
        <v>23</v>
      </c>
      <c r="J3491" s="11">
        <v>0.98</v>
      </c>
      <c r="K3491" s="12"/>
      <c r="L3491" s="12"/>
      <c r="M3491" s="12"/>
      <c r="N3491" s="12"/>
      <c r="O3491" s="12"/>
      <c r="P3491" s="12"/>
      <c r="Q3491" s="12"/>
      <c r="R3491" s="12"/>
      <c r="S3491" s="12"/>
    </row>
    <row r="3492" spans="1:19" ht="14.25" customHeight="1" x14ac:dyDescent="0.2">
      <c r="A3492" s="1" t="s">
        <v>24</v>
      </c>
      <c r="B3492" s="7">
        <v>46110.154050925928</v>
      </c>
      <c r="C3492" s="7">
        <v>46110.166354166664</v>
      </c>
      <c r="D3492" s="8">
        <v>46110</v>
      </c>
      <c r="E3492" s="9">
        <v>0.16635416666395031</v>
      </c>
      <c r="F3492" s="10" t="s">
        <v>3809</v>
      </c>
      <c r="G3492" s="10" t="s">
        <v>21</v>
      </c>
      <c r="H3492" s="10" t="s">
        <v>52</v>
      </c>
      <c r="I3492" s="10" t="s">
        <v>23</v>
      </c>
      <c r="J3492" s="11">
        <v>0.98</v>
      </c>
      <c r="K3492" s="12"/>
      <c r="L3492" s="12"/>
      <c r="M3492" s="12"/>
      <c r="N3492" s="12"/>
      <c r="O3492" s="12"/>
      <c r="P3492" s="12"/>
      <c r="Q3492" s="12"/>
      <c r="R3492" s="12"/>
      <c r="S3492" s="12"/>
    </row>
    <row r="3493" spans="1:19" ht="14.25" customHeight="1" x14ac:dyDescent="0.2">
      <c r="A3493" s="1" t="s">
        <v>95</v>
      </c>
      <c r="B3493" s="7">
        <v>46110.169942129629</v>
      </c>
      <c r="C3493" s="7">
        <v>46110.178090277775</v>
      </c>
      <c r="D3493" s="8">
        <v>46110</v>
      </c>
      <c r="E3493" s="9">
        <v>0.17809027777548181</v>
      </c>
      <c r="F3493" s="10" t="s">
        <v>3810</v>
      </c>
      <c r="G3493" s="10" t="s">
        <v>21</v>
      </c>
      <c r="H3493" s="10" t="s">
        <v>865</v>
      </c>
      <c r="I3493" s="10" t="s">
        <v>23</v>
      </c>
      <c r="J3493" s="11">
        <v>2.9</v>
      </c>
      <c r="K3493" s="12"/>
      <c r="L3493" s="12">
        <f>SUM(J3493:J3499)</f>
        <v>10.66</v>
      </c>
      <c r="M3493" s="13">
        <f>L3493*65</f>
        <v>692.9</v>
      </c>
      <c r="N3493" s="14">
        <f>MAX(500,M3493)</f>
        <v>692.9</v>
      </c>
      <c r="O3493" s="12"/>
      <c r="P3493" s="12"/>
      <c r="Q3493" s="12"/>
      <c r="R3493" s="12"/>
      <c r="S3493" s="12"/>
    </row>
    <row r="3494" spans="1:19" ht="14.25" customHeight="1" x14ac:dyDescent="0.2">
      <c r="A3494" s="1" t="s">
        <v>95</v>
      </c>
      <c r="B3494" s="7">
        <v>46110.160138888888</v>
      </c>
      <c r="C3494" s="7">
        <v>46110.178611111114</v>
      </c>
      <c r="D3494" s="8">
        <v>46110</v>
      </c>
      <c r="E3494" s="9">
        <v>0.17861111111415084</v>
      </c>
      <c r="F3494" s="10" t="s">
        <v>3811</v>
      </c>
      <c r="G3494" s="10" t="s">
        <v>21</v>
      </c>
      <c r="H3494" s="10" t="s">
        <v>110</v>
      </c>
      <c r="I3494" s="10" t="s">
        <v>23</v>
      </c>
      <c r="J3494" s="11">
        <v>0.83</v>
      </c>
      <c r="K3494" s="12"/>
      <c r="L3494" s="12"/>
      <c r="M3494" s="12"/>
      <c r="N3494" s="12"/>
      <c r="O3494" s="12"/>
      <c r="P3494" s="12"/>
      <c r="Q3494" s="12"/>
      <c r="R3494" s="12"/>
      <c r="S3494" s="12"/>
    </row>
    <row r="3495" spans="1:19" ht="14.25" customHeight="1" x14ac:dyDescent="0.2">
      <c r="A3495" s="1" t="s">
        <v>42</v>
      </c>
      <c r="B3495" s="7">
        <v>46110.154768518521</v>
      </c>
      <c r="C3495" s="7">
        <v>46110.179039351853</v>
      </c>
      <c r="D3495" s="8">
        <v>46110</v>
      </c>
      <c r="E3495" s="9">
        <v>0.17903935185313458</v>
      </c>
      <c r="F3495" s="10" t="s">
        <v>3812</v>
      </c>
      <c r="G3495" s="10" t="s">
        <v>44</v>
      </c>
      <c r="H3495" s="10" t="s">
        <v>99</v>
      </c>
      <c r="I3495" s="10" t="s">
        <v>23</v>
      </c>
      <c r="J3495" s="11">
        <v>0.18</v>
      </c>
      <c r="K3495" s="12"/>
      <c r="L3495" s="12"/>
      <c r="M3495" s="12"/>
      <c r="N3495" s="12"/>
      <c r="O3495" s="12"/>
      <c r="P3495" s="12"/>
      <c r="Q3495" s="12"/>
      <c r="R3495" s="12"/>
      <c r="S3495" s="12"/>
    </row>
    <row r="3496" spans="1:19" ht="14.25" customHeight="1" x14ac:dyDescent="0.2">
      <c r="A3496" s="1" t="s">
        <v>95</v>
      </c>
      <c r="B3496" s="7">
        <v>46110.136863425927</v>
      </c>
      <c r="C3496" s="7">
        <v>46110.189953703702</v>
      </c>
      <c r="D3496" s="8">
        <v>46110</v>
      </c>
      <c r="E3496" s="9">
        <v>0.18995370370248565</v>
      </c>
      <c r="F3496" s="10" t="s">
        <v>3813</v>
      </c>
      <c r="G3496" s="10" t="s">
        <v>26</v>
      </c>
      <c r="H3496" s="10" t="s">
        <v>128</v>
      </c>
      <c r="I3496" s="10" t="s">
        <v>23</v>
      </c>
      <c r="J3496" s="11">
        <v>0.97</v>
      </c>
      <c r="K3496" s="12"/>
      <c r="L3496" s="12"/>
      <c r="M3496" s="12"/>
      <c r="N3496" s="12"/>
      <c r="O3496" s="12"/>
      <c r="P3496" s="12"/>
      <c r="Q3496" s="12"/>
      <c r="R3496" s="12"/>
      <c r="S3496" s="12"/>
    </row>
    <row r="3497" spans="1:19" ht="14.25" customHeight="1" x14ac:dyDescent="0.2">
      <c r="A3497" s="1" t="s">
        <v>19</v>
      </c>
      <c r="B3497" s="7">
        <v>46110.177152777775</v>
      </c>
      <c r="C3497" s="7">
        <v>46110.203738425924</v>
      </c>
      <c r="D3497" s="8">
        <v>46110</v>
      </c>
      <c r="E3497" s="9">
        <v>0.20373842592380242</v>
      </c>
      <c r="F3497" s="10" t="s">
        <v>3814</v>
      </c>
      <c r="G3497" s="10" t="s">
        <v>21</v>
      </c>
      <c r="H3497" s="10" t="s">
        <v>22</v>
      </c>
      <c r="I3497" s="10" t="s">
        <v>23</v>
      </c>
      <c r="J3497" s="11">
        <v>0.83</v>
      </c>
      <c r="K3497" s="12"/>
      <c r="L3497" s="12"/>
      <c r="M3497" s="12"/>
      <c r="N3497" s="12"/>
      <c r="O3497" s="12"/>
      <c r="P3497" s="12"/>
      <c r="Q3497" s="12"/>
      <c r="R3497" s="12"/>
      <c r="S3497" s="12"/>
    </row>
    <row r="3498" spans="1:19" ht="14.25" customHeight="1" x14ac:dyDescent="0.2">
      <c r="A3498" s="1" t="s">
        <v>19</v>
      </c>
      <c r="B3498" s="7">
        <v>46110.168726851851</v>
      </c>
      <c r="C3498" s="7">
        <v>46110.204317129632</v>
      </c>
      <c r="D3498" s="8">
        <v>46110</v>
      </c>
      <c r="E3498" s="9">
        <v>0.20431712963181781</v>
      </c>
      <c r="F3498" s="10" t="s">
        <v>3815</v>
      </c>
      <c r="G3498" s="10" t="s">
        <v>21</v>
      </c>
      <c r="H3498" s="10" t="s">
        <v>41</v>
      </c>
      <c r="I3498" s="10" t="s">
        <v>23</v>
      </c>
      <c r="J3498" s="11">
        <v>1.77</v>
      </c>
      <c r="K3498" s="12"/>
      <c r="L3498" s="12"/>
      <c r="M3498" s="12"/>
      <c r="N3498" s="12"/>
      <c r="O3498" s="12"/>
      <c r="P3498" s="12"/>
      <c r="Q3498" s="12"/>
      <c r="R3498" s="12"/>
      <c r="S3498" s="12"/>
    </row>
    <row r="3499" spans="1:19" ht="14.25" customHeight="1" x14ac:dyDescent="0.2">
      <c r="A3499" s="1" t="s">
        <v>19</v>
      </c>
      <c r="B3499" s="7">
        <v>46110.180671296293</v>
      </c>
      <c r="C3499" s="7">
        <v>46110.205150462964</v>
      </c>
      <c r="D3499" s="8">
        <v>46110</v>
      </c>
      <c r="E3499" s="9">
        <v>0.20515046296350192</v>
      </c>
      <c r="F3499" s="10" t="s">
        <v>3816</v>
      </c>
      <c r="G3499" s="10" t="s">
        <v>21</v>
      </c>
      <c r="H3499" s="10" t="s">
        <v>3817</v>
      </c>
      <c r="I3499" s="10" t="s">
        <v>23</v>
      </c>
      <c r="J3499" s="11">
        <v>3.18</v>
      </c>
      <c r="K3499" s="12"/>
      <c r="L3499" s="12"/>
      <c r="M3499" s="12"/>
      <c r="N3499" s="12"/>
      <c r="O3499" s="12"/>
      <c r="P3499" s="12"/>
      <c r="Q3499" s="12"/>
      <c r="R3499" s="12"/>
      <c r="S3499" s="12"/>
    </row>
    <row r="3500" spans="1:19" ht="14.25" customHeight="1" x14ac:dyDescent="0.2">
      <c r="A3500" s="1" t="s">
        <v>42</v>
      </c>
      <c r="B3500" s="7">
        <v>46110.158425925925</v>
      </c>
      <c r="C3500" s="7">
        <v>46110.209456018521</v>
      </c>
      <c r="D3500" s="8">
        <v>46110</v>
      </c>
      <c r="E3500" s="9">
        <v>0.20945601852145046</v>
      </c>
      <c r="F3500" s="10" t="s">
        <v>3818</v>
      </c>
      <c r="G3500" s="10" t="s">
        <v>26</v>
      </c>
      <c r="H3500" s="10" t="s">
        <v>76</v>
      </c>
      <c r="I3500" s="10" t="s">
        <v>23</v>
      </c>
      <c r="J3500" s="11">
        <v>0.75</v>
      </c>
      <c r="K3500" s="12"/>
      <c r="L3500" s="12">
        <f>SUM(J3500:J3512)</f>
        <v>10.95</v>
      </c>
      <c r="M3500" s="13">
        <f>L3500*65</f>
        <v>711.75</v>
      </c>
      <c r="N3500" s="14">
        <f>MAX(500,M3500)</f>
        <v>711.75</v>
      </c>
      <c r="O3500" s="12"/>
      <c r="P3500" s="12"/>
      <c r="Q3500" s="12"/>
      <c r="R3500" s="12"/>
      <c r="S3500" s="12"/>
    </row>
    <row r="3501" spans="1:19" ht="14.25" customHeight="1" x14ac:dyDescent="0.2">
      <c r="A3501" s="1" t="s">
        <v>95</v>
      </c>
      <c r="B3501" s="7">
        <v>46110.183576388888</v>
      </c>
      <c r="C3501" s="7">
        <v>46110.20988425926</v>
      </c>
      <c r="D3501" s="8">
        <v>46110</v>
      </c>
      <c r="E3501" s="9">
        <v>0.20988425926043419</v>
      </c>
      <c r="F3501" s="10" t="s">
        <v>3819</v>
      </c>
      <c r="G3501" s="10" t="s">
        <v>21</v>
      </c>
      <c r="H3501" s="10" t="s">
        <v>97</v>
      </c>
      <c r="I3501" s="10" t="s">
        <v>23</v>
      </c>
      <c r="J3501" s="11">
        <v>1.77</v>
      </c>
      <c r="K3501" s="12"/>
      <c r="L3501" s="12"/>
      <c r="M3501" s="12"/>
      <c r="N3501" s="12"/>
      <c r="O3501" s="12"/>
      <c r="P3501" s="12"/>
      <c r="Q3501" s="12"/>
      <c r="R3501" s="12"/>
      <c r="S3501" s="12"/>
    </row>
    <row r="3502" spans="1:19" ht="14.25" customHeight="1" x14ac:dyDescent="0.2">
      <c r="A3502" s="1" t="s">
        <v>33</v>
      </c>
      <c r="B3502" s="7">
        <v>46110.179201388892</v>
      </c>
      <c r="C3502" s="7">
        <v>46110.21334490741</v>
      </c>
      <c r="D3502" s="8">
        <v>46110</v>
      </c>
      <c r="E3502" s="9">
        <v>0.21334490740991896</v>
      </c>
      <c r="F3502" s="10" t="s">
        <v>3820</v>
      </c>
      <c r="G3502" s="10" t="s">
        <v>44</v>
      </c>
      <c r="H3502" s="10" t="s">
        <v>185</v>
      </c>
      <c r="I3502" s="10" t="s">
        <v>23</v>
      </c>
      <c r="J3502" s="11">
        <v>0.18</v>
      </c>
      <c r="K3502" s="12"/>
      <c r="L3502" s="12"/>
      <c r="M3502" s="12"/>
      <c r="N3502" s="12"/>
      <c r="O3502" s="12"/>
      <c r="P3502" s="12"/>
      <c r="Q3502" s="12"/>
      <c r="R3502" s="12"/>
      <c r="S3502" s="12"/>
    </row>
    <row r="3503" spans="1:19" ht="14.25" customHeight="1" x14ac:dyDescent="0.2">
      <c r="A3503" s="1" t="s">
        <v>33</v>
      </c>
      <c r="B3503" s="7">
        <v>46110.198148148149</v>
      </c>
      <c r="C3503" s="7">
        <v>46110.213750000003</v>
      </c>
      <c r="D3503" s="8">
        <v>46110</v>
      </c>
      <c r="E3503" s="9">
        <v>0.21375000000261934</v>
      </c>
      <c r="F3503" s="10" t="s">
        <v>3821</v>
      </c>
      <c r="G3503" s="10" t="s">
        <v>21</v>
      </c>
      <c r="H3503" s="10" t="s">
        <v>39</v>
      </c>
      <c r="I3503" s="10" t="s">
        <v>23</v>
      </c>
      <c r="J3503" s="11">
        <v>1.77</v>
      </c>
      <c r="K3503" s="12"/>
      <c r="L3503" s="12"/>
      <c r="M3503" s="12"/>
      <c r="N3503" s="12"/>
      <c r="O3503" s="12"/>
      <c r="P3503" s="12"/>
      <c r="Q3503" s="12"/>
      <c r="R3503" s="12"/>
      <c r="S3503" s="12"/>
    </row>
    <row r="3504" spans="1:19" ht="14.25" customHeight="1" x14ac:dyDescent="0.2">
      <c r="A3504" s="1" t="s">
        <v>19</v>
      </c>
      <c r="B3504" s="7">
        <v>46110.210648148146</v>
      </c>
      <c r="C3504" s="7">
        <v>46110.222442129627</v>
      </c>
      <c r="D3504" s="8">
        <v>46110</v>
      </c>
      <c r="E3504" s="9">
        <v>0.22244212962687016</v>
      </c>
      <c r="F3504" s="10" t="s">
        <v>3822</v>
      </c>
      <c r="G3504" s="10" t="s">
        <v>21</v>
      </c>
      <c r="H3504" s="10" t="s">
        <v>22</v>
      </c>
      <c r="I3504" s="10" t="s">
        <v>23</v>
      </c>
      <c r="J3504" s="11">
        <v>0.83</v>
      </c>
      <c r="K3504" s="12"/>
      <c r="L3504" s="12"/>
      <c r="M3504" s="12"/>
      <c r="N3504" s="12"/>
      <c r="O3504" s="12"/>
      <c r="P3504" s="12"/>
      <c r="Q3504" s="12"/>
      <c r="R3504" s="12"/>
      <c r="S3504" s="12"/>
    </row>
    <row r="3505" spans="1:19" ht="14.25" customHeight="1" x14ac:dyDescent="0.2">
      <c r="A3505" s="1" t="s">
        <v>33</v>
      </c>
      <c r="B3505" s="7">
        <v>46110.192083333335</v>
      </c>
      <c r="C3505" s="7">
        <v>46110.22384259259</v>
      </c>
      <c r="D3505" s="8">
        <v>46110</v>
      </c>
      <c r="E3505" s="9">
        <v>0.22384259258979</v>
      </c>
      <c r="F3505" s="10" t="s">
        <v>3823</v>
      </c>
      <c r="G3505" s="10" t="s">
        <v>26</v>
      </c>
      <c r="H3505" s="10" t="s">
        <v>92</v>
      </c>
      <c r="I3505" s="10" t="s">
        <v>23</v>
      </c>
      <c r="J3505" s="11">
        <v>0.63</v>
      </c>
      <c r="K3505" s="12"/>
      <c r="L3505" s="12"/>
      <c r="M3505" s="12"/>
      <c r="N3505" s="12"/>
      <c r="O3505" s="12"/>
      <c r="P3505" s="12"/>
      <c r="Q3505" s="12"/>
      <c r="R3505" s="12"/>
      <c r="S3505" s="12"/>
    </row>
    <row r="3506" spans="1:19" ht="14.25" customHeight="1" x14ac:dyDescent="0.2">
      <c r="A3506" s="1" t="s">
        <v>95</v>
      </c>
      <c r="B3506" s="7">
        <v>46110.195509259262</v>
      </c>
      <c r="C3506" s="7">
        <v>46110.224699074075</v>
      </c>
      <c r="D3506" s="8">
        <v>46110</v>
      </c>
      <c r="E3506" s="9">
        <v>0.22469907407503342</v>
      </c>
      <c r="F3506" s="10" t="s">
        <v>3824</v>
      </c>
      <c r="G3506" s="10" t="s">
        <v>44</v>
      </c>
      <c r="H3506" s="10" t="s">
        <v>892</v>
      </c>
      <c r="I3506" s="10" t="s">
        <v>23</v>
      </c>
      <c r="J3506" s="11">
        <v>0.18</v>
      </c>
      <c r="K3506" s="12"/>
      <c r="L3506" s="12"/>
      <c r="M3506" s="12"/>
      <c r="N3506" s="12"/>
      <c r="O3506" s="12"/>
      <c r="P3506" s="12"/>
      <c r="Q3506" s="12"/>
      <c r="R3506" s="12"/>
      <c r="S3506" s="12"/>
    </row>
    <row r="3507" spans="1:19" ht="14.25" customHeight="1" x14ac:dyDescent="0.2">
      <c r="A3507" s="1" t="s">
        <v>42</v>
      </c>
      <c r="B3507" s="7">
        <v>46110.21234953704</v>
      </c>
      <c r="C3507" s="7">
        <v>46110.230162037034</v>
      </c>
      <c r="D3507" s="8">
        <v>46110</v>
      </c>
      <c r="E3507" s="9">
        <v>0.23016203703446081</v>
      </c>
      <c r="F3507" s="10" t="s">
        <v>3825</v>
      </c>
      <c r="G3507" s="10" t="s">
        <v>44</v>
      </c>
      <c r="H3507" s="10" t="s">
        <v>50</v>
      </c>
      <c r="I3507" s="10" t="s">
        <v>23</v>
      </c>
      <c r="J3507" s="11">
        <v>0.18</v>
      </c>
      <c r="K3507" s="12"/>
      <c r="L3507" s="12"/>
      <c r="M3507" s="12"/>
      <c r="N3507" s="12"/>
      <c r="O3507" s="12"/>
      <c r="P3507" s="12"/>
      <c r="Q3507" s="12"/>
      <c r="R3507" s="12"/>
      <c r="S3507" s="12"/>
    </row>
    <row r="3508" spans="1:19" ht="14.25" customHeight="1" x14ac:dyDescent="0.2">
      <c r="A3508" s="1" t="s">
        <v>42</v>
      </c>
      <c r="B3508" s="7">
        <v>46110.206608796296</v>
      </c>
      <c r="C3508" s="7">
        <v>46110.230856481481</v>
      </c>
      <c r="D3508" s="8">
        <v>46110</v>
      </c>
      <c r="E3508" s="9">
        <v>0.23085648148116888</v>
      </c>
      <c r="F3508" s="10" t="s">
        <v>3826</v>
      </c>
      <c r="G3508" s="10" t="s">
        <v>44</v>
      </c>
      <c r="H3508" s="10" t="s">
        <v>497</v>
      </c>
      <c r="I3508" s="10" t="s">
        <v>23</v>
      </c>
      <c r="J3508" s="11">
        <v>0.18</v>
      </c>
      <c r="K3508" s="12"/>
      <c r="L3508" s="12"/>
      <c r="M3508" s="12"/>
      <c r="N3508" s="12"/>
      <c r="O3508" s="12"/>
      <c r="P3508" s="12"/>
      <c r="Q3508" s="12"/>
      <c r="R3508" s="12"/>
      <c r="S3508" s="12"/>
    </row>
    <row r="3509" spans="1:19" ht="14.25" customHeight="1" x14ac:dyDescent="0.2">
      <c r="A3509" s="1" t="s">
        <v>42</v>
      </c>
      <c r="B3509" s="7">
        <v>46110.209502314814</v>
      </c>
      <c r="C3509" s="7">
        <v>46110.231504629628</v>
      </c>
      <c r="D3509" s="8">
        <v>46110</v>
      </c>
      <c r="E3509" s="9">
        <v>0.23150462962803431</v>
      </c>
      <c r="F3509" s="10" t="s">
        <v>3827</v>
      </c>
      <c r="G3509" s="10" t="s">
        <v>44</v>
      </c>
      <c r="H3509" s="10" t="s">
        <v>140</v>
      </c>
      <c r="I3509" s="10" t="s">
        <v>23</v>
      </c>
      <c r="J3509" s="11">
        <v>0.18</v>
      </c>
      <c r="K3509" s="12"/>
      <c r="L3509" s="12"/>
      <c r="M3509" s="12"/>
      <c r="N3509" s="12"/>
      <c r="O3509" s="12"/>
      <c r="P3509" s="12"/>
      <c r="Q3509" s="12"/>
      <c r="R3509" s="12"/>
      <c r="S3509" s="12"/>
    </row>
    <row r="3510" spans="1:19" ht="14.25" customHeight="1" x14ac:dyDescent="0.2">
      <c r="A3510" s="1" t="s">
        <v>95</v>
      </c>
      <c r="B3510" s="7">
        <v>46110.217893518522</v>
      </c>
      <c r="C3510" s="7">
        <v>46110.235532407409</v>
      </c>
      <c r="D3510" s="8">
        <v>46110</v>
      </c>
      <c r="E3510" s="9">
        <v>0.23553240740875481</v>
      </c>
      <c r="F3510" s="10" t="s">
        <v>3828</v>
      </c>
      <c r="G3510" s="10" t="s">
        <v>21</v>
      </c>
      <c r="H3510" s="10" t="s">
        <v>110</v>
      </c>
      <c r="I3510" s="10" t="s">
        <v>23</v>
      </c>
      <c r="J3510" s="11">
        <v>0.83</v>
      </c>
      <c r="K3510" s="12"/>
      <c r="L3510" s="12"/>
      <c r="M3510" s="12"/>
      <c r="N3510" s="12"/>
      <c r="O3510" s="12"/>
      <c r="P3510" s="12"/>
      <c r="Q3510" s="12"/>
      <c r="R3510" s="12"/>
      <c r="S3510" s="12"/>
    </row>
    <row r="3511" spans="1:19" ht="14.25" customHeight="1" x14ac:dyDescent="0.2">
      <c r="A3511" s="1" t="s">
        <v>19</v>
      </c>
      <c r="B3511" s="7">
        <v>46110.221180555556</v>
      </c>
      <c r="C3511" s="7">
        <v>46110.24077546296</v>
      </c>
      <c r="D3511" s="8">
        <v>46110</v>
      </c>
      <c r="E3511" s="9">
        <v>0.2407754629603005</v>
      </c>
      <c r="F3511" s="10" t="s">
        <v>3829</v>
      </c>
      <c r="G3511" s="10" t="s">
        <v>21</v>
      </c>
      <c r="H3511" s="10" t="s">
        <v>39</v>
      </c>
      <c r="I3511" s="10" t="s">
        <v>23</v>
      </c>
      <c r="J3511" s="11">
        <v>1.77</v>
      </c>
      <c r="K3511" s="12"/>
      <c r="L3511" s="12"/>
      <c r="M3511" s="12"/>
      <c r="N3511" s="12"/>
      <c r="O3511" s="12"/>
      <c r="P3511" s="12"/>
      <c r="Q3511" s="12"/>
      <c r="R3511" s="12"/>
      <c r="S3511" s="12"/>
    </row>
    <row r="3512" spans="1:19" ht="14.25" customHeight="1" x14ac:dyDescent="0.2">
      <c r="A3512" s="1" t="s">
        <v>148</v>
      </c>
      <c r="B3512" s="7">
        <v>46110.226342592592</v>
      </c>
      <c r="C3512" s="7">
        <v>46110.241226851853</v>
      </c>
      <c r="D3512" s="8">
        <v>46110</v>
      </c>
      <c r="E3512" s="9">
        <v>0.24122685185284354</v>
      </c>
      <c r="F3512" s="10" t="s">
        <v>3830</v>
      </c>
      <c r="G3512" s="10" t="s">
        <v>21</v>
      </c>
      <c r="H3512" s="10" t="s">
        <v>1834</v>
      </c>
      <c r="I3512" s="10" t="s">
        <v>23</v>
      </c>
      <c r="J3512" s="11">
        <v>1.7</v>
      </c>
      <c r="K3512" s="12"/>
      <c r="L3512" s="12"/>
      <c r="M3512" s="12"/>
      <c r="N3512" s="12"/>
      <c r="O3512" s="12"/>
      <c r="P3512" s="12"/>
      <c r="Q3512" s="12"/>
      <c r="R3512" s="12"/>
      <c r="S3512" s="12"/>
    </row>
    <row r="3513" spans="1:19" ht="14.25" customHeight="1" x14ac:dyDescent="0.2">
      <c r="A3513" s="1" t="s">
        <v>95</v>
      </c>
      <c r="B3513" s="7">
        <v>46110.207349537035</v>
      </c>
      <c r="C3513" s="7">
        <v>46110.250486111108</v>
      </c>
      <c r="D3513" s="8">
        <v>46110</v>
      </c>
      <c r="E3513" s="9">
        <v>0.25048611110833008</v>
      </c>
      <c r="F3513" s="10" t="s">
        <v>3831</v>
      </c>
      <c r="G3513" s="10" t="s">
        <v>21</v>
      </c>
      <c r="H3513" s="10" t="s">
        <v>154</v>
      </c>
      <c r="I3513" s="10" t="s">
        <v>23</v>
      </c>
      <c r="J3513" s="11">
        <v>1.77</v>
      </c>
      <c r="K3513" s="12"/>
      <c r="L3513" s="12">
        <f>SUM(J3513:J3516)</f>
        <v>7.2700000000000005</v>
      </c>
      <c r="M3513" s="13">
        <f>L3513*65</f>
        <v>472.55</v>
      </c>
      <c r="N3513" s="14">
        <f>MAX(500,M3513)</f>
        <v>500</v>
      </c>
      <c r="O3513" s="12"/>
      <c r="P3513" s="12"/>
      <c r="Q3513" s="12"/>
      <c r="R3513" s="12"/>
      <c r="S3513" s="12"/>
    </row>
    <row r="3514" spans="1:19" ht="14.25" customHeight="1" x14ac:dyDescent="0.2">
      <c r="A3514" s="1" t="s">
        <v>57</v>
      </c>
      <c r="B3514" s="7">
        <v>46110.239236111112</v>
      </c>
      <c r="C3514" s="7">
        <v>46110.250949074078</v>
      </c>
      <c r="D3514" s="8">
        <v>46110</v>
      </c>
      <c r="E3514" s="9">
        <v>0.25094907407765277</v>
      </c>
      <c r="F3514" s="10" t="s">
        <v>3832</v>
      </c>
      <c r="G3514" s="10" t="s">
        <v>21</v>
      </c>
      <c r="H3514" s="10" t="s">
        <v>303</v>
      </c>
      <c r="I3514" s="10" t="s">
        <v>23</v>
      </c>
      <c r="J3514" s="11">
        <v>1.77</v>
      </c>
      <c r="K3514" s="12"/>
      <c r="L3514" s="12"/>
      <c r="M3514" s="12"/>
      <c r="N3514" s="12"/>
      <c r="O3514" s="12"/>
      <c r="P3514" s="12"/>
      <c r="Q3514" s="12"/>
      <c r="R3514" s="12"/>
      <c r="S3514" s="12"/>
    </row>
    <row r="3515" spans="1:19" ht="14.25" customHeight="1" x14ac:dyDescent="0.2">
      <c r="A3515" s="1" t="s">
        <v>95</v>
      </c>
      <c r="B3515" s="7">
        <v>46110.207349537035</v>
      </c>
      <c r="C3515" s="7">
        <v>46110.251250000001</v>
      </c>
      <c r="D3515" s="8">
        <v>46110</v>
      </c>
      <c r="E3515" s="9">
        <v>0.25125000000116415</v>
      </c>
      <c r="F3515" s="10" t="s">
        <v>3833</v>
      </c>
      <c r="G3515" s="10" t="s">
        <v>21</v>
      </c>
      <c r="H3515" s="10" t="s">
        <v>97</v>
      </c>
      <c r="I3515" s="10" t="s">
        <v>23</v>
      </c>
      <c r="J3515" s="11">
        <v>1.77</v>
      </c>
      <c r="K3515" s="12"/>
      <c r="L3515" s="12"/>
      <c r="M3515" s="12"/>
      <c r="N3515" s="12"/>
      <c r="O3515" s="12"/>
      <c r="P3515" s="12"/>
      <c r="Q3515" s="12"/>
      <c r="R3515" s="12"/>
      <c r="S3515" s="12"/>
    </row>
    <row r="3516" spans="1:19" ht="14.25" customHeight="1" x14ac:dyDescent="0.2">
      <c r="A3516" s="1" t="s">
        <v>95</v>
      </c>
      <c r="B3516" s="7">
        <v>46110.179282407407</v>
      </c>
      <c r="C3516" s="7">
        <v>46110.251851851855</v>
      </c>
      <c r="D3516" s="8">
        <v>46110</v>
      </c>
      <c r="E3516" s="9">
        <v>0.25185185185546288</v>
      </c>
      <c r="F3516" s="10" t="s">
        <v>3834</v>
      </c>
      <c r="G3516" s="10" t="s">
        <v>21</v>
      </c>
      <c r="H3516" s="10" t="s">
        <v>236</v>
      </c>
      <c r="I3516" s="10" t="s">
        <v>23</v>
      </c>
      <c r="J3516" s="11">
        <v>1.96</v>
      </c>
      <c r="K3516" s="12"/>
      <c r="L3516" s="12"/>
      <c r="M3516" s="12"/>
      <c r="N3516" s="12"/>
      <c r="O3516" s="12"/>
      <c r="P3516" s="12"/>
      <c r="Q3516" s="12"/>
      <c r="R3516" s="12"/>
      <c r="S3516" s="12"/>
    </row>
    <row r="3517" spans="1:19" ht="14.25" customHeight="1" x14ac:dyDescent="0.2">
      <c r="A3517" s="1" t="s">
        <v>24</v>
      </c>
      <c r="B3517" s="7">
        <v>46110.854826388888</v>
      </c>
      <c r="C3517" s="7">
        <v>46110.879421296297</v>
      </c>
      <c r="D3517" s="8">
        <v>46110</v>
      </c>
      <c r="E3517" s="9">
        <v>0.87942129629664123</v>
      </c>
      <c r="F3517" s="10" t="s">
        <v>3835</v>
      </c>
      <c r="G3517" s="10" t="s">
        <v>26</v>
      </c>
      <c r="H3517" s="10" t="s">
        <v>1162</v>
      </c>
      <c r="I3517" s="10" t="s">
        <v>23</v>
      </c>
      <c r="J3517" s="11">
        <v>0.78</v>
      </c>
      <c r="K3517" s="11">
        <f>SUM(J3517:J3522,J3525,J3527:J3534,J3536,J3538:J3540,J3542:J3543,J3545:J3547,J3551,J3553:J3557,J3559:J3563,J3565:J3567,J3569,J3570,J3572,J3574:J3578,J3580:J3585,J3587:J3592,J3595,J3598:J3603,J3605,J3606,J3608,J3609,J3611,J3613,J3616)</f>
        <v>90.31</v>
      </c>
      <c r="L3517" s="12">
        <f>SUM(J3517:J3531)</f>
        <v>18.02</v>
      </c>
      <c r="M3517" s="13">
        <f>L3517*65</f>
        <v>1171.3</v>
      </c>
      <c r="N3517" s="14">
        <f>MAX(500,M3517)</f>
        <v>1171.3</v>
      </c>
      <c r="O3517" s="12"/>
      <c r="P3517" s="12"/>
      <c r="Q3517" s="12"/>
      <c r="R3517" s="12"/>
      <c r="S3517" s="12"/>
    </row>
    <row r="3518" spans="1:19" ht="14.25" customHeight="1" x14ac:dyDescent="0.2">
      <c r="A3518" s="1" t="s">
        <v>24</v>
      </c>
      <c r="B3518" s="7">
        <v>46110.848726851851</v>
      </c>
      <c r="C3518" s="7">
        <v>46110.884004629632</v>
      </c>
      <c r="D3518" s="8">
        <v>46110</v>
      </c>
      <c r="E3518" s="9">
        <v>0.88400462963181781</v>
      </c>
      <c r="F3518" s="10" t="s">
        <v>3836</v>
      </c>
      <c r="G3518" s="10" t="s">
        <v>21</v>
      </c>
      <c r="H3518" s="10" t="s">
        <v>435</v>
      </c>
      <c r="I3518" s="10" t="s">
        <v>23</v>
      </c>
      <c r="J3518" s="11">
        <v>1.1299999999999999</v>
      </c>
      <c r="K3518" s="12">
        <f>SUM(J3523,J3524,J3526,J3535,J3537,J3541,J3544,J3548,J3549,J3550,J3552,J3558,J3564,J3568,J3571,J3573,J3579,J3586,J3593,J3594,J3596,J3597,J3604,J3607,J3610,J3612,J3614,J3615,J3617,J3618,J3619,J3620)</f>
        <v>38.01</v>
      </c>
      <c r="L3518" s="12"/>
      <c r="M3518" s="12"/>
      <c r="N3518" s="12"/>
      <c r="O3518" s="12"/>
      <c r="P3518" s="12"/>
      <c r="Q3518" s="12"/>
      <c r="R3518" s="12"/>
      <c r="S3518" s="12"/>
    </row>
    <row r="3519" spans="1:19" ht="14.25" customHeight="1" x14ac:dyDescent="0.2">
      <c r="A3519" s="1" t="s">
        <v>24</v>
      </c>
      <c r="B3519" s="7">
        <v>46110.858402777776</v>
      </c>
      <c r="C3519" s="7">
        <v>46110.884652777779</v>
      </c>
      <c r="D3519" s="8">
        <v>46110</v>
      </c>
      <c r="E3519" s="9">
        <v>0.88465277777868323</v>
      </c>
      <c r="F3519" s="10" t="s">
        <v>3837</v>
      </c>
      <c r="G3519" s="10" t="s">
        <v>21</v>
      </c>
      <c r="H3519" s="10" t="s">
        <v>41</v>
      </c>
      <c r="I3519" s="10" t="s">
        <v>23</v>
      </c>
      <c r="J3519" s="11">
        <v>1.77</v>
      </c>
      <c r="K3519" s="12"/>
      <c r="L3519" s="12"/>
      <c r="M3519" s="12"/>
      <c r="N3519" s="12"/>
      <c r="O3519" s="12"/>
      <c r="P3519" s="12"/>
      <c r="Q3519" s="12"/>
      <c r="R3519" s="12"/>
      <c r="S3519" s="12"/>
    </row>
    <row r="3520" spans="1:19" ht="14.25" customHeight="1" x14ac:dyDescent="0.2">
      <c r="A3520" s="1" t="s">
        <v>33</v>
      </c>
      <c r="B3520" s="7">
        <v>46110.843611111108</v>
      </c>
      <c r="C3520" s="7">
        <v>46110.886377314811</v>
      </c>
      <c r="D3520" s="8">
        <v>46110</v>
      </c>
      <c r="E3520" s="9">
        <v>0.88637731481139781</v>
      </c>
      <c r="F3520" s="10" t="s">
        <v>3838</v>
      </c>
      <c r="G3520" s="10" t="s">
        <v>26</v>
      </c>
      <c r="H3520" s="10" t="s">
        <v>205</v>
      </c>
      <c r="I3520" s="10" t="s">
        <v>23</v>
      </c>
      <c r="J3520" s="11">
        <v>0.57999999999999996</v>
      </c>
      <c r="K3520" s="12"/>
      <c r="L3520" s="12"/>
      <c r="M3520" s="12"/>
      <c r="N3520" s="12"/>
      <c r="O3520" s="12"/>
      <c r="P3520" s="12"/>
      <c r="Q3520" s="12"/>
      <c r="R3520" s="12"/>
      <c r="S3520" s="12"/>
    </row>
    <row r="3521" spans="1:19" ht="14.25" customHeight="1" x14ac:dyDescent="0.2">
      <c r="A3521" s="1" t="s">
        <v>42</v>
      </c>
      <c r="B3521" s="7">
        <v>46110.845949074072</v>
      </c>
      <c r="C3521" s="7">
        <v>46110.892013888886</v>
      </c>
      <c r="D3521" s="8">
        <v>46110</v>
      </c>
      <c r="E3521" s="9">
        <v>0.89201388888614019</v>
      </c>
      <c r="F3521" s="10" t="s">
        <v>3839</v>
      </c>
      <c r="G3521" s="10" t="s">
        <v>26</v>
      </c>
      <c r="H3521" s="10" t="s">
        <v>202</v>
      </c>
      <c r="I3521" s="10" t="s">
        <v>23</v>
      </c>
      <c r="J3521" s="11">
        <v>0.57999999999999996</v>
      </c>
      <c r="K3521" s="12"/>
      <c r="L3521" s="12"/>
      <c r="M3521" s="12"/>
      <c r="N3521" s="12"/>
      <c r="O3521" s="12"/>
      <c r="P3521" s="12"/>
      <c r="Q3521" s="12"/>
      <c r="R3521" s="12"/>
      <c r="S3521" s="12"/>
    </row>
    <row r="3522" spans="1:19" ht="14.25" customHeight="1" x14ac:dyDescent="0.2">
      <c r="A3522" s="1" t="s">
        <v>19</v>
      </c>
      <c r="B3522" s="7">
        <v>46110.868819444448</v>
      </c>
      <c r="C3522" s="7">
        <v>46110.892685185187</v>
      </c>
      <c r="D3522" s="8">
        <v>46110</v>
      </c>
      <c r="E3522" s="9">
        <v>0.89268518518656492</v>
      </c>
      <c r="F3522" s="10" t="s">
        <v>3840</v>
      </c>
      <c r="G3522" s="10" t="s">
        <v>21</v>
      </c>
      <c r="H3522" s="10" t="s">
        <v>409</v>
      </c>
      <c r="I3522" s="10" t="s">
        <v>23</v>
      </c>
      <c r="J3522" s="11">
        <v>2.9</v>
      </c>
      <c r="K3522" s="12"/>
      <c r="L3522" s="12"/>
      <c r="M3522" s="12"/>
      <c r="N3522" s="12"/>
      <c r="O3522" s="12"/>
      <c r="P3522" s="12"/>
      <c r="Q3522" s="12"/>
      <c r="R3522" s="12"/>
      <c r="S3522" s="12"/>
    </row>
    <row r="3523" spans="1:19" ht="14.25" customHeight="1" x14ac:dyDescent="0.2">
      <c r="A3523" s="1" t="s">
        <v>24</v>
      </c>
      <c r="B3523" s="19">
        <v>46110.867384259262</v>
      </c>
      <c r="C3523" s="19">
        <v>46110.892962962964</v>
      </c>
      <c r="D3523" s="20">
        <v>46110</v>
      </c>
      <c r="E3523" s="21">
        <v>0.89296296296379296</v>
      </c>
      <c r="F3523" s="1" t="s">
        <v>3841</v>
      </c>
      <c r="G3523" s="1" t="s">
        <v>21</v>
      </c>
      <c r="H3523" s="1" t="s">
        <v>22</v>
      </c>
      <c r="I3523" s="1" t="s">
        <v>166</v>
      </c>
      <c r="J3523" s="12">
        <v>0.83</v>
      </c>
      <c r="K3523" s="12"/>
      <c r="L3523" s="12"/>
      <c r="M3523" s="12"/>
      <c r="N3523" s="12"/>
      <c r="O3523" s="12"/>
      <c r="P3523" s="12"/>
      <c r="Q3523" s="12"/>
      <c r="R3523" s="12"/>
      <c r="S3523" s="12"/>
    </row>
    <row r="3524" spans="1:19" ht="14.25" customHeight="1" x14ac:dyDescent="0.2">
      <c r="A3524" s="1" t="s">
        <v>112</v>
      </c>
      <c r="B3524" s="19">
        <v>46110.892500000002</v>
      </c>
      <c r="C3524" s="19">
        <v>46110.898240740738</v>
      </c>
      <c r="D3524" s="20">
        <v>46110</v>
      </c>
      <c r="E3524" s="21">
        <v>0.89824074073840166</v>
      </c>
      <c r="F3524" s="1" t="s">
        <v>3842</v>
      </c>
      <c r="G3524" s="1" t="s">
        <v>21</v>
      </c>
      <c r="H3524" s="1" t="s">
        <v>117</v>
      </c>
      <c r="I3524" s="1" t="s">
        <v>166</v>
      </c>
      <c r="J3524" s="12">
        <v>0.83</v>
      </c>
      <c r="K3524" s="12"/>
      <c r="L3524" s="12"/>
      <c r="M3524" s="12"/>
      <c r="N3524" s="12"/>
      <c r="O3524" s="12"/>
      <c r="P3524" s="12"/>
      <c r="Q3524" s="12"/>
      <c r="R3524" s="12"/>
      <c r="S3524" s="12"/>
    </row>
    <row r="3525" spans="1:19" ht="14.25" customHeight="1" x14ac:dyDescent="0.2">
      <c r="A3525" s="1" t="s">
        <v>33</v>
      </c>
      <c r="B3525" s="7">
        <v>46110.879664351851</v>
      </c>
      <c r="C3525" s="7">
        <v>46110.900613425925</v>
      </c>
      <c r="D3525" s="8">
        <v>46110</v>
      </c>
      <c r="E3525" s="9">
        <v>0.90061342592525762</v>
      </c>
      <c r="F3525" s="10" t="s">
        <v>3843</v>
      </c>
      <c r="G3525" s="10" t="s">
        <v>21</v>
      </c>
      <c r="H3525" s="10" t="s">
        <v>41</v>
      </c>
      <c r="I3525" s="10" t="s">
        <v>23</v>
      </c>
      <c r="J3525" s="11">
        <v>1.77</v>
      </c>
      <c r="K3525" s="12"/>
      <c r="L3525" s="12"/>
      <c r="M3525" s="12"/>
      <c r="N3525" s="12"/>
      <c r="O3525" s="12"/>
      <c r="P3525" s="12"/>
      <c r="Q3525" s="12"/>
      <c r="R3525" s="12"/>
      <c r="S3525" s="12"/>
    </row>
    <row r="3526" spans="1:19" ht="14.25" customHeight="1" x14ac:dyDescent="0.2">
      <c r="A3526" s="1" t="s">
        <v>42</v>
      </c>
      <c r="B3526" s="19">
        <v>46110.876550925925</v>
      </c>
      <c r="C3526" s="19">
        <v>46110.908055555556</v>
      </c>
      <c r="D3526" s="20">
        <v>46110</v>
      </c>
      <c r="E3526" s="21">
        <v>0.90805555555562023</v>
      </c>
      <c r="F3526" s="1" t="s">
        <v>3844</v>
      </c>
      <c r="G3526" s="1" t="s">
        <v>26</v>
      </c>
      <c r="H3526" s="1" t="s">
        <v>172</v>
      </c>
      <c r="I3526" s="1" t="s">
        <v>166</v>
      </c>
      <c r="J3526" s="12">
        <v>0.67</v>
      </c>
      <c r="K3526" s="12"/>
      <c r="L3526" s="12"/>
      <c r="M3526" s="12"/>
      <c r="N3526" s="12"/>
      <c r="O3526" s="12"/>
      <c r="P3526" s="12"/>
      <c r="Q3526" s="12"/>
      <c r="R3526" s="12"/>
      <c r="S3526" s="12"/>
    </row>
    <row r="3527" spans="1:19" ht="14.25" customHeight="1" x14ac:dyDescent="0.2">
      <c r="A3527" s="1" t="s">
        <v>57</v>
      </c>
      <c r="B3527" s="7">
        <v>46110.904502314814</v>
      </c>
      <c r="C3527" s="7">
        <v>46110.911574074074</v>
      </c>
      <c r="D3527" s="8">
        <v>46110</v>
      </c>
      <c r="E3527" s="9">
        <v>0.91157407407445135</v>
      </c>
      <c r="F3527" s="10" t="s">
        <v>3845</v>
      </c>
      <c r="G3527" s="10" t="s">
        <v>21</v>
      </c>
      <c r="H3527" s="10" t="s">
        <v>59</v>
      </c>
      <c r="I3527" s="10" t="s">
        <v>23</v>
      </c>
      <c r="J3527" s="11">
        <v>0.83</v>
      </c>
      <c r="K3527" s="12"/>
      <c r="L3527" s="12"/>
      <c r="M3527" s="12"/>
      <c r="N3527" s="12"/>
      <c r="O3527" s="12"/>
      <c r="P3527" s="12"/>
      <c r="Q3527" s="12"/>
      <c r="R3527" s="12"/>
      <c r="S3527" s="12"/>
    </row>
    <row r="3528" spans="1:19" ht="14.25" customHeight="1" x14ac:dyDescent="0.2">
      <c r="A3528" s="1" t="s">
        <v>24</v>
      </c>
      <c r="B3528" s="7">
        <v>46110.870983796296</v>
      </c>
      <c r="C3528" s="7">
        <v>46110.911979166667</v>
      </c>
      <c r="D3528" s="8">
        <v>46110</v>
      </c>
      <c r="E3528" s="9">
        <v>0.91197916666715173</v>
      </c>
      <c r="F3528" s="10" t="s">
        <v>3846</v>
      </c>
      <c r="G3528" s="10" t="s">
        <v>21</v>
      </c>
      <c r="H3528" s="10" t="s">
        <v>101</v>
      </c>
      <c r="I3528" s="10" t="s">
        <v>23</v>
      </c>
      <c r="J3528" s="11">
        <v>1.7</v>
      </c>
      <c r="K3528" s="12"/>
      <c r="L3528" s="12"/>
      <c r="M3528" s="12"/>
      <c r="N3528" s="12"/>
      <c r="O3528" s="12"/>
      <c r="P3528" s="12"/>
      <c r="Q3528" s="12"/>
      <c r="R3528" s="12"/>
      <c r="S3528" s="12"/>
    </row>
    <row r="3529" spans="1:19" ht="14.25" customHeight="1" x14ac:dyDescent="0.2">
      <c r="A3529" s="1" t="s">
        <v>57</v>
      </c>
      <c r="B3529" s="7">
        <v>46110.906006944446</v>
      </c>
      <c r="C3529" s="7">
        <v>46110.915625000001</v>
      </c>
      <c r="D3529" s="8">
        <v>46110</v>
      </c>
      <c r="E3529" s="9">
        <v>0.91562500000145519</v>
      </c>
      <c r="F3529" s="10" t="s">
        <v>3847</v>
      </c>
      <c r="G3529" s="10" t="s">
        <v>21</v>
      </c>
      <c r="H3529" s="10" t="s">
        <v>2791</v>
      </c>
      <c r="I3529" s="10" t="s">
        <v>23</v>
      </c>
      <c r="J3529" s="11">
        <v>1.05</v>
      </c>
      <c r="K3529" s="12"/>
      <c r="L3529" s="12"/>
      <c r="M3529" s="12"/>
      <c r="N3529" s="12"/>
      <c r="O3529" s="12"/>
      <c r="P3529" s="12"/>
      <c r="Q3529" s="12"/>
      <c r="R3529" s="12"/>
      <c r="S3529" s="12"/>
    </row>
    <row r="3530" spans="1:19" ht="14.25" customHeight="1" x14ac:dyDescent="0.2">
      <c r="A3530" s="1" t="s">
        <v>24</v>
      </c>
      <c r="B3530" s="7">
        <v>46110.894386574073</v>
      </c>
      <c r="C3530" s="7">
        <v>46110.916041666664</v>
      </c>
      <c r="D3530" s="8">
        <v>46110</v>
      </c>
      <c r="E3530" s="9">
        <v>0.91604166666365927</v>
      </c>
      <c r="F3530" s="10" t="s">
        <v>3848</v>
      </c>
      <c r="G3530" s="10" t="s">
        <v>21</v>
      </c>
      <c r="H3530" s="10" t="s">
        <v>41</v>
      </c>
      <c r="I3530" s="10" t="s">
        <v>23</v>
      </c>
      <c r="J3530" s="11">
        <v>1.77</v>
      </c>
      <c r="K3530" s="12"/>
      <c r="L3530" s="12"/>
      <c r="M3530" s="12"/>
      <c r="N3530" s="12"/>
      <c r="O3530" s="12"/>
      <c r="P3530" s="12"/>
      <c r="Q3530" s="12"/>
      <c r="R3530" s="12"/>
      <c r="S3530" s="12"/>
    </row>
    <row r="3531" spans="1:19" ht="14.25" customHeight="1" x14ac:dyDescent="0.2">
      <c r="A3531" s="1" t="s">
        <v>28</v>
      </c>
      <c r="B3531" s="7">
        <v>46110.905127314814</v>
      </c>
      <c r="C3531" s="7">
        <v>46110.916400462964</v>
      </c>
      <c r="D3531" s="8">
        <v>46110</v>
      </c>
      <c r="E3531" s="9">
        <v>0.91640046296379296</v>
      </c>
      <c r="F3531" s="10" t="s">
        <v>3849</v>
      </c>
      <c r="G3531" s="10" t="s">
        <v>21</v>
      </c>
      <c r="H3531" s="10" t="s">
        <v>22</v>
      </c>
      <c r="I3531" s="10" t="s">
        <v>23</v>
      </c>
      <c r="J3531" s="11">
        <v>0.83</v>
      </c>
      <c r="K3531" s="12"/>
      <c r="L3531" s="12"/>
      <c r="M3531" s="12"/>
      <c r="N3531" s="12"/>
      <c r="O3531" s="12"/>
      <c r="P3531" s="12"/>
      <c r="Q3531" s="12"/>
      <c r="R3531" s="12"/>
      <c r="S3531" s="12"/>
    </row>
    <row r="3532" spans="1:19" ht="14.25" customHeight="1" x14ac:dyDescent="0.2">
      <c r="A3532" s="1" t="s">
        <v>24</v>
      </c>
      <c r="B3532" s="7">
        <v>46110.88140046296</v>
      </c>
      <c r="C3532" s="7">
        <v>46110.920937499999</v>
      </c>
      <c r="D3532" s="8">
        <v>46110</v>
      </c>
      <c r="E3532" s="9">
        <v>0.92093749999912689</v>
      </c>
      <c r="F3532" s="10" t="s">
        <v>3850</v>
      </c>
      <c r="G3532" s="10" t="s">
        <v>21</v>
      </c>
      <c r="H3532" s="10" t="s">
        <v>440</v>
      </c>
      <c r="I3532" s="10" t="s">
        <v>23</v>
      </c>
      <c r="J3532" s="11">
        <v>2.34</v>
      </c>
      <c r="K3532" s="12"/>
      <c r="L3532" s="12">
        <f>SUM(J3532:J3548)</f>
        <v>22.22</v>
      </c>
      <c r="M3532" s="13">
        <f>L3532*65</f>
        <v>1444.3</v>
      </c>
      <c r="N3532" s="14">
        <f>MAX(500,M3532)</f>
        <v>1444.3</v>
      </c>
      <c r="O3532" s="12"/>
      <c r="P3532" s="12"/>
      <c r="Q3532" s="12"/>
      <c r="R3532" s="12"/>
      <c r="S3532" s="12"/>
    </row>
    <row r="3533" spans="1:19" ht="14.25" customHeight="1" x14ac:dyDescent="0.2">
      <c r="A3533" s="1" t="s">
        <v>24</v>
      </c>
      <c r="B3533" s="7">
        <v>46110.881979166668</v>
      </c>
      <c r="C3533" s="7">
        <v>46110.921469907407</v>
      </c>
      <c r="D3533" s="8">
        <v>46110</v>
      </c>
      <c r="E3533" s="9">
        <v>0.92146990740729962</v>
      </c>
      <c r="F3533" s="10" t="s">
        <v>3851</v>
      </c>
      <c r="G3533" s="10" t="s">
        <v>26</v>
      </c>
      <c r="H3533" s="10" t="s">
        <v>3625</v>
      </c>
      <c r="I3533" s="10" t="s">
        <v>23</v>
      </c>
      <c r="J3533" s="11">
        <v>0.68</v>
      </c>
      <c r="K3533" s="12"/>
      <c r="L3533" s="12"/>
      <c r="M3533" s="12"/>
      <c r="N3533" s="12"/>
      <c r="O3533" s="12"/>
      <c r="P3533" s="12"/>
      <c r="Q3533" s="12"/>
      <c r="R3533" s="12"/>
      <c r="S3533" s="12"/>
    </row>
    <row r="3534" spans="1:19" ht="14.25" customHeight="1" x14ac:dyDescent="0.2">
      <c r="A3534" s="1" t="s">
        <v>42</v>
      </c>
      <c r="B3534" s="7">
        <v>46110.913148148145</v>
      </c>
      <c r="C3534" s="7">
        <v>46110.921805555554</v>
      </c>
      <c r="D3534" s="8">
        <v>46110</v>
      </c>
      <c r="E3534" s="9">
        <v>0.921805555553874</v>
      </c>
      <c r="F3534" s="10" t="s">
        <v>3852</v>
      </c>
      <c r="G3534" s="10" t="s">
        <v>44</v>
      </c>
      <c r="H3534" s="10" t="s">
        <v>140</v>
      </c>
      <c r="I3534" s="10" t="s">
        <v>23</v>
      </c>
      <c r="J3534" s="11">
        <v>0.18</v>
      </c>
      <c r="K3534" s="12"/>
      <c r="L3534" s="12"/>
      <c r="M3534" s="12"/>
      <c r="N3534" s="12"/>
      <c r="O3534" s="12"/>
      <c r="P3534" s="12"/>
      <c r="Q3534" s="12"/>
      <c r="R3534" s="12"/>
      <c r="S3534" s="12"/>
    </row>
    <row r="3535" spans="1:19" ht="14.25" customHeight="1" x14ac:dyDescent="0.2">
      <c r="A3535" s="1" t="s">
        <v>24</v>
      </c>
      <c r="B3535" s="19">
        <v>46110.90525462963</v>
      </c>
      <c r="C3535" s="19">
        <v>46110.922175925924</v>
      </c>
      <c r="D3535" s="20">
        <v>46110</v>
      </c>
      <c r="E3535" s="21">
        <v>0.92217592592351139</v>
      </c>
      <c r="F3535" s="1" t="s">
        <v>3853</v>
      </c>
      <c r="G3535" s="1" t="s">
        <v>21</v>
      </c>
      <c r="H3535" s="1" t="s">
        <v>435</v>
      </c>
      <c r="I3535" s="1" t="s">
        <v>166</v>
      </c>
      <c r="J3535" s="12">
        <v>1.1299999999999999</v>
      </c>
      <c r="K3535" s="12"/>
      <c r="L3535" s="12"/>
      <c r="M3535" s="12"/>
      <c r="N3535" s="12"/>
      <c r="O3535" s="12"/>
      <c r="P3535" s="12"/>
      <c r="Q3535" s="12"/>
      <c r="R3535" s="12"/>
      <c r="S3535" s="12"/>
    </row>
    <row r="3536" spans="1:19" ht="14.25" customHeight="1" x14ac:dyDescent="0.2">
      <c r="A3536" s="1" t="s">
        <v>19</v>
      </c>
      <c r="B3536" s="7">
        <v>46110.902303240742</v>
      </c>
      <c r="C3536" s="7">
        <v>46110.923391203702</v>
      </c>
      <c r="D3536" s="8">
        <v>46110</v>
      </c>
      <c r="E3536" s="9">
        <v>0.92339120370161254</v>
      </c>
      <c r="F3536" s="10" t="s">
        <v>3854</v>
      </c>
      <c r="G3536" s="10" t="s">
        <v>26</v>
      </c>
      <c r="H3536" s="10" t="s">
        <v>3855</v>
      </c>
      <c r="I3536" s="10" t="s">
        <v>23</v>
      </c>
      <c r="J3536" s="11">
        <v>0.57999999999999996</v>
      </c>
      <c r="K3536" s="12"/>
      <c r="L3536" s="12"/>
      <c r="M3536" s="12"/>
      <c r="N3536" s="12"/>
      <c r="O3536" s="12"/>
      <c r="P3536" s="12"/>
      <c r="Q3536" s="12"/>
      <c r="R3536" s="12"/>
      <c r="S3536" s="12"/>
    </row>
    <row r="3537" spans="1:19" ht="14.25" customHeight="1" x14ac:dyDescent="0.2">
      <c r="A3537" s="1" t="s">
        <v>19</v>
      </c>
      <c r="B3537" s="19">
        <v>46110.884988425925</v>
      </c>
      <c r="C3537" s="19">
        <v>46110.925254629627</v>
      </c>
      <c r="D3537" s="20">
        <v>46110</v>
      </c>
      <c r="E3537" s="21">
        <v>0.92525462962657912</v>
      </c>
      <c r="F3537" s="1" t="s">
        <v>3856</v>
      </c>
      <c r="G3537" s="1" t="s">
        <v>26</v>
      </c>
      <c r="H3537" s="1" t="s">
        <v>202</v>
      </c>
      <c r="I3537" s="1" t="s">
        <v>166</v>
      </c>
      <c r="J3537" s="12">
        <v>0.57999999999999996</v>
      </c>
      <c r="K3537" s="12"/>
      <c r="L3537" s="12"/>
      <c r="M3537" s="12"/>
      <c r="N3537" s="12"/>
      <c r="O3537" s="12"/>
      <c r="P3537" s="12"/>
      <c r="Q3537" s="12"/>
      <c r="R3537" s="12"/>
      <c r="S3537" s="12"/>
    </row>
    <row r="3538" spans="1:19" ht="14.25" customHeight="1" x14ac:dyDescent="0.2">
      <c r="A3538" s="1" t="s">
        <v>33</v>
      </c>
      <c r="B3538" s="7">
        <v>46110.909131944441</v>
      </c>
      <c r="C3538" s="7">
        <v>46110.930775462963</v>
      </c>
      <c r="D3538" s="8">
        <v>46110</v>
      </c>
      <c r="E3538" s="9">
        <v>0.93077546296262881</v>
      </c>
      <c r="F3538" s="10" t="s">
        <v>3857</v>
      </c>
      <c r="G3538" s="10" t="s">
        <v>21</v>
      </c>
      <c r="H3538" s="10" t="s">
        <v>101</v>
      </c>
      <c r="I3538" s="10" t="s">
        <v>23</v>
      </c>
      <c r="J3538" s="11">
        <v>1.7</v>
      </c>
      <c r="K3538" s="12"/>
      <c r="L3538" s="12"/>
      <c r="M3538" s="12"/>
      <c r="N3538" s="12"/>
      <c r="O3538" s="12"/>
      <c r="P3538" s="12"/>
      <c r="Q3538" s="12"/>
      <c r="R3538" s="12"/>
      <c r="S3538" s="12"/>
    </row>
    <row r="3539" spans="1:19" ht="14.25" customHeight="1" x14ac:dyDescent="0.2">
      <c r="A3539" s="1" t="s">
        <v>33</v>
      </c>
      <c r="B3539" s="7">
        <v>46110.913969907408</v>
      </c>
      <c r="C3539" s="7">
        <v>46110.931180555555</v>
      </c>
      <c r="D3539" s="8">
        <v>46110</v>
      </c>
      <c r="E3539" s="9">
        <v>0.93118055555532919</v>
      </c>
      <c r="F3539" s="10" t="s">
        <v>3858</v>
      </c>
      <c r="G3539" s="10" t="s">
        <v>21</v>
      </c>
      <c r="H3539" s="10" t="s">
        <v>101</v>
      </c>
      <c r="I3539" s="10" t="s">
        <v>23</v>
      </c>
      <c r="J3539" s="11">
        <v>1.7</v>
      </c>
      <c r="K3539" s="12"/>
      <c r="L3539" s="12"/>
      <c r="M3539" s="12"/>
      <c r="N3539" s="12"/>
      <c r="O3539" s="12"/>
      <c r="P3539" s="12"/>
      <c r="Q3539" s="12"/>
      <c r="R3539" s="12"/>
      <c r="S3539" s="12"/>
    </row>
    <row r="3540" spans="1:19" ht="14.25" customHeight="1" x14ac:dyDescent="0.2">
      <c r="A3540" s="1" t="s">
        <v>24</v>
      </c>
      <c r="B3540" s="7">
        <v>46110.921030092592</v>
      </c>
      <c r="C3540" s="7">
        <v>46110.931435185186</v>
      </c>
      <c r="D3540" s="8">
        <v>46110</v>
      </c>
      <c r="E3540" s="9">
        <v>0.93143518518627388</v>
      </c>
      <c r="F3540" s="10" t="s">
        <v>3859</v>
      </c>
      <c r="G3540" s="10" t="s">
        <v>21</v>
      </c>
      <c r="H3540" s="10" t="s">
        <v>22</v>
      </c>
      <c r="I3540" s="10" t="s">
        <v>23</v>
      </c>
      <c r="J3540" s="11">
        <v>0.83</v>
      </c>
      <c r="K3540" s="12"/>
      <c r="L3540" s="12"/>
      <c r="M3540" s="12"/>
      <c r="N3540" s="12"/>
      <c r="O3540" s="12"/>
      <c r="P3540" s="12"/>
      <c r="Q3540" s="12"/>
      <c r="R3540" s="12"/>
      <c r="S3540" s="12"/>
    </row>
    <row r="3541" spans="1:19" ht="14.25" customHeight="1" x14ac:dyDescent="0.2">
      <c r="A3541" s="1" t="s">
        <v>24</v>
      </c>
      <c r="B3541" s="19">
        <v>46110.915150462963</v>
      </c>
      <c r="C3541" s="19">
        <v>46110.937638888892</v>
      </c>
      <c r="D3541" s="20">
        <v>46110</v>
      </c>
      <c r="E3541" s="21">
        <v>0.937638888892252</v>
      </c>
      <c r="F3541" s="1" t="s">
        <v>3860</v>
      </c>
      <c r="G3541" s="1" t="s">
        <v>21</v>
      </c>
      <c r="H3541" s="1" t="s">
        <v>39</v>
      </c>
      <c r="I3541" s="1" t="s">
        <v>166</v>
      </c>
      <c r="J3541" s="12">
        <v>1.77</v>
      </c>
      <c r="K3541" s="12"/>
      <c r="L3541" s="12"/>
      <c r="M3541" s="12"/>
      <c r="N3541" s="12"/>
      <c r="O3541" s="12"/>
      <c r="P3541" s="12"/>
      <c r="Q3541" s="12"/>
      <c r="R3541" s="12"/>
      <c r="S3541" s="12"/>
    </row>
    <row r="3542" spans="1:19" ht="14.25" customHeight="1" x14ac:dyDescent="0.2">
      <c r="A3542" s="1" t="s">
        <v>28</v>
      </c>
      <c r="B3542" s="7">
        <v>46110.920868055553</v>
      </c>
      <c r="C3542" s="7">
        <v>46110.939155092594</v>
      </c>
      <c r="D3542" s="8">
        <v>46110</v>
      </c>
      <c r="E3542" s="9">
        <v>0.93915509259386454</v>
      </c>
      <c r="F3542" s="10" t="s">
        <v>3861</v>
      </c>
      <c r="G3542" s="10" t="s">
        <v>21</v>
      </c>
      <c r="H3542" s="10" t="s">
        <v>22</v>
      </c>
      <c r="I3542" s="10" t="s">
        <v>23</v>
      </c>
      <c r="J3542" s="11">
        <v>0.83</v>
      </c>
      <c r="K3542" s="12"/>
      <c r="L3542" s="12"/>
      <c r="M3542" s="12"/>
      <c r="N3542" s="12"/>
      <c r="O3542" s="12"/>
      <c r="P3542" s="12"/>
      <c r="Q3542" s="12"/>
      <c r="R3542" s="12"/>
      <c r="S3542" s="12"/>
    </row>
    <row r="3543" spans="1:19" ht="14.25" customHeight="1" x14ac:dyDescent="0.2">
      <c r="A3543" s="1" t="s">
        <v>28</v>
      </c>
      <c r="B3543" s="7">
        <v>46110.925659722219</v>
      </c>
      <c r="C3543" s="7">
        <v>46110.941921296297</v>
      </c>
      <c r="D3543" s="8">
        <v>46110</v>
      </c>
      <c r="E3543" s="9">
        <v>0.94192129629664123</v>
      </c>
      <c r="F3543" s="10" t="s">
        <v>3862</v>
      </c>
      <c r="G3543" s="10" t="s">
        <v>21</v>
      </c>
      <c r="H3543" s="10" t="s">
        <v>409</v>
      </c>
      <c r="I3543" s="10" t="s">
        <v>23</v>
      </c>
      <c r="J3543" s="11">
        <v>2.9</v>
      </c>
      <c r="K3543" s="12"/>
      <c r="L3543" s="12"/>
      <c r="M3543" s="12"/>
      <c r="N3543" s="12"/>
      <c r="O3543" s="12"/>
      <c r="P3543" s="12"/>
      <c r="Q3543" s="12"/>
      <c r="R3543" s="12"/>
      <c r="S3543" s="12"/>
    </row>
    <row r="3544" spans="1:19" ht="14.25" customHeight="1" x14ac:dyDescent="0.2">
      <c r="A3544" s="1" t="s">
        <v>28</v>
      </c>
      <c r="B3544" s="19">
        <v>46110.922361111108</v>
      </c>
      <c r="C3544" s="19">
        <v>46110.943391203706</v>
      </c>
      <c r="D3544" s="20">
        <v>46110</v>
      </c>
      <c r="E3544" s="21">
        <v>0.94339120370568708</v>
      </c>
      <c r="F3544" s="1" t="s">
        <v>3863</v>
      </c>
      <c r="G3544" s="1" t="s">
        <v>21</v>
      </c>
      <c r="H3544" s="1" t="s">
        <v>52</v>
      </c>
      <c r="I3544" s="1" t="s">
        <v>166</v>
      </c>
      <c r="J3544" s="12">
        <v>0.98</v>
      </c>
      <c r="K3544" s="12"/>
      <c r="L3544" s="12"/>
      <c r="M3544" s="12"/>
      <c r="N3544" s="12"/>
      <c r="O3544" s="12"/>
      <c r="P3544" s="12"/>
      <c r="Q3544" s="12"/>
      <c r="R3544" s="12"/>
      <c r="S3544" s="12"/>
    </row>
    <row r="3545" spans="1:19" ht="14.25" customHeight="1" x14ac:dyDescent="0.2">
      <c r="A3545" s="1" t="s">
        <v>19</v>
      </c>
      <c r="B3545" s="7">
        <v>46110.878518518519</v>
      </c>
      <c r="C3545" s="7">
        <v>46110.949687499997</v>
      </c>
      <c r="D3545" s="8">
        <v>46110</v>
      </c>
      <c r="E3545" s="9">
        <v>0.94968749999679858</v>
      </c>
      <c r="F3545" s="10" t="s">
        <v>3864</v>
      </c>
      <c r="G3545" s="10" t="s">
        <v>44</v>
      </c>
      <c r="H3545" s="10" t="s">
        <v>3865</v>
      </c>
      <c r="I3545" s="10" t="s">
        <v>23</v>
      </c>
      <c r="J3545" s="11">
        <v>0.27</v>
      </c>
      <c r="K3545" s="12"/>
      <c r="L3545" s="12"/>
      <c r="M3545" s="12"/>
      <c r="N3545" s="12"/>
      <c r="O3545" s="12"/>
      <c r="P3545" s="12"/>
      <c r="Q3545" s="12"/>
      <c r="R3545" s="12"/>
      <c r="S3545" s="12"/>
    </row>
    <row r="3546" spans="1:19" ht="14.25" customHeight="1" x14ac:dyDescent="0.2">
      <c r="A3546" s="1" t="s">
        <v>19</v>
      </c>
      <c r="B3546" s="7">
        <v>46110.916215277779</v>
      </c>
      <c r="C3546" s="7">
        <v>46110.950601851851</v>
      </c>
      <c r="D3546" s="8">
        <v>46110</v>
      </c>
      <c r="E3546" s="9">
        <v>0.95060185185138835</v>
      </c>
      <c r="F3546" s="10" t="s">
        <v>3866</v>
      </c>
      <c r="G3546" s="10" t="s">
        <v>21</v>
      </c>
      <c r="H3546" s="10" t="s">
        <v>3867</v>
      </c>
      <c r="I3546" s="10" t="s">
        <v>23</v>
      </c>
      <c r="J3546" s="11">
        <v>1.71</v>
      </c>
      <c r="K3546" s="12"/>
      <c r="L3546" s="12"/>
      <c r="M3546" s="12"/>
      <c r="N3546" s="12"/>
      <c r="O3546" s="12"/>
      <c r="P3546" s="12"/>
      <c r="Q3546" s="12"/>
      <c r="R3546" s="12"/>
      <c r="S3546" s="12"/>
    </row>
    <row r="3547" spans="1:19" ht="14.25" customHeight="1" x14ac:dyDescent="0.2">
      <c r="A3547" s="1" t="s">
        <v>28</v>
      </c>
      <c r="B3547" s="7">
        <v>46110.882986111108</v>
      </c>
      <c r="C3547" s="7">
        <v>46110.951481481483</v>
      </c>
      <c r="D3547" s="8">
        <v>46110</v>
      </c>
      <c r="E3547" s="9">
        <v>0.95148148148291511</v>
      </c>
      <c r="F3547" s="10" t="s">
        <v>3868</v>
      </c>
      <c r="G3547" s="10" t="s">
        <v>21</v>
      </c>
      <c r="H3547" s="10" t="s">
        <v>440</v>
      </c>
      <c r="I3547" s="10" t="s">
        <v>23</v>
      </c>
      <c r="J3547" s="11">
        <v>2.34</v>
      </c>
      <c r="K3547" s="12"/>
      <c r="L3547" s="12"/>
      <c r="M3547" s="12"/>
      <c r="N3547" s="12"/>
      <c r="O3547" s="12"/>
      <c r="P3547" s="12"/>
      <c r="Q3547" s="12"/>
      <c r="R3547" s="12"/>
      <c r="S3547" s="12"/>
    </row>
    <row r="3548" spans="1:19" ht="14.25" customHeight="1" x14ac:dyDescent="0.2">
      <c r="A3548" s="1" t="s">
        <v>19</v>
      </c>
      <c r="B3548" s="19">
        <v>46110.934837962966</v>
      </c>
      <c r="C3548" s="19">
        <v>46110.954664351855</v>
      </c>
      <c r="D3548" s="20">
        <v>46110</v>
      </c>
      <c r="E3548" s="21">
        <v>0.95466435185517184</v>
      </c>
      <c r="F3548" s="1" t="s">
        <v>3869</v>
      </c>
      <c r="G3548" s="1" t="s">
        <v>21</v>
      </c>
      <c r="H3548" s="1" t="s">
        <v>101</v>
      </c>
      <c r="I3548" s="1" t="s">
        <v>166</v>
      </c>
      <c r="J3548" s="12">
        <v>1.7</v>
      </c>
      <c r="K3548" s="12"/>
      <c r="L3548" s="12"/>
      <c r="M3548" s="12"/>
      <c r="N3548" s="12"/>
      <c r="O3548" s="12"/>
      <c r="P3548" s="12"/>
      <c r="Q3548" s="12"/>
      <c r="R3548" s="12"/>
      <c r="S3548" s="12"/>
    </row>
    <row r="3549" spans="1:19" ht="14.25" customHeight="1" x14ac:dyDescent="0.2">
      <c r="A3549" s="1" t="s">
        <v>42</v>
      </c>
      <c r="B3549" s="19">
        <v>46110.915046296293</v>
      </c>
      <c r="C3549" s="19">
        <v>46110.959039351852</v>
      </c>
      <c r="D3549" s="20">
        <v>46110</v>
      </c>
      <c r="E3549" s="21">
        <v>0.95903935185197042</v>
      </c>
      <c r="F3549" s="1" t="s">
        <v>3870</v>
      </c>
      <c r="G3549" s="1" t="s">
        <v>26</v>
      </c>
      <c r="H3549" s="1" t="s">
        <v>172</v>
      </c>
      <c r="I3549" s="1" t="s">
        <v>166</v>
      </c>
      <c r="J3549" s="12">
        <v>0.67</v>
      </c>
      <c r="K3549" s="12"/>
      <c r="L3549" s="12">
        <f>SUM(J3549:J3566)</f>
        <v>22.33</v>
      </c>
      <c r="M3549" s="13">
        <f>L3549*65</f>
        <v>1451.4499999999998</v>
      </c>
      <c r="N3549" s="14">
        <f>MAX(500,M3549)</f>
        <v>1451.4499999999998</v>
      </c>
      <c r="O3549" s="12"/>
      <c r="P3549" s="12"/>
      <c r="Q3549" s="12"/>
      <c r="R3549" s="12"/>
      <c r="S3549" s="12"/>
    </row>
    <row r="3550" spans="1:19" ht="14.25" customHeight="1" x14ac:dyDescent="0.2">
      <c r="A3550" s="1" t="s">
        <v>24</v>
      </c>
      <c r="B3550" s="19">
        <v>46110.939375000002</v>
      </c>
      <c r="C3550" s="19">
        <v>46110.960196759261</v>
      </c>
      <c r="D3550" s="20">
        <v>46110</v>
      </c>
      <c r="E3550" s="21">
        <v>0.96019675926072523</v>
      </c>
      <c r="F3550" s="1" t="s">
        <v>3871</v>
      </c>
      <c r="G3550" s="1" t="s">
        <v>26</v>
      </c>
      <c r="H3550" s="1" t="s">
        <v>80</v>
      </c>
      <c r="I3550" s="1" t="s">
        <v>166</v>
      </c>
      <c r="J3550" s="12">
        <v>0.56999999999999995</v>
      </c>
      <c r="K3550" s="12"/>
      <c r="L3550" s="12"/>
      <c r="M3550" s="12"/>
      <c r="N3550" s="12"/>
      <c r="O3550" s="12"/>
      <c r="P3550" s="12"/>
      <c r="Q3550" s="12"/>
      <c r="R3550" s="12"/>
      <c r="S3550" s="12"/>
    </row>
    <row r="3551" spans="1:19" ht="14.25" customHeight="1" x14ac:dyDescent="0.2">
      <c r="A3551" s="1" t="s">
        <v>28</v>
      </c>
      <c r="B3551" s="7">
        <v>46110.950520833336</v>
      </c>
      <c r="C3551" s="7">
        <v>46110.963530092595</v>
      </c>
      <c r="D3551" s="8">
        <v>46110</v>
      </c>
      <c r="E3551" s="9">
        <v>0.96353009259473765</v>
      </c>
      <c r="F3551" s="10" t="s">
        <v>3872</v>
      </c>
      <c r="G3551" s="10" t="s">
        <v>21</v>
      </c>
      <c r="H3551" s="10" t="s">
        <v>22</v>
      </c>
      <c r="I3551" s="10" t="s">
        <v>23</v>
      </c>
      <c r="J3551" s="11">
        <v>0.83</v>
      </c>
      <c r="K3551" s="12"/>
      <c r="L3551" s="12"/>
      <c r="M3551" s="12"/>
      <c r="N3551" s="12"/>
      <c r="O3551" s="12"/>
      <c r="P3551" s="12"/>
      <c r="Q3551" s="12"/>
      <c r="R3551" s="12"/>
      <c r="S3551" s="12"/>
    </row>
    <row r="3552" spans="1:19" ht="14.25" customHeight="1" x14ac:dyDescent="0.2">
      <c r="A3552" s="1" t="s">
        <v>19</v>
      </c>
      <c r="B3552" s="19">
        <v>46110.952303240738</v>
      </c>
      <c r="C3552" s="19">
        <v>46110.969942129632</v>
      </c>
      <c r="D3552" s="20">
        <v>46110</v>
      </c>
      <c r="E3552" s="21">
        <v>0.96994212963181781</v>
      </c>
      <c r="F3552" s="1" t="s">
        <v>3873</v>
      </c>
      <c r="G3552" s="1" t="s">
        <v>21</v>
      </c>
      <c r="H3552" s="1" t="s">
        <v>41</v>
      </c>
      <c r="I3552" s="1" t="s">
        <v>166</v>
      </c>
      <c r="J3552" s="12">
        <v>1.77</v>
      </c>
      <c r="K3552" s="12"/>
      <c r="L3552" s="12"/>
      <c r="M3552" s="12"/>
      <c r="N3552" s="12"/>
      <c r="O3552" s="12"/>
      <c r="P3552" s="12"/>
      <c r="Q3552" s="12"/>
      <c r="R3552" s="12"/>
      <c r="S3552" s="12"/>
    </row>
    <row r="3553" spans="1:19" ht="14.25" customHeight="1" x14ac:dyDescent="0.2">
      <c r="A3553" s="1" t="s">
        <v>95</v>
      </c>
      <c r="B3553" s="7">
        <v>46110.937743055554</v>
      </c>
      <c r="C3553" s="7">
        <v>46110.976759259262</v>
      </c>
      <c r="D3553" s="8">
        <v>46110</v>
      </c>
      <c r="E3553" s="9">
        <v>0.97675925926159834</v>
      </c>
      <c r="F3553" s="10" t="s">
        <v>3874</v>
      </c>
      <c r="G3553" s="10" t="s">
        <v>21</v>
      </c>
      <c r="H3553" s="10" t="s">
        <v>3875</v>
      </c>
      <c r="I3553" s="10" t="s">
        <v>23</v>
      </c>
      <c r="J3553" s="11">
        <v>1.1299999999999999</v>
      </c>
      <c r="K3553" s="12"/>
      <c r="L3553" s="12"/>
      <c r="M3553" s="12"/>
      <c r="N3553" s="12"/>
      <c r="O3553" s="12"/>
      <c r="P3553" s="12"/>
      <c r="Q3553" s="12"/>
      <c r="R3553" s="12"/>
      <c r="S3553" s="12"/>
    </row>
    <row r="3554" spans="1:19" ht="14.25" customHeight="1" x14ac:dyDescent="0.2">
      <c r="A3554" s="1" t="s">
        <v>95</v>
      </c>
      <c r="B3554" s="7">
        <v>46110.974247685182</v>
      </c>
      <c r="C3554" s="7">
        <v>46110.977083333331</v>
      </c>
      <c r="D3554" s="8">
        <v>46110</v>
      </c>
      <c r="E3554" s="9">
        <v>0.97708333333139308</v>
      </c>
      <c r="F3554" s="10" t="s">
        <v>3876</v>
      </c>
      <c r="G3554" s="10" t="s">
        <v>21</v>
      </c>
      <c r="H3554" s="10" t="s">
        <v>110</v>
      </c>
      <c r="I3554" s="10" t="s">
        <v>23</v>
      </c>
      <c r="J3554" s="11">
        <v>0.83</v>
      </c>
      <c r="K3554" s="12"/>
      <c r="L3554" s="12"/>
      <c r="M3554" s="12"/>
      <c r="N3554" s="12"/>
      <c r="O3554" s="12"/>
      <c r="P3554" s="12"/>
      <c r="Q3554" s="12"/>
      <c r="R3554" s="12"/>
      <c r="S3554" s="12"/>
    </row>
    <row r="3555" spans="1:19" ht="14.25" customHeight="1" x14ac:dyDescent="0.2">
      <c r="A3555" s="1" t="s">
        <v>95</v>
      </c>
      <c r="B3555" s="7">
        <v>46110.975763888891</v>
      </c>
      <c r="C3555" s="7">
        <v>46110.980358796296</v>
      </c>
      <c r="D3555" s="8">
        <v>46110</v>
      </c>
      <c r="E3555" s="9">
        <v>0.98035879629605915</v>
      </c>
      <c r="F3555" s="10" t="s">
        <v>3877</v>
      </c>
      <c r="G3555" s="10" t="s">
        <v>21</v>
      </c>
      <c r="H3555" s="10" t="s">
        <v>52</v>
      </c>
      <c r="I3555" s="10" t="s">
        <v>23</v>
      </c>
      <c r="J3555" s="11">
        <v>0.98</v>
      </c>
      <c r="K3555" s="12"/>
      <c r="L3555" s="12"/>
      <c r="M3555" s="12"/>
      <c r="N3555" s="12"/>
      <c r="O3555" s="12"/>
      <c r="P3555" s="12"/>
      <c r="Q3555" s="12"/>
      <c r="R3555" s="12"/>
      <c r="S3555" s="12"/>
    </row>
    <row r="3556" spans="1:19" ht="14.25" customHeight="1" x14ac:dyDescent="0.2">
      <c r="A3556" s="1" t="s">
        <v>95</v>
      </c>
      <c r="B3556" s="7">
        <v>46110.980868055558</v>
      </c>
      <c r="C3556" s="7">
        <v>46110.984930555554</v>
      </c>
      <c r="D3556" s="8">
        <v>46110</v>
      </c>
      <c r="E3556" s="9">
        <v>0.98493055555445608</v>
      </c>
      <c r="F3556" s="10" t="s">
        <v>3878</v>
      </c>
      <c r="G3556" s="10" t="s">
        <v>21</v>
      </c>
      <c r="H3556" s="10" t="s">
        <v>108</v>
      </c>
      <c r="I3556" s="10" t="s">
        <v>23</v>
      </c>
      <c r="J3556" s="11">
        <v>1.7</v>
      </c>
      <c r="K3556" s="12"/>
      <c r="L3556" s="12"/>
      <c r="M3556" s="12"/>
      <c r="N3556" s="12"/>
      <c r="O3556" s="12"/>
      <c r="P3556" s="12"/>
      <c r="Q3556" s="12"/>
      <c r="R3556" s="12"/>
      <c r="S3556" s="12"/>
    </row>
    <row r="3557" spans="1:19" ht="14.25" customHeight="1" x14ac:dyDescent="0.2">
      <c r="A3557" s="1" t="s">
        <v>33</v>
      </c>
      <c r="B3557" s="7">
        <v>46110.946666666663</v>
      </c>
      <c r="C3557" s="7">
        <v>46110.985914351855</v>
      </c>
      <c r="D3557" s="8">
        <v>46110</v>
      </c>
      <c r="E3557" s="9">
        <v>0.98591435185517184</v>
      </c>
      <c r="F3557" s="10" t="s">
        <v>3879</v>
      </c>
      <c r="G3557" s="10" t="s">
        <v>21</v>
      </c>
      <c r="H3557" s="10" t="s">
        <v>41</v>
      </c>
      <c r="I3557" s="10" t="s">
        <v>23</v>
      </c>
      <c r="J3557" s="11">
        <v>1.77</v>
      </c>
      <c r="K3557" s="12"/>
      <c r="L3557" s="12"/>
      <c r="M3557" s="12"/>
      <c r="N3557" s="12"/>
      <c r="O3557" s="12"/>
      <c r="P3557" s="12"/>
      <c r="Q3557" s="12"/>
      <c r="R3557" s="12"/>
      <c r="S3557" s="12"/>
    </row>
    <row r="3558" spans="1:19" ht="14.25" customHeight="1" x14ac:dyDescent="0.2">
      <c r="A3558" s="1" t="s">
        <v>95</v>
      </c>
      <c r="B3558" s="19">
        <v>46110.949479166666</v>
      </c>
      <c r="C3558" s="19">
        <v>46110.986863425926</v>
      </c>
      <c r="D3558" s="20">
        <v>46110</v>
      </c>
      <c r="E3558" s="21">
        <v>0.98686342592554865</v>
      </c>
      <c r="F3558" s="1" t="s">
        <v>3880</v>
      </c>
      <c r="G3558" s="1" t="s">
        <v>21</v>
      </c>
      <c r="H3558" s="1" t="s">
        <v>97</v>
      </c>
      <c r="I3558" s="1" t="s">
        <v>166</v>
      </c>
      <c r="J3558" s="12">
        <v>1.77</v>
      </c>
      <c r="K3558" s="12"/>
      <c r="L3558" s="12"/>
      <c r="M3558" s="12"/>
      <c r="N3558" s="12"/>
      <c r="O3558" s="12"/>
      <c r="P3558" s="12"/>
      <c r="Q3558" s="12"/>
      <c r="R3558" s="12"/>
      <c r="S3558" s="12"/>
    </row>
    <row r="3559" spans="1:19" ht="14.25" customHeight="1" x14ac:dyDescent="0.2">
      <c r="A3559" s="1" t="s">
        <v>33</v>
      </c>
      <c r="B3559" s="7">
        <v>46110.963194444441</v>
      </c>
      <c r="C3559" s="7">
        <v>46110.988287037035</v>
      </c>
      <c r="D3559" s="8">
        <v>46110</v>
      </c>
      <c r="E3559" s="9">
        <v>0.98828703703475185</v>
      </c>
      <c r="F3559" s="10" t="s">
        <v>3881</v>
      </c>
      <c r="G3559" s="10" t="s">
        <v>21</v>
      </c>
      <c r="H3559" s="10" t="s">
        <v>22</v>
      </c>
      <c r="I3559" s="10" t="s">
        <v>23</v>
      </c>
      <c r="J3559" s="11">
        <v>0.83</v>
      </c>
      <c r="K3559" s="12"/>
      <c r="L3559" s="12"/>
      <c r="M3559" s="12"/>
      <c r="N3559" s="12"/>
      <c r="O3559" s="12"/>
      <c r="P3559" s="12"/>
      <c r="Q3559" s="12"/>
      <c r="R3559" s="12"/>
      <c r="S3559" s="12"/>
    </row>
    <row r="3560" spans="1:19" ht="14.25" customHeight="1" x14ac:dyDescent="0.2">
      <c r="A3560" s="1" t="s">
        <v>33</v>
      </c>
      <c r="B3560" s="7">
        <v>46110.966284722221</v>
      </c>
      <c r="C3560" s="7">
        <v>46110.98877314815</v>
      </c>
      <c r="D3560" s="8">
        <v>46110</v>
      </c>
      <c r="E3560" s="9">
        <v>0.98877314815035788</v>
      </c>
      <c r="F3560" s="10" t="s">
        <v>3882</v>
      </c>
      <c r="G3560" s="10" t="s">
        <v>21</v>
      </c>
      <c r="H3560" s="10" t="s">
        <v>931</v>
      </c>
      <c r="I3560" s="10" t="s">
        <v>23</v>
      </c>
      <c r="J3560" s="11">
        <v>1.71</v>
      </c>
      <c r="K3560" s="12"/>
      <c r="L3560" s="12"/>
      <c r="M3560" s="12"/>
      <c r="N3560" s="12"/>
      <c r="O3560" s="12"/>
      <c r="P3560" s="12"/>
      <c r="Q3560" s="12"/>
      <c r="R3560" s="12"/>
      <c r="S3560" s="12"/>
    </row>
    <row r="3561" spans="1:19" ht="14.25" customHeight="1" x14ac:dyDescent="0.2">
      <c r="A3561" s="1" t="s">
        <v>24</v>
      </c>
      <c r="B3561" s="7">
        <v>46110.974768518521</v>
      </c>
      <c r="C3561" s="7">
        <v>46110.992083333331</v>
      </c>
      <c r="D3561" s="8">
        <v>46110</v>
      </c>
      <c r="E3561" s="9">
        <v>0.992083333330811</v>
      </c>
      <c r="F3561" s="10" t="s">
        <v>3883</v>
      </c>
      <c r="G3561" s="10" t="s">
        <v>21</v>
      </c>
      <c r="H3561" s="10" t="s">
        <v>41</v>
      </c>
      <c r="I3561" s="10" t="s">
        <v>23</v>
      </c>
      <c r="J3561" s="11">
        <v>1.77</v>
      </c>
      <c r="K3561" s="12"/>
      <c r="L3561" s="12"/>
      <c r="M3561" s="12"/>
      <c r="N3561" s="12"/>
      <c r="O3561" s="12"/>
      <c r="P3561" s="12"/>
      <c r="Q3561" s="12"/>
      <c r="R3561" s="12"/>
      <c r="S3561" s="12"/>
    </row>
    <row r="3562" spans="1:19" ht="14.25" customHeight="1" x14ac:dyDescent="0.2">
      <c r="A3562" s="1" t="s">
        <v>95</v>
      </c>
      <c r="B3562" s="7">
        <v>46110.989490740743</v>
      </c>
      <c r="C3562" s="7">
        <v>46110.992256944446</v>
      </c>
      <c r="D3562" s="8">
        <v>46110</v>
      </c>
      <c r="E3562" s="9">
        <v>0.992256944446126</v>
      </c>
      <c r="F3562" s="10" t="s">
        <v>3884</v>
      </c>
      <c r="G3562" s="10" t="s">
        <v>21</v>
      </c>
      <c r="H3562" s="10" t="s">
        <v>110</v>
      </c>
      <c r="I3562" s="10" t="s">
        <v>23</v>
      </c>
      <c r="J3562" s="11">
        <v>0.83</v>
      </c>
      <c r="K3562" s="12"/>
      <c r="L3562" s="12"/>
      <c r="M3562" s="12"/>
      <c r="N3562" s="12"/>
      <c r="O3562" s="12"/>
      <c r="P3562" s="12"/>
      <c r="Q3562" s="12"/>
      <c r="R3562" s="12"/>
      <c r="S3562" s="12"/>
    </row>
    <row r="3563" spans="1:19" ht="14.25" customHeight="1" x14ac:dyDescent="0.2">
      <c r="A3563" s="1" t="s">
        <v>28</v>
      </c>
      <c r="B3563" s="7">
        <v>46110.977962962963</v>
      </c>
      <c r="C3563" s="7">
        <v>46110.992534722223</v>
      </c>
      <c r="D3563" s="8">
        <v>46110</v>
      </c>
      <c r="E3563" s="9">
        <v>0.99253472222335404</v>
      </c>
      <c r="F3563" s="10" t="s">
        <v>3885</v>
      </c>
      <c r="G3563" s="10" t="s">
        <v>21</v>
      </c>
      <c r="H3563" s="10" t="s">
        <v>41</v>
      </c>
      <c r="I3563" s="10" t="s">
        <v>23</v>
      </c>
      <c r="J3563" s="11">
        <v>1.77</v>
      </c>
      <c r="K3563" s="12"/>
      <c r="L3563" s="12"/>
      <c r="M3563" s="12"/>
      <c r="N3563" s="12"/>
      <c r="O3563" s="12"/>
      <c r="P3563" s="12"/>
      <c r="Q3563" s="12"/>
      <c r="R3563" s="12"/>
      <c r="S3563" s="12"/>
    </row>
    <row r="3564" spans="1:19" ht="14.25" customHeight="1" x14ac:dyDescent="0.2">
      <c r="A3564" s="1" t="s">
        <v>95</v>
      </c>
      <c r="B3564" s="19">
        <v>46110.959004629629</v>
      </c>
      <c r="C3564" s="19">
        <v>46110.994791666664</v>
      </c>
      <c r="D3564" s="20">
        <v>46110</v>
      </c>
      <c r="E3564" s="21">
        <v>0.99479166666424135</v>
      </c>
      <c r="F3564" s="1" t="s">
        <v>3886</v>
      </c>
      <c r="G3564" s="1" t="s">
        <v>180</v>
      </c>
      <c r="H3564" s="1" t="s">
        <v>1182</v>
      </c>
      <c r="I3564" s="1" t="s">
        <v>166</v>
      </c>
      <c r="J3564" s="12">
        <v>1.44</v>
      </c>
      <c r="K3564" s="12"/>
      <c r="L3564" s="12"/>
      <c r="M3564" s="12"/>
      <c r="N3564" s="12"/>
      <c r="O3564" s="12"/>
      <c r="P3564" s="12"/>
      <c r="Q3564" s="12"/>
      <c r="R3564" s="12"/>
      <c r="S3564" s="12"/>
    </row>
    <row r="3565" spans="1:19" ht="14.25" customHeight="1" x14ac:dyDescent="0.2">
      <c r="A3565" s="1" t="s">
        <v>95</v>
      </c>
      <c r="B3565" s="7">
        <v>46110.991944444446</v>
      </c>
      <c r="C3565" s="7">
        <v>46110.999074074076</v>
      </c>
      <c r="D3565" s="8">
        <v>46110</v>
      </c>
      <c r="E3565" s="9">
        <v>0.99907407407590654</v>
      </c>
      <c r="F3565" s="10" t="s">
        <v>3887</v>
      </c>
      <c r="G3565" s="10" t="s">
        <v>21</v>
      </c>
      <c r="H3565" s="10" t="s">
        <v>52</v>
      </c>
      <c r="I3565" s="10" t="s">
        <v>23</v>
      </c>
      <c r="J3565" s="11">
        <v>0.98</v>
      </c>
      <c r="K3565" s="12"/>
      <c r="L3565" s="12"/>
      <c r="M3565" s="12"/>
      <c r="N3565" s="12"/>
      <c r="O3565" s="12"/>
      <c r="P3565" s="12"/>
      <c r="Q3565" s="12"/>
      <c r="R3565" s="12"/>
      <c r="S3565" s="12"/>
    </row>
    <row r="3566" spans="1:19" ht="14.25" customHeight="1" x14ac:dyDescent="0.2">
      <c r="A3566" s="1" t="s">
        <v>95</v>
      </c>
      <c r="B3566" s="7">
        <v>46110.994560185187</v>
      </c>
      <c r="C3566" s="7">
        <v>46110.999421296299</v>
      </c>
      <c r="D3566" s="8">
        <v>46110</v>
      </c>
      <c r="E3566" s="9">
        <v>0.99942129629926058</v>
      </c>
      <c r="F3566" s="10" t="s">
        <v>3888</v>
      </c>
      <c r="G3566" s="10" t="s">
        <v>21</v>
      </c>
      <c r="H3566" s="10" t="s">
        <v>598</v>
      </c>
      <c r="I3566" s="10" t="s">
        <v>23</v>
      </c>
      <c r="J3566" s="11">
        <v>0.98</v>
      </c>
      <c r="K3566" s="12"/>
      <c r="L3566" s="12"/>
      <c r="M3566" s="12"/>
      <c r="N3566" s="12"/>
      <c r="O3566" s="12"/>
      <c r="P3566" s="12"/>
      <c r="Q3566" s="12"/>
      <c r="R3566" s="12"/>
      <c r="S3566" s="12"/>
    </row>
    <row r="3567" spans="1:19" ht="14.25" customHeight="1" x14ac:dyDescent="0.2">
      <c r="A3567" s="1" t="s">
        <v>95</v>
      </c>
      <c r="B3567" s="7">
        <v>46110.999143518522</v>
      </c>
      <c r="C3567" s="7">
        <v>46111.003877314812</v>
      </c>
      <c r="D3567" s="8">
        <v>46111</v>
      </c>
      <c r="E3567" s="9">
        <v>3.8773148116888478E-3</v>
      </c>
      <c r="F3567" s="10" t="s">
        <v>3889</v>
      </c>
      <c r="G3567" s="10" t="s">
        <v>21</v>
      </c>
      <c r="H3567" s="10" t="s">
        <v>108</v>
      </c>
      <c r="I3567" s="10" t="s">
        <v>23</v>
      </c>
      <c r="J3567" s="11">
        <v>1.7</v>
      </c>
      <c r="K3567" s="12"/>
      <c r="L3567" s="12">
        <f>SUM(J3567:J3583)</f>
        <v>25.089999999999996</v>
      </c>
      <c r="M3567" s="13">
        <f>L3567*65</f>
        <v>1630.8499999999997</v>
      </c>
      <c r="N3567" s="14">
        <f>MAX(500,M3567)</f>
        <v>1630.8499999999997</v>
      </c>
      <c r="O3567" s="12"/>
      <c r="P3567" s="12"/>
      <c r="Q3567" s="12"/>
      <c r="R3567" s="12"/>
      <c r="S3567" s="12"/>
    </row>
    <row r="3568" spans="1:19" ht="14.25" customHeight="1" x14ac:dyDescent="0.2">
      <c r="A3568" s="1" t="s">
        <v>95</v>
      </c>
      <c r="B3568" s="19">
        <v>46110.982662037037</v>
      </c>
      <c r="C3568" s="19">
        <v>46111.00644675926</v>
      </c>
      <c r="D3568" s="20">
        <v>46111</v>
      </c>
      <c r="E3568" s="21">
        <v>6.4467592601431534E-3</v>
      </c>
      <c r="F3568" s="1" t="s">
        <v>3890</v>
      </c>
      <c r="G3568" s="1" t="s">
        <v>21</v>
      </c>
      <c r="H3568" s="1" t="s">
        <v>97</v>
      </c>
      <c r="I3568" s="1" t="s">
        <v>166</v>
      </c>
      <c r="J3568" s="12">
        <v>1.77</v>
      </c>
      <c r="K3568" s="12"/>
      <c r="L3568" s="12"/>
      <c r="M3568" s="12"/>
      <c r="N3568" s="12"/>
      <c r="O3568" s="12"/>
      <c r="P3568" s="12"/>
      <c r="Q3568" s="12"/>
      <c r="R3568" s="12"/>
      <c r="S3568" s="12"/>
    </row>
    <row r="3569" spans="1:19" ht="14.25" customHeight="1" x14ac:dyDescent="0.2">
      <c r="A3569" s="1" t="s">
        <v>57</v>
      </c>
      <c r="B3569" s="7">
        <v>46110.999340277776</v>
      </c>
      <c r="C3569" s="7">
        <v>46111.012569444443</v>
      </c>
      <c r="D3569" s="8">
        <v>46111</v>
      </c>
      <c r="E3569" s="9">
        <v>1.2569444443215616E-2</v>
      </c>
      <c r="F3569" s="10" t="s">
        <v>3891</v>
      </c>
      <c r="G3569" s="10" t="s">
        <v>21</v>
      </c>
      <c r="H3569" s="10" t="s">
        <v>303</v>
      </c>
      <c r="I3569" s="10" t="s">
        <v>23</v>
      </c>
      <c r="J3569" s="11">
        <v>1.77</v>
      </c>
      <c r="K3569" s="12"/>
      <c r="L3569" s="12"/>
      <c r="M3569" s="12"/>
      <c r="N3569" s="12"/>
      <c r="O3569" s="12"/>
      <c r="P3569" s="12"/>
      <c r="Q3569" s="12"/>
      <c r="R3569" s="12"/>
      <c r="S3569" s="12"/>
    </row>
    <row r="3570" spans="1:19" ht="14.25" customHeight="1" x14ac:dyDescent="0.2">
      <c r="A3570" s="1" t="s">
        <v>24</v>
      </c>
      <c r="B3570" s="7">
        <v>46110.987812500003</v>
      </c>
      <c r="C3570" s="7">
        <v>46111.013912037037</v>
      </c>
      <c r="D3570" s="8">
        <v>46111</v>
      </c>
      <c r="E3570" s="9">
        <v>1.3912037036789116E-2</v>
      </c>
      <c r="F3570" s="10" t="s">
        <v>3892</v>
      </c>
      <c r="G3570" s="10" t="s">
        <v>21</v>
      </c>
      <c r="H3570" s="10" t="s">
        <v>1002</v>
      </c>
      <c r="I3570" s="10" t="s">
        <v>23</v>
      </c>
      <c r="J3570" s="11">
        <v>0.98</v>
      </c>
      <c r="K3570" s="12"/>
      <c r="L3570" s="12"/>
      <c r="M3570" s="12"/>
      <c r="N3570" s="12"/>
      <c r="O3570" s="12"/>
      <c r="P3570" s="12"/>
      <c r="Q3570" s="12"/>
      <c r="R3570" s="12"/>
      <c r="S3570" s="12"/>
    </row>
    <row r="3571" spans="1:19" ht="14.25" customHeight="1" x14ac:dyDescent="0.2">
      <c r="A3571" s="1" t="s">
        <v>28</v>
      </c>
      <c r="B3571" s="19">
        <v>46110.991620370369</v>
      </c>
      <c r="C3571" s="19">
        <v>46111.01525462963</v>
      </c>
      <c r="D3571" s="20">
        <v>46111</v>
      </c>
      <c r="E3571" s="21">
        <v>1.5254629630362615E-2</v>
      </c>
      <c r="F3571" s="1" t="s">
        <v>3893</v>
      </c>
      <c r="G3571" s="1" t="s">
        <v>21</v>
      </c>
      <c r="H3571" s="1" t="s">
        <v>22</v>
      </c>
      <c r="I3571" s="1" t="s">
        <v>166</v>
      </c>
      <c r="J3571" s="12">
        <v>0.83</v>
      </c>
      <c r="K3571" s="12"/>
      <c r="L3571" s="12"/>
      <c r="M3571" s="12"/>
      <c r="N3571" s="12"/>
      <c r="O3571" s="12"/>
      <c r="P3571" s="12"/>
      <c r="Q3571" s="12"/>
      <c r="R3571" s="12"/>
      <c r="S3571" s="12"/>
    </row>
    <row r="3572" spans="1:19" ht="14.25" customHeight="1" x14ac:dyDescent="0.2">
      <c r="A3572" s="1" t="s">
        <v>24</v>
      </c>
      <c r="B3572" s="7">
        <v>46110.991979166669</v>
      </c>
      <c r="C3572" s="7">
        <v>46111.020497685182</v>
      </c>
      <c r="D3572" s="8">
        <v>46111</v>
      </c>
      <c r="E3572" s="9">
        <v>2.0497685181908309E-2</v>
      </c>
      <c r="F3572" s="10" t="s">
        <v>3894</v>
      </c>
      <c r="G3572" s="10" t="s">
        <v>21</v>
      </c>
      <c r="H3572" s="10" t="s">
        <v>467</v>
      </c>
      <c r="I3572" s="10" t="s">
        <v>23</v>
      </c>
      <c r="J3572" s="11">
        <v>2.75</v>
      </c>
      <c r="K3572" s="12"/>
      <c r="L3572" s="12"/>
      <c r="M3572" s="12"/>
      <c r="N3572" s="12"/>
      <c r="O3572" s="12"/>
      <c r="P3572" s="12"/>
      <c r="Q3572" s="12"/>
      <c r="R3572" s="12"/>
      <c r="S3572" s="12"/>
    </row>
    <row r="3573" spans="1:19" ht="14.25" customHeight="1" x14ac:dyDescent="0.2">
      <c r="A3573" s="1" t="s">
        <v>33</v>
      </c>
      <c r="B3573" s="19">
        <v>46110.998402777775</v>
      </c>
      <c r="C3573" s="19">
        <v>46111.021527777775</v>
      </c>
      <c r="D3573" s="20">
        <v>46111</v>
      </c>
      <c r="E3573" s="21">
        <v>2.1527777775190771E-2</v>
      </c>
      <c r="F3573" s="1" t="s">
        <v>3895</v>
      </c>
      <c r="G3573" s="1" t="s">
        <v>21</v>
      </c>
      <c r="H3573" s="1" t="s">
        <v>41</v>
      </c>
      <c r="I3573" s="1" t="s">
        <v>166</v>
      </c>
      <c r="J3573" s="12">
        <v>1.77</v>
      </c>
      <c r="K3573" s="12"/>
      <c r="L3573" s="12"/>
      <c r="M3573" s="12"/>
      <c r="N3573" s="12"/>
      <c r="O3573" s="12"/>
      <c r="P3573" s="12"/>
      <c r="Q3573" s="12"/>
      <c r="R3573" s="12"/>
      <c r="S3573" s="12"/>
    </row>
    <row r="3574" spans="1:19" ht="14.25" customHeight="1" x14ac:dyDescent="0.2">
      <c r="A3574" s="1" t="s">
        <v>24</v>
      </c>
      <c r="B3574" s="7">
        <v>46110.997037037036</v>
      </c>
      <c r="C3574" s="7">
        <v>46111.022766203707</v>
      </c>
      <c r="D3574" s="8">
        <v>46111</v>
      </c>
      <c r="E3574" s="9">
        <v>2.2766203706851229E-2</v>
      </c>
      <c r="F3574" s="10" t="s">
        <v>3896</v>
      </c>
      <c r="G3574" s="10" t="s">
        <v>21</v>
      </c>
      <c r="H3574" s="10" t="s">
        <v>39</v>
      </c>
      <c r="I3574" s="10" t="s">
        <v>23</v>
      </c>
      <c r="J3574" s="11">
        <v>1.77</v>
      </c>
      <c r="K3574" s="12"/>
      <c r="L3574" s="12"/>
      <c r="M3574" s="12"/>
      <c r="N3574" s="12"/>
      <c r="O3574" s="12"/>
      <c r="P3574" s="12"/>
      <c r="Q3574" s="12"/>
      <c r="R3574" s="12"/>
      <c r="S3574" s="12"/>
    </row>
    <row r="3575" spans="1:19" ht="14.25" customHeight="1" x14ac:dyDescent="0.2">
      <c r="A3575" s="1" t="s">
        <v>19</v>
      </c>
      <c r="B3575" s="7">
        <v>46110.987060185187</v>
      </c>
      <c r="C3575" s="7">
        <v>46111.024444444447</v>
      </c>
      <c r="D3575" s="8">
        <v>46111</v>
      </c>
      <c r="E3575" s="9">
        <v>2.4444444446999114E-2</v>
      </c>
      <c r="F3575" s="10" t="s">
        <v>3897</v>
      </c>
      <c r="G3575" s="10" t="s">
        <v>21</v>
      </c>
      <c r="H3575" s="10" t="s">
        <v>22</v>
      </c>
      <c r="I3575" s="10" t="s">
        <v>23</v>
      </c>
      <c r="J3575" s="11">
        <v>0.83</v>
      </c>
      <c r="K3575" s="12"/>
      <c r="L3575" s="12"/>
      <c r="M3575" s="12"/>
      <c r="N3575" s="12"/>
      <c r="O3575" s="12"/>
      <c r="P3575" s="12"/>
      <c r="Q3575" s="12"/>
      <c r="R3575" s="12"/>
      <c r="S3575" s="12"/>
    </row>
    <row r="3576" spans="1:19" ht="14.25" customHeight="1" x14ac:dyDescent="0.2">
      <c r="A3576" s="1" t="s">
        <v>19</v>
      </c>
      <c r="B3576" s="7">
        <v>46110.99931712963</v>
      </c>
      <c r="C3576" s="7">
        <v>46111.024791666663</v>
      </c>
      <c r="D3576" s="8">
        <v>46111</v>
      </c>
      <c r="E3576" s="9">
        <v>2.4791666663077194E-2</v>
      </c>
      <c r="F3576" s="10" t="s">
        <v>3898</v>
      </c>
      <c r="G3576" s="10" t="s">
        <v>21</v>
      </c>
      <c r="H3576" s="10" t="s">
        <v>39</v>
      </c>
      <c r="I3576" s="10" t="s">
        <v>23</v>
      </c>
      <c r="J3576" s="11">
        <v>1.77</v>
      </c>
      <c r="K3576" s="12"/>
      <c r="L3576" s="12"/>
      <c r="M3576" s="12"/>
      <c r="N3576" s="12"/>
      <c r="O3576" s="12"/>
      <c r="P3576" s="12"/>
      <c r="Q3576" s="12"/>
      <c r="R3576" s="12"/>
      <c r="S3576" s="12"/>
    </row>
    <row r="3577" spans="1:19" ht="14.25" customHeight="1" x14ac:dyDescent="0.2">
      <c r="A3577" s="1" t="s">
        <v>19</v>
      </c>
      <c r="B3577" s="7">
        <v>46110.971180555556</v>
      </c>
      <c r="C3577" s="7">
        <v>46111.026018518518</v>
      </c>
      <c r="D3577" s="8">
        <v>46111</v>
      </c>
      <c r="E3577" s="9">
        <v>2.6018518517958E-2</v>
      </c>
      <c r="F3577" s="10" t="s">
        <v>3899</v>
      </c>
      <c r="G3577" s="10" t="s">
        <v>21</v>
      </c>
      <c r="H3577" s="10" t="s">
        <v>101</v>
      </c>
      <c r="I3577" s="10" t="s">
        <v>23</v>
      </c>
      <c r="J3577" s="11">
        <v>1.7</v>
      </c>
      <c r="K3577" s="12"/>
      <c r="L3577" s="12"/>
      <c r="M3577" s="12"/>
      <c r="N3577" s="12"/>
      <c r="O3577" s="12"/>
      <c r="P3577" s="12"/>
      <c r="Q3577" s="12"/>
      <c r="R3577" s="12"/>
      <c r="S3577" s="12"/>
    </row>
    <row r="3578" spans="1:19" ht="14.25" customHeight="1" x14ac:dyDescent="0.2">
      <c r="A3578" s="1" t="s">
        <v>33</v>
      </c>
      <c r="B3578" s="7">
        <v>46111.007650462961</v>
      </c>
      <c r="C3578" s="7">
        <v>46111.026539351849</v>
      </c>
      <c r="D3578" s="8">
        <v>46111</v>
      </c>
      <c r="E3578" s="9">
        <v>2.6539351849351078E-2</v>
      </c>
      <c r="F3578" s="10" t="s">
        <v>3900</v>
      </c>
      <c r="G3578" s="10" t="s">
        <v>21</v>
      </c>
      <c r="H3578" s="10" t="s">
        <v>39</v>
      </c>
      <c r="I3578" s="10" t="s">
        <v>23</v>
      </c>
      <c r="J3578" s="11">
        <v>1.77</v>
      </c>
      <c r="K3578" s="12"/>
      <c r="L3578" s="12"/>
      <c r="M3578" s="12"/>
      <c r="N3578" s="12"/>
      <c r="O3578" s="12"/>
      <c r="P3578" s="12"/>
      <c r="Q3578" s="12"/>
      <c r="R3578" s="12"/>
      <c r="S3578" s="12"/>
    </row>
    <row r="3579" spans="1:19" ht="14.25" customHeight="1" x14ac:dyDescent="0.2">
      <c r="A3579" s="1" t="s">
        <v>57</v>
      </c>
      <c r="B3579" s="19">
        <v>46111.012141203704</v>
      </c>
      <c r="C3579" s="19">
        <v>46111.0315625</v>
      </c>
      <c r="D3579" s="20">
        <v>46111</v>
      </c>
      <c r="E3579" s="21">
        <v>3.1562500000291038E-2</v>
      </c>
      <c r="F3579" s="1" t="s">
        <v>3901</v>
      </c>
      <c r="G3579" s="1" t="s">
        <v>21</v>
      </c>
      <c r="H3579" s="1" t="s">
        <v>303</v>
      </c>
      <c r="I3579" s="1" t="s">
        <v>166</v>
      </c>
      <c r="J3579" s="12">
        <v>1.77</v>
      </c>
      <c r="K3579" s="12"/>
      <c r="L3579" s="12"/>
      <c r="M3579" s="12"/>
      <c r="N3579" s="12"/>
      <c r="O3579" s="12"/>
      <c r="P3579" s="12"/>
      <c r="Q3579" s="12"/>
      <c r="R3579" s="12"/>
      <c r="S3579" s="12"/>
    </row>
    <row r="3580" spans="1:19" ht="14.25" customHeight="1" x14ac:dyDescent="0.2">
      <c r="A3580" s="1" t="s">
        <v>95</v>
      </c>
      <c r="B3580" s="7">
        <v>46111.01939814815</v>
      </c>
      <c r="C3580" s="7">
        <v>46111.034942129627</v>
      </c>
      <c r="D3580" s="8">
        <v>46111</v>
      </c>
      <c r="E3580" s="9">
        <v>3.4942129626870155E-2</v>
      </c>
      <c r="F3580" s="10" t="s">
        <v>3902</v>
      </c>
      <c r="G3580" s="10" t="s">
        <v>21</v>
      </c>
      <c r="H3580" s="10" t="s">
        <v>485</v>
      </c>
      <c r="I3580" s="10" t="s">
        <v>23</v>
      </c>
      <c r="J3580" s="11">
        <v>1.1299999999999999</v>
      </c>
      <c r="K3580" s="12"/>
      <c r="L3580" s="12"/>
      <c r="M3580" s="12"/>
      <c r="N3580" s="12"/>
      <c r="O3580" s="12"/>
      <c r="P3580" s="12"/>
      <c r="Q3580" s="12"/>
      <c r="R3580" s="12"/>
      <c r="S3580" s="12"/>
    </row>
    <row r="3581" spans="1:19" ht="14.25" customHeight="1" x14ac:dyDescent="0.2">
      <c r="A3581" s="1" t="s">
        <v>95</v>
      </c>
      <c r="B3581" s="7">
        <v>46111.011574074073</v>
      </c>
      <c r="C3581" s="7">
        <v>46111.039293981485</v>
      </c>
      <c r="D3581" s="8">
        <v>46111</v>
      </c>
      <c r="E3581" s="9">
        <v>3.9293981484661344E-2</v>
      </c>
      <c r="F3581" s="10" t="s">
        <v>3903</v>
      </c>
      <c r="G3581" s="10" t="s">
        <v>21</v>
      </c>
      <c r="H3581" s="10" t="s">
        <v>97</v>
      </c>
      <c r="I3581" s="10" t="s">
        <v>23</v>
      </c>
      <c r="J3581" s="11">
        <v>1.77</v>
      </c>
      <c r="K3581" s="12"/>
      <c r="L3581" s="12"/>
      <c r="M3581" s="12"/>
      <c r="N3581" s="12"/>
      <c r="O3581" s="12"/>
      <c r="P3581" s="12"/>
      <c r="Q3581" s="12"/>
      <c r="R3581" s="12"/>
      <c r="S3581" s="12"/>
    </row>
    <row r="3582" spans="1:19" ht="14.25" customHeight="1" x14ac:dyDescent="0.2">
      <c r="A3582" s="1" t="s">
        <v>95</v>
      </c>
      <c r="B3582" s="7">
        <v>46111.030868055554</v>
      </c>
      <c r="C3582" s="7">
        <v>46111.039594907408</v>
      </c>
      <c r="D3582" s="8">
        <v>46111</v>
      </c>
      <c r="E3582" s="9">
        <v>3.959490740817273E-2</v>
      </c>
      <c r="F3582" s="10" t="s">
        <v>3904</v>
      </c>
      <c r="G3582" s="10" t="s">
        <v>21</v>
      </c>
      <c r="H3582" s="10" t="s">
        <v>110</v>
      </c>
      <c r="I3582" s="10" t="s">
        <v>23</v>
      </c>
      <c r="J3582" s="11">
        <v>0.83</v>
      </c>
      <c r="K3582" s="12"/>
      <c r="L3582" s="12"/>
      <c r="M3582" s="12"/>
      <c r="N3582" s="12"/>
      <c r="O3582" s="12"/>
      <c r="P3582" s="12"/>
      <c r="Q3582" s="12"/>
      <c r="R3582" s="12"/>
      <c r="S3582" s="12"/>
    </row>
    <row r="3583" spans="1:19" ht="14.25" customHeight="1" x14ac:dyDescent="0.2">
      <c r="A3583" s="1" t="s">
        <v>19</v>
      </c>
      <c r="B3583" s="7">
        <v>46111.024259259262</v>
      </c>
      <c r="C3583" s="7">
        <v>46111.039895833332</v>
      </c>
      <c r="D3583" s="8">
        <v>46111</v>
      </c>
      <c r="E3583" s="9">
        <v>3.9895833331684116E-2</v>
      </c>
      <c r="F3583" s="10" t="s">
        <v>3905</v>
      </c>
      <c r="G3583" s="10" t="s">
        <v>44</v>
      </c>
      <c r="H3583" s="10" t="s">
        <v>1522</v>
      </c>
      <c r="I3583" s="10" t="s">
        <v>23</v>
      </c>
      <c r="J3583" s="11">
        <v>0.18</v>
      </c>
      <c r="K3583" s="12"/>
      <c r="L3583" s="12"/>
      <c r="M3583" s="12"/>
      <c r="N3583" s="12"/>
      <c r="O3583" s="12"/>
      <c r="P3583" s="12"/>
      <c r="Q3583" s="12"/>
      <c r="R3583" s="12"/>
      <c r="S3583" s="12"/>
    </row>
    <row r="3584" spans="1:19" ht="14.25" customHeight="1" x14ac:dyDescent="0.2">
      <c r="A3584" s="1" t="s">
        <v>95</v>
      </c>
      <c r="B3584" s="7">
        <v>46111.024722222224</v>
      </c>
      <c r="C3584" s="7">
        <v>46111.043252314812</v>
      </c>
      <c r="D3584" s="8">
        <v>46111</v>
      </c>
      <c r="E3584" s="9">
        <v>4.3252314811979886E-2</v>
      </c>
      <c r="F3584" s="10" t="s">
        <v>3906</v>
      </c>
      <c r="G3584" s="10" t="s">
        <v>21</v>
      </c>
      <c r="H3584" s="10" t="s">
        <v>97</v>
      </c>
      <c r="I3584" s="10" t="s">
        <v>23</v>
      </c>
      <c r="J3584" s="11">
        <v>1.77</v>
      </c>
      <c r="K3584" s="12"/>
      <c r="L3584" s="12">
        <f>SUM(J3584:J3607)</f>
        <v>26.52</v>
      </c>
      <c r="M3584" s="13">
        <f>L3584*65</f>
        <v>1723.8</v>
      </c>
      <c r="N3584" s="14">
        <f>MAX(500,M3584)</f>
        <v>1723.8</v>
      </c>
      <c r="O3584" s="12"/>
      <c r="P3584" s="12"/>
      <c r="Q3584" s="12"/>
      <c r="R3584" s="12"/>
      <c r="S3584" s="12"/>
    </row>
    <row r="3585" spans="1:19" ht="14.25" customHeight="1" x14ac:dyDescent="0.2">
      <c r="A3585" s="1" t="s">
        <v>57</v>
      </c>
      <c r="B3585" s="7">
        <v>46111.032222222224</v>
      </c>
      <c r="C3585" s="7">
        <v>46111.043888888889</v>
      </c>
      <c r="D3585" s="8">
        <v>46111</v>
      </c>
      <c r="E3585" s="9">
        <v>4.3888888889341615E-2</v>
      </c>
      <c r="F3585" s="10" t="s">
        <v>3907</v>
      </c>
      <c r="G3585" s="10" t="s">
        <v>21</v>
      </c>
      <c r="H3585" s="10" t="s">
        <v>712</v>
      </c>
      <c r="I3585" s="10" t="s">
        <v>23</v>
      </c>
      <c r="J3585" s="11">
        <v>1.77</v>
      </c>
      <c r="K3585" s="12"/>
      <c r="L3585" s="12"/>
      <c r="M3585" s="12"/>
      <c r="N3585" s="12"/>
      <c r="O3585" s="12"/>
      <c r="P3585" s="12"/>
      <c r="Q3585" s="12"/>
      <c r="R3585" s="12"/>
      <c r="S3585" s="12"/>
    </row>
    <row r="3586" spans="1:19" ht="14.25" customHeight="1" x14ac:dyDescent="0.2">
      <c r="A3586" s="1" t="s">
        <v>95</v>
      </c>
      <c r="B3586" s="19">
        <v>46111.044479166667</v>
      </c>
      <c r="C3586" s="19">
        <v>46111.048368055555</v>
      </c>
      <c r="D3586" s="20">
        <v>46111</v>
      </c>
      <c r="E3586" s="21">
        <v>4.8368055555329192E-2</v>
      </c>
      <c r="F3586" s="1" t="s">
        <v>3908</v>
      </c>
      <c r="G3586" s="1" t="s">
        <v>21</v>
      </c>
      <c r="H3586" s="1" t="s">
        <v>110</v>
      </c>
      <c r="I3586" s="1" t="s">
        <v>166</v>
      </c>
      <c r="J3586" s="12">
        <v>0.83</v>
      </c>
      <c r="K3586" s="12"/>
      <c r="L3586" s="12"/>
      <c r="M3586" s="12"/>
      <c r="N3586" s="12"/>
      <c r="O3586" s="12"/>
      <c r="P3586" s="12"/>
      <c r="Q3586" s="12"/>
      <c r="R3586" s="12"/>
      <c r="S3586" s="12"/>
    </row>
    <row r="3587" spans="1:19" ht="14.25" customHeight="1" x14ac:dyDescent="0.2">
      <c r="A3587" s="1" t="s">
        <v>19</v>
      </c>
      <c r="B3587" s="7">
        <v>46111.038854166669</v>
      </c>
      <c r="C3587" s="7">
        <v>46111.048981481479</v>
      </c>
      <c r="D3587" s="8">
        <v>46111</v>
      </c>
      <c r="E3587" s="9">
        <v>4.8981481479131617E-2</v>
      </c>
      <c r="F3587" s="10" t="s">
        <v>3909</v>
      </c>
      <c r="G3587" s="10" t="s">
        <v>21</v>
      </c>
      <c r="H3587" s="10" t="s">
        <v>41</v>
      </c>
      <c r="I3587" s="10" t="s">
        <v>23</v>
      </c>
      <c r="J3587" s="11">
        <v>1.77</v>
      </c>
      <c r="K3587" s="12"/>
      <c r="L3587" s="12"/>
      <c r="M3587" s="12"/>
      <c r="N3587" s="12"/>
      <c r="O3587" s="12"/>
      <c r="P3587" s="12"/>
      <c r="Q3587" s="12"/>
      <c r="R3587" s="12"/>
      <c r="S3587" s="12"/>
    </row>
    <row r="3588" spans="1:19" ht="14.25" customHeight="1" x14ac:dyDescent="0.2">
      <c r="A3588" s="1" t="s">
        <v>95</v>
      </c>
      <c r="B3588" s="7">
        <v>46111.048750000002</v>
      </c>
      <c r="C3588" s="7">
        <v>46111.049189814818</v>
      </c>
      <c r="D3588" s="8">
        <v>46111</v>
      </c>
      <c r="E3588" s="9">
        <v>4.9189814817509614E-2</v>
      </c>
      <c r="F3588" s="10" t="s">
        <v>3910</v>
      </c>
      <c r="G3588" s="10" t="s">
        <v>21</v>
      </c>
      <c r="H3588" s="10" t="s">
        <v>52</v>
      </c>
      <c r="I3588" s="10" t="s">
        <v>23</v>
      </c>
      <c r="J3588" s="11">
        <v>0.98</v>
      </c>
      <c r="K3588" s="12"/>
      <c r="L3588" s="12"/>
      <c r="M3588" s="12"/>
      <c r="N3588" s="12"/>
      <c r="O3588" s="12"/>
      <c r="P3588" s="12"/>
      <c r="Q3588" s="12"/>
      <c r="R3588" s="12"/>
      <c r="S3588" s="12"/>
    </row>
    <row r="3589" spans="1:19" ht="14.25" customHeight="1" x14ac:dyDescent="0.2">
      <c r="A3589" s="1" t="s">
        <v>33</v>
      </c>
      <c r="B3589" s="7">
        <v>46111.014502314814</v>
      </c>
      <c r="C3589" s="7">
        <v>46111.04991898148</v>
      </c>
      <c r="D3589" s="8">
        <v>46111</v>
      </c>
      <c r="E3589" s="9">
        <v>4.9918981480004732E-2</v>
      </c>
      <c r="F3589" s="10" t="s">
        <v>3911</v>
      </c>
      <c r="G3589" s="10" t="s">
        <v>26</v>
      </c>
      <c r="H3589" s="10" t="s">
        <v>37</v>
      </c>
      <c r="I3589" s="10" t="s">
        <v>23</v>
      </c>
      <c r="J3589" s="11">
        <v>0.88</v>
      </c>
      <c r="K3589" s="12"/>
      <c r="L3589" s="12"/>
      <c r="M3589" s="12"/>
      <c r="N3589" s="12"/>
      <c r="O3589" s="12"/>
      <c r="P3589" s="12"/>
      <c r="Q3589" s="12"/>
      <c r="R3589" s="12"/>
      <c r="S3589" s="12"/>
    </row>
    <row r="3590" spans="1:19" ht="14.25" customHeight="1" x14ac:dyDescent="0.2">
      <c r="A3590" s="1" t="s">
        <v>33</v>
      </c>
      <c r="B3590" s="7">
        <v>46111.041250000002</v>
      </c>
      <c r="C3590" s="7">
        <v>46111.05269675926</v>
      </c>
      <c r="D3590" s="8">
        <v>46111</v>
      </c>
      <c r="E3590" s="9">
        <v>5.2696759259561077E-2</v>
      </c>
      <c r="F3590" s="10" t="s">
        <v>3912</v>
      </c>
      <c r="G3590" s="10" t="s">
        <v>21</v>
      </c>
      <c r="H3590" s="10" t="s">
        <v>22</v>
      </c>
      <c r="I3590" s="10" t="s">
        <v>23</v>
      </c>
      <c r="J3590" s="11">
        <v>0.83</v>
      </c>
      <c r="K3590" s="12"/>
      <c r="L3590" s="12"/>
      <c r="M3590" s="12"/>
      <c r="N3590" s="12"/>
      <c r="O3590" s="12"/>
      <c r="P3590" s="12"/>
      <c r="Q3590" s="12"/>
      <c r="R3590" s="12"/>
      <c r="S3590" s="12"/>
    </row>
    <row r="3591" spans="1:19" ht="14.25" customHeight="1" x14ac:dyDescent="0.2">
      <c r="A3591" s="1" t="s">
        <v>33</v>
      </c>
      <c r="B3591" s="7">
        <v>46111.041250000002</v>
      </c>
      <c r="C3591" s="7">
        <v>46111.052870370368</v>
      </c>
      <c r="D3591" s="8">
        <v>46111</v>
      </c>
      <c r="E3591" s="9">
        <v>5.2870370367600117E-2</v>
      </c>
      <c r="F3591" s="10" t="s">
        <v>3913</v>
      </c>
      <c r="G3591" s="10" t="s">
        <v>21</v>
      </c>
      <c r="H3591" s="10" t="s">
        <v>52</v>
      </c>
      <c r="I3591" s="10" t="s">
        <v>23</v>
      </c>
      <c r="J3591" s="11">
        <v>0.98</v>
      </c>
      <c r="K3591" s="12"/>
      <c r="L3591" s="12"/>
      <c r="M3591" s="12"/>
      <c r="N3591" s="12"/>
      <c r="O3591" s="12"/>
      <c r="P3591" s="12"/>
      <c r="Q3591" s="12"/>
      <c r="R3591" s="12"/>
      <c r="S3591" s="12"/>
    </row>
    <row r="3592" spans="1:19" ht="14.25" customHeight="1" x14ac:dyDescent="0.2">
      <c r="A3592" s="1" t="s">
        <v>42</v>
      </c>
      <c r="B3592" s="7">
        <v>46111.023217592592</v>
      </c>
      <c r="C3592" s="7">
        <v>46111.056041666663</v>
      </c>
      <c r="D3592" s="8">
        <v>46111</v>
      </c>
      <c r="E3592" s="9">
        <v>5.6041666663077194E-2</v>
      </c>
      <c r="F3592" s="10" t="s">
        <v>3914</v>
      </c>
      <c r="G3592" s="10" t="s">
        <v>26</v>
      </c>
      <c r="H3592" s="10" t="s">
        <v>76</v>
      </c>
      <c r="I3592" s="10" t="s">
        <v>23</v>
      </c>
      <c r="J3592" s="11">
        <v>0.75</v>
      </c>
      <c r="K3592" s="12"/>
      <c r="L3592" s="12"/>
      <c r="M3592" s="12"/>
      <c r="N3592" s="12"/>
      <c r="O3592" s="12"/>
      <c r="P3592" s="12"/>
      <c r="Q3592" s="12"/>
      <c r="R3592" s="12"/>
      <c r="S3592" s="12"/>
    </row>
    <row r="3593" spans="1:19" ht="14.25" customHeight="1" x14ac:dyDescent="0.2">
      <c r="A3593" s="1" t="s">
        <v>19</v>
      </c>
      <c r="B3593" s="19">
        <v>46111.037662037037</v>
      </c>
      <c r="C3593" s="19">
        <v>46111.058553240742</v>
      </c>
      <c r="D3593" s="20">
        <v>46111</v>
      </c>
      <c r="E3593" s="21">
        <v>5.8553240742185153E-2</v>
      </c>
      <c r="F3593" s="1" t="s">
        <v>3915</v>
      </c>
      <c r="G3593" s="1" t="s">
        <v>21</v>
      </c>
      <c r="H3593" s="1" t="s">
        <v>41</v>
      </c>
      <c r="I3593" s="1" t="s">
        <v>166</v>
      </c>
      <c r="J3593" s="12">
        <v>1.77</v>
      </c>
      <c r="K3593" s="12"/>
      <c r="L3593" s="12"/>
      <c r="M3593" s="12"/>
      <c r="N3593" s="12"/>
      <c r="O3593" s="12"/>
      <c r="P3593" s="12"/>
      <c r="Q3593" s="12"/>
      <c r="R3593" s="12"/>
      <c r="S3593" s="12"/>
    </row>
    <row r="3594" spans="1:19" ht="14.25" customHeight="1" x14ac:dyDescent="0.2">
      <c r="A3594" s="1" t="s">
        <v>33</v>
      </c>
      <c r="B3594" s="19">
        <v>46111.030960648146</v>
      </c>
      <c r="C3594" s="19">
        <v>46111.062395833331</v>
      </c>
      <c r="D3594" s="20">
        <v>46111</v>
      </c>
      <c r="E3594" s="21">
        <v>6.2395833330811001E-2</v>
      </c>
      <c r="F3594" s="1" t="s">
        <v>3916</v>
      </c>
      <c r="G3594" s="1" t="s">
        <v>21</v>
      </c>
      <c r="H3594" s="1" t="s">
        <v>22</v>
      </c>
      <c r="I3594" s="1" t="s">
        <v>166</v>
      </c>
      <c r="J3594" s="12">
        <v>0.83</v>
      </c>
      <c r="K3594" s="12"/>
      <c r="L3594" s="12"/>
      <c r="M3594" s="12"/>
      <c r="N3594" s="12"/>
      <c r="O3594" s="12"/>
      <c r="P3594" s="12"/>
      <c r="Q3594" s="12"/>
      <c r="R3594" s="12"/>
      <c r="S3594" s="12"/>
    </row>
    <row r="3595" spans="1:19" ht="14.25" customHeight="1" x14ac:dyDescent="0.2">
      <c r="A3595" s="1" t="s">
        <v>33</v>
      </c>
      <c r="B3595" s="7">
        <v>46111.030960648146</v>
      </c>
      <c r="C3595" s="7">
        <v>46111.067037037035</v>
      </c>
      <c r="D3595" s="8">
        <v>46111</v>
      </c>
      <c r="E3595" s="9">
        <v>6.7037037035333924E-2</v>
      </c>
      <c r="F3595" s="10" t="s">
        <v>3917</v>
      </c>
      <c r="G3595" s="10" t="s">
        <v>21</v>
      </c>
      <c r="H3595" s="10" t="s">
        <v>281</v>
      </c>
      <c r="I3595" s="10" t="s">
        <v>23</v>
      </c>
      <c r="J3595" s="11">
        <v>2.5</v>
      </c>
      <c r="K3595" s="12"/>
      <c r="L3595" s="12"/>
      <c r="M3595" s="12"/>
      <c r="N3595" s="12"/>
      <c r="O3595" s="12"/>
      <c r="P3595" s="12"/>
      <c r="Q3595" s="12"/>
      <c r="R3595" s="12"/>
      <c r="S3595" s="12"/>
    </row>
    <row r="3596" spans="1:19" ht="14.25" customHeight="1" x14ac:dyDescent="0.2">
      <c r="A3596" s="1" t="s">
        <v>19</v>
      </c>
      <c r="B3596" s="19">
        <v>46111.055428240739</v>
      </c>
      <c r="C3596" s="19">
        <v>46111.068240740744</v>
      </c>
      <c r="D3596" s="20">
        <v>46111</v>
      </c>
      <c r="E3596" s="21">
        <v>6.8240740743931383E-2</v>
      </c>
      <c r="F3596" s="1" t="s">
        <v>3918</v>
      </c>
      <c r="G3596" s="1" t="s">
        <v>21</v>
      </c>
      <c r="H3596" s="1" t="s">
        <v>530</v>
      </c>
      <c r="I3596" s="1" t="s">
        <v>166</v>
      </c>
      <c r="J3596" s="12">
        <v>1.25</v>
      </c>
      <c r="K3596" s="12"/>
      <c r="L3596" s="12"/>
      <c r="M3596" s="12"/>
      <c r="N3596" s="12"/>
      <c r="O3596" s="12"/>
      <c r="P3596" s="12"/>
      <c r="Q3596" s="12"/>
      <c r="R3596" s="12"/>
      <c r="S3596" s="12"/>
    </row>
    <row r="3597" spans="1:19" ht="14.25" customHeight="1" x14ac:dyDescent="0.2">
      <c r="A3597" s="1" t="s">
        <v>42</v>
      </c>
      <c r="B3597" s="19">
        <v>46111.057638888888</v>
      </c>
      <c r="C3597" s="19">
        <v>46111.069236111114</v>
      </c>
      <c r="D3597" s="20">
        <v>46111</v>
      </c>
      <c r="E3597" s="21">
        <v>6.9236111114150845E-2</v>
      </c>
      <c r="F3597" s="1" t="s">
        <v>3919</v>
      </c>
      <c r="G3597" s="1" t="s">
        <v>44</v>
      </c>
      <c r="H3597" s="1" t="s">
        <v>45</v>
      </c>
      <c r="I3597" s="1" t="s">
        <v>166</v>
      </c>
      <c r="J3597" s="12">
        <v>0.18</v>
      </c>
      <c r="K3597" s="12"/>
      <c r="L3597" s="12"/>
      <c r="M3597" s="12"/>
      <c r="N3597" s="12"/>
      <c r="O3597" s="12"/>
      <c r="P3597" s="12"/>
      <c r="Q3597" s="12"/>
      <c r="R3597" s="12"/>
      <c r="S3597" s="12"/>
    </row>
    <row r="3598" spans="1:19" ht="14.25" customHeight="1" x14ac:dyDescent="0.2">
      <c r="A3598" s="1" t="s">
        <v>24</v>
      </c>
      <c r="B3598" s="7">
        <v>46111.025057870371</v>
      </c>
      <c r="C3598" s="7">
        <v>46111.069976851853</v>
      </c>
      <c r="D3598" s="8">
        <v>46111</v>
      </c>
      <c r="E3598" s="9">
        <v>6.9976851853425615E-2</v>
      </c>
      <c r="F3598" s="10" t="s">
        <v>3920</v>
      </c>
      <c r="G3598" s="10" t="s">
        <v>26</v>
      </c>
      <c r="H3598" s="10" t="s">
        <v>56</v>
      </c>
      <c r="I3598" s="10" t="s">
        <v>23</v>
      </c>
      <c r="J3598" s="11">
        <v>0.73</v>
      </c>
      <c r="K3598" s="12"/>
      <c r="L3598" s="12"/>
      <c r="M3598" s="12"/>
      <c r="N3598" s="12"/>
      <c r="O3598" s="12"/>
      <c r="P3598" s="12"/>
      <c r="Q3598" s="12"/>
      <c r="R3598" s="12"/>
      <c r="S3598" s="12"/>
    </row>
    <row r="3599" spans="1:19" ht="14.25" customHeight="1" x14ac:dyDescent="0.2">
      <c r="A3599" s="1" t="s">
        <v>24</v>
      </c>
      <c r="B3599" s="7">
        <v>46111.050300925926</v>
      </c>
      <c r="C3599" s="7">
        <v>46111.072685185187</v>
      </c>
      <c r="D3599" s="8">
        <v>46111</v>
      </c>
      <c r="E3599" s="9">
        <v>7.2685185186855961E-2</v>
      </c>
      <c r="F3599" s="10" t="s">
        <v>3921</v>
      </c>
      <c r="G3599" s="10" t="s">
        <v>26</v>
      </c>
      <c r="H3599" s="10" t="s">
        <v>128</v>
      </c>
      <c r="I3599" s="10" t="s">
        <v>23</v>
      </c>
      <c r="J3599" s="11">
        <v>0.97</v>
      </c>
      <c r="K3599" s="12"/>
      <c r="L3599" s="12"/>
      <c r="M3599" s="12"/>
      <c r="N3599" s="12"/>
      <c r="O3599" s="12"/>
      <c r="P3599" s="12"/>
      <c r="Q3599" s="12"/>
      <c r="R3599" s="12"/>
      <c r="S3599" s="12"/>
    </row>
    <row r="3600" spans="1:19" ht="14.25" customHeight="1" x14ac:dyDescent="0.2">
      <c r="A3600" s="1" t="s">
        <v>63</v>
      </c>
      <c r="B3600" s="7">
        <v>46111.049513888887</v>
      </c>
      <c r="C3600" s="7">
        <v>46111.075462962966</v>
      </c>
      <c r="D3600" s="8">
        <v>46111</v>
      </c>
      <c r="E3600" s="9">
        <v>7.5462962966412306E-2</v>
      </c>
      <c r="F3600" s="10" t="s">
        <v>3922</v>
      </c>
      <c r="G3600" s="10" t="s">
        <v>21</v>
      </c>
      <c r="H3600" s="10" t="s">
        <v>52</v>
      </c>
      <c r="I3600" s="10" t="s">
        <v>23</v>
      </c>
      <c r="J3600" s="11">
        <v>0.98</v>
      </c>
      <c r="K3600" s="12"/>
      <c r="L3600" s="12"/>
      <c r="M3600" s="12"/>
      <c r="N3600" s="12"/>
      <c r="O3600" s="12"/>
      <c r="P3600" s="12"/>
      <c r="Q3600" s="12"/>
      <c r="R3600" s="12"/>
      <c r="S3600" s="12"/>
    </row>
    <row r="3601" spans="1:19" ht="14.25" customHeight="1" x14ac:dyDescent="0.2">
      <c r="A3601" s="1" t="s">
        <v>63</v>
      </c>
      <c r="B3601" s="7">
        <v>46111.052881944444</v>
      </c>
      <c r="C3601" s="7">
        <v>46111.076006944444</v>
      </c>
      <c r="D3601" s="8">
        <v>46111</v>
      </c>
      <c r="E3601" s="9">
        <v>7.6006944444088731E-2</v>
      </c>
      <c r="F3601" s="10" t="s">
        <v>3923</v>
      </c>
      <c r="G3601" s="10" t="s">
        <v>21</v>
      </c>
      <c r="H3601" s="10" t="s">
        <v>320</v>
      </c>
      <c r="I3601" s="10" t="s">
        <v>23</v>
      </c>
      <c r="J3601" s="11">
        <v>0.98</v>
      </c>
      <c r="K3601" s="12"/>
      <c r="L3601" s="12"/>
      <c r="M3601" s="12"/>
      <c r="N3601" s="12"/>
      <c r="O3601" s="12"/>
      <c r="P3601" s="12"/>
      <c r="Q3601" s="12"/>
      <c r="R3601" s="12"/>
      <c r="S3601" s="12"/>
    </row>
    <row r="3602" spans="1:19" ht="14.25" customHeight="1" x14ac:dyDescent="0.2">
      <c r="A3602" s="1" t="s">
        <v>63</v>
      </c>
      <c r="B3602" s="7">
        <v>46111.048495370371</v>
      </c>
      <c r="C3602" s="7">
        <v>46111.076261574075</v>
      </c>
      <c r="D3602" s="8">
        <v>46111</v>
      </c>
      <c r="E3602" s="9">
        <v>7.6261574075033423E-2</v>
      </c>
      <c r="F3602" s="10" t="s">
        <v>3924</v>
      </c>
      <c r="G3602" s="10" t="s">
        <v>21</v>
      </c>
      <c r="H3602" s="10" t="s">
        <v>110</v>
      </c>
      <c r="I3602" s="10" t="s">
        <v>23</v>
      </c>
      <c r="J3602" s="11">
        <v>0.83</v>
      </c>
      <c r="K3602" s="12"/>
      <c r="L3602" s="12"/>
      <c r="M3602" s="12"/>
      <c r="N3602" s="12"/>
      <c r="O3602" s="12"/>
      <c r="P3602" s="12"/>
      <c r="Q3602" s="12"/>
      <c r="R3602" s="12"/>
      <c r="S3602" s="12"/>
    </row>
    <row r="3603" spans="1:19" ht="14.25" customHeight="1" x14ac:dyDescent="0.2">
      <c r="A3603" s="1" t="s">
        <v>33</v>
      </c>
      <c r="B3603" s="7">
        <v>46111.056006944447</v>
      </c>
      <c r="C3603" s="7">
        <v>46111.077465277776</v>
      </c>
      <c r="D3603" s="8">
        <v>46111</v>
      </c>
      <c r="E3603" s="9">
        <v>7.7465277776354924E-2</v>
      </c>
      <c r="F3603" s="10" t="s">
        <v>3925</v>
      </c>
      <c r="G3603" s="10" t="s">
        <v>26</v>
      </c>
      <c r="H3603" s="10" t="s">
        <v>205</v>
      </c>
      <c r="I3603" s="10" t="s">
        <v>23</v>
      </c>
      <c r="J3603" s="11">
        <v>0.57999999999999996</v>
      </c>
      <c r="K3603" s="12"/>
      <c r="L3603" s="12"/>
      <c r="M3603" s="12"/>
      <c r="N3603" s="12"/>
      <c r="O3603" s="12"/>
      <c r="P3603" s="12"/>
      <c r="Q3603" s="12"/>
      <c r="R3603" s="12"/>
      <c r="S3603" s="12"/>
    </row>
    <row r="3604" spans="1:19" ht="14.25" customHeight="1" x14ac:dyDescent="0.2">
      <c r="A3604" s="1" t="s">
        <v>63</v>
      </c>
      <c r="B3604" s="19">
        <v>46111.050891203704</v>
      </c>
      <c r="C3604" s="19">
        <v>46111.0778587963</v>
      </c>
      <c r="D3604" s="20">
        <v>46111</v>
      </c>
      <c r="E3604" s="21">
        <v>7.7858796299551614E-2</v>
      </c>
      <c r="F3604" s="1" t="s">
        <v>3926</v>
      </c>
      <c r="G3604" s="1" t="s">
        <v>21</v>
      </c>
      <c r="H3604" s="1" t="s">
        <v>1279</v>
      </c>
      <c r="I3604" s="1" t="s">
        <v>166</v>
      </c>
      <c r="J3604" s="12">
        <v>1.05</v>
      </c>
      <c r="K3604" s="12"/>
      <c r="L3604" s="12"/>
      <c r="M3604" s="12"/>
      <c r="N3604" s="12"/>
      <c r="O3604" s="12"/>
      <c r="P3604" s="12"/>
      <c r="Q3604" s="12"/>
      <c r="R3604" s="12"/>
      <c r="S3604" s="12"/>
    </row>
    <row r="3605" spans="1:19" ht="14.25" customHeight="1" x14ac:dyDescent="0.2">
      <c r="A3605" s="1" t="s">
        <v>19</v>
      </c>
      <c r="B3605" s="7">
        <v>46111.051030092596</v>
      </c>
      <c r="C3605" s="7">
        <v>46111.078738425924</v>
      </c>
      <c r="D3605" s="8">
        <v>46111</v>
      </c>
      <c r="E3605" s="9">
        <v>7.8738425923802424E-2</v>
      </c>
      <c r="F3605" s="10" t="s">
        <v>3927</v>
      </c>
      <c r="G3605" s="10" t="s">
        <v>26</v>
      </c>
      <c r="H3605" s="10" t="s">
        <v>92</v>
      </c>
      <c r="I3605" s="10" t="s">
        <v>23</v>
      </c>
      <c r="J3605" s="11">
        <v>0.63</v>
      </c>
      <c r="K3605" s="12"/>
      <c r="L3605" s="12"/>
      <c r="M3605" s="12"/>
      <c r="N3605" s="12"/>
      <c r="O3605" s="12"/>
      <c r="P3605" s="12"/>
      <c r="Q3605" s="12"/>
      <c r="R3605" s="12"/>
      <c r="S3605" s="12"/>
    </row>
    <row r="3606" spans="1:19" ht="14.25" customHeight="1" x14ac:dyDescent="0.2">
      <c r="A3606" s="1" t="s">
        <v>63</v>
      </c>
      <c r="B3606" s="7">
        <v>46111.056006944447</v>
      </c>
      <c r="C3606" s="7">
        <v>46111.078935185185</v>
      </c>
      <c r="D3606" s="8">
        <v>46111</v>
      </c>
      <c r="E3606" s="9">
        <v>7.8935185185400769E-2</v>
      </c>
      <c r="F3606" s="10" t="s">
        <v>3928</v>
      </c>
      <c r="G3606" s="10" t="s">
        <v>21</v>
      </c>
      <c r="H3606" s="10" t="s">
        <v>216</v>
      </c>
      <c r="I3606" s="10" t="s">
        <v>23</v>
      </c>
      <c r="J3606" s="11">
        <v>0.98</v>
      </c>
      <c r="K3606" s="12"/>
      <c r="L3606" s="12"/>
      <c r="M3606" s="12"/>
      <c r="N3606" s="12"/>
      <c r="O3606" s="12"/>
      <c r="P3606" s="12"/>
      <c r="Q3606" s="12"/>
      <c r="R3606" s="12"/>
      <c r="S3606" s="12"/>
    </row>
    <row r="3607" spans="1:19" ht="14.25" customHeight="1" x14ac:dyDescent="0.2">
      <c r="A3607" s="1" t="s">
        <v>63</v>
      </c>
      <c r="B3607" s="19">
        <v>46111.054560185185</v>
      </c>
      <c r="C3607" s="19">
        <v>46111.080960648149</v>
      </c>
      <c r="D3607" s="20">
        <v>46111</v>
      </c>
      <c r="E3607" s="21">
        <v>8.0960648148902692E-2</v>
      </c>
      <c r="F3607" s="1" t="s">
        <v>3929</v>
      </c>
      <c r="G3607" s="1" t="s">
        <v>21</v>
      </c>
      <c r="H3607" s="1" t="s">
        <v>1535</v>
      </c>
      <c r="I3607" s="1" t="s">
        <v>166</v>
      </c>
      <c r="J3607" s="12">
        <v>1.7</v>
      </c>
      <c r="K3607" s="12"/>
      <c r="L3607" s="12"/>
      <c r="M3607" s="12"/>
      <c r="N3607" s="12"/>
      <c r="O3607" s="12"/>
      <c r="P3607" s="12"/>
      <c r="Q3607" s="12"/>
      <c r="R3607" s="12"/>
      <c r="S3607" s="12"/>
    </row>
    <row r="3608" spans="1:19" ht="14.25" customHeight="1" x14ac:dyDescent="0.2">
      <c r="A3608" s="1" t="s">
        <v>95</v>
      </c>
      <c r="B3608" s="7">
        <v>46111.067372685182</v>
      </c>
      <c r="C3608" s="7">
        <v>46111.084907407407</v>
      </c>
      <c r="D3608" s="8">
        <v>46111</v>
      </c>
      <c r="E3608" s="9">
        <v>8.4907407406717539E-2</v>
      </c>
      <c r="F3608" s="10" t="s">
        <v>3930</v>
      </c>
      <c r="G3608" s="10" t="s">
        <v>21</v>
      </c>
      <c r="H3608" s="10" t="s">
        <v>110</v>
      </c>
      <c r="I3608" s="10" t="s">
        <v>23</v>
      </c>
      <c r="J3608" s="11">
        <v>0.83</v>
      </c>
      <c r="K3608" s="12"/>
      <c r="L3608" s="12">
        <f>SUM(J3608:J3620)</f>
        <v>14.139999999999999</v>
      </c>
      <c r="M3608" s="13">
        <f>L3608*65</f>
        <v>919.09999999999991</v>
      </c>
      <c r="N3608" s="14">
        <f>MAX(500,M3608)</f>
        <v>919.09999999999991</v>
      </c>
      <c r="O3608" s="12"/>
      <c r="P3608" s="12"/>
      <c r="Q3608" s="12"/>
      <c r="R3608" s="12"/>
      <c r="S3608" s="12"/>
    </row>
    <row r="3609" spans="1:19" ht="14.25" customHeight="1" x14ac:dyDescent="0.2">
      <c r="A3609" s="1" t="s">
        <v>95</v>
      </c>
      <c r="B3609" s="7">
        <v>46111.069814814815</v>
      </c>
      <c r="C3609" s="7">
        <v>46111.085405092592</v>
      </c>
      <c r="D3609" s="8">
        <v>46111</v>
      </c>
      <c r="E3609" s="9">
        <v>8.540509259182727E-2</v>
      </c>
      <c r="F3609" s="10" t="s">
        <v>3931</v>
      </c>
      <c r="G3609" s="10" t="s">
        <v>21</v>
      </c>
      <c r="H3609" s="10" t="s">
        <v>52</v>
      </c>
      <c r="I3609" s="10" t="s">
        <v>23</v>
      </c>
      <c r="J3609" s="11">
        <v>0.98</v>
      </c>
      <c r="K3609" s="12"/>
      <c r="L3609" s="12"/>
      <c r="M3609" s="12"/>
      <c r="N3609" s="12"/>
      <c r="O3609" s="12"/>
      <c r="P3609" s="12"/>
      <c r="Q3609" s="12"/>
      <c r="R3609" s="12"/>
      <c r="S3609" s="12"/>
    </row>
    <row r="3610" spans="1:19" ht="14.25" customHeight="1" x14ac:dyDescent="0.2">
      <c r="A3610" s="1" t="s">
        <v>95</v>
      </c>
      <c r="B3610" s="19">
        <v>46111.060925925929</v>
      </c>
      <c r="C3610" s="19">
        <v>46111.089074074072</v>
      </c>
      <c r="D3610" s="20">
        <v>46111</v>
      </c>
      <c r="E3610" s="21">
        <v>8.9074074072414078E-2</v>
      </c>
      <c r="F3610" s="1" t="s">
        <v>3932</v>
      </c>
      <c r="G3610" s="1" t="s">
        <v>21</v>
      </c>
      <c r="H3610" s="1" t="s">
        <v>97</v>
      </c>
      <c r="I3610" s="1" t="s">
        <v>166</v>
      </c>
      <c r="J3610" s="12">
        <v>1.77</v>
      </c>
      <c r="K3610" s="12"/>
      <c r="L3610" s="12"/>
      <c r="M3610" s="12"/>
      <c r="N3610" s="12"/>
      <c r="O3610" s="12"/>
      <c r="P3610" s="12"/>
      <c r="Q3610" s="12"/>
      <c r="R3610" s="12"/>
      <c r="S3610" s="12"/>
    </row>
    <row r="3611" spans="1:19" ht="14.25" customHeight="1" x14ac:dyDescent="0.2">
      <c r="A3611" s="1" t="s">
        <v>95</v>
      </c>
      <c r="B3611" s="7">
        <v>46111.074826388889</v>
      </c>
      <c r="C3611" s="7">
        <v>46111.096192129633</v>
      </c>
      <c r="D3611" s="8">
        <v>46111</v>
      </c>
      <c r="E3611" s="9">
        <v>9.619212963298196E-2</v>
      </c>
      <c r="F3611" s="10" t="s">
        <v>3933</v>
      </c>
      <c r="G3611" s="10" t="s">
        <v>21</v>
      </c>
      <c r="H3611" s="10" t="s">
        <v>110</v>
      </c>
      <c r="I3611" s="10" t="s">
        <v>23</v>
      </c>
      <c r="J3611" s="11">
        <v>0.83</v>
      </c>
      <c r="K3611" s="12"/>
      <c r="L3611" s="12"/>
      <c r="M3611" s="12"/>
      <c r="N3611" s="12"/>
      <c r="O3611" s="12"/>
      <c r="P3611" s="12"/>
      <c r="Q3611" s="12"/>
      <c r="R3611" s="12"/>
      <c r="S3611" s="12"/>
    </row>
    <row r="3612" spans="1:19" ht="14.25" customHeight="1" x14ac:dyDescent="0.2">
      <c r="A3612" s="1" t="s">
        <v>95</v>
      </c>
      <c r="B3612" s="19">
        <v>46111.077430555553</v>
      </c>
      <c r="C3612" s="19">
        <v>46111.09652777778</v>
      </c>
      <c r="D3612" s="20">
        <v>46111</v>
      </c>
      <c r="E3612" s="21">
        <v>9.6527777779556345E-2</v>
      </c>
      <c r="F3612" s="1" t="s">
        <v>3934</v>
      </c>
      <c r="G3612" s="1" t="s">
        <v>21</v>
      </c>
      <c r="H3612" s="1" t="s">
        <v>97</v>
      </c>
      <c r="I3612" s="1" t="s">
        <v>166</v>
      </c>
      <c r="J3612" s="12">
        <v>1.77</v>
      </c>
      <c r="K3612" s="12"/>
      <c r="L3612" s="12"/>
      <c r="M3612" s="12"/>
      <c r="N3612" s="12"/>
      <c r="O3612" s="12"/>
      <c r="P3612" s="12"/>
      <c r="Q3612" s="12"/>
      <c r="R3612" s="12"/>
      <c r="S3612" s="12"/>
    </row>
    <row r="3613" spans="1:19" ht="14.25" customHeight="1" x14ac:dyDescent="0.2">
      <c r="A3613" s="1" t="s">
        <v>33</v>
      </c>
      <c r="B3613" s="7">
        <v>46111.07104166667</v>
      </c>
      <c r="C3613" s="7">
        <v>46111.098449074074</v>
      </c>
      <c r="D3613" s="8">
        <v>46111</v>
      </c>
      <c r="E3613" s="9">
        <v>9.8449074073869269E-2</v>
      </c>
      <c r="F3613" s="10" t="s">
        <v>3935</v>
      </c>
      <c r="G3613" s="10" t="s">
        <v>21</v>
      </c>
      <c r="H3613" s="10" t="s">
        <v>41</v>
      </c>
      <c r="I3613" s="10" t="s">
        <v>23</v>
      </c>
      <c r="J3613" s="11">
        <v>1.77</v>
      </c>
      <c r="K3613" s="12"/>
      <c r="L3613" s="12"/>
      <c r="M3613" s="12"/>
      <c r="N3613" s="12"/>
      <c r="O3613" s="12"/>
      <c r="P3613" s="12"/>
      <c r="Q3613" s="12"/>
      <c r="R3613" s="12"/>
      <c r="S3613" s="12"/>
    </row>
    <row r="3614" spans="1:19" ht="14.25" customHeight="1" x14ac:dyDescent="0.2">
      <c r="A3614" s="1" t="s">
        <v>19</v>
      </c>
      <c r="B3614" s="19">
        <v>46111.076041666667</v>
      </c>
      <c r="C3614" s="19">
        <v>46111.10564814815</v>
      </c>
      <c r="D3614" s="20">
        <v>46111</v>
      </c>
      <c r="E3614" s="21">
        <v>0.10564814815006685</v>
      </c>
      <c r="F3614" s="1" t="s">
        <v>3936</v>
      </c>
      <c r="G3614" s="1" t="s">
        <v>21</v>
      </c>
      <c r="H3614" s="1" t="s">
        <v>41</v>
      </c>
      <c r="I3614" s="1" t="s">
        <v>166</v>
      </c>
      <c r="J3614" s="12">
        <v>1.77</v>
      </c>
      <c r="K3614" s="12"/>
      <c r="L3614" s="12"/>
      <c r="M3614" s="12"/>
      <c r="N3614" s="12"/>
      <c r="O3614" s="12"/>
      <c r="P3614" s="12"/>
      <c r="Q3614" s="12"/>
      <c r="R3614" s="12"/>
      <c r="S3614" s="12"/>
    </row>
    <row r="3615" spans="1:19" ht="14.25" customHeight="1" x14ac:dyDescent="0.2">
      <c r="A3615" s="1" t="s">
        <v>95</v>
      </c>
      <c r="B3615" s="19">
        <v>46111.086215277777</v>
      </c>
      <c r="C3615" s="19">
        <v>46111.107766203706</v>
      </c>
      <c r="D3615" s="20">
        <v>46111</v>
      </c>
      <c r="E3615" s="21">
        <v>0.10776620370597811</v>
      </c>
      <c r="F3615" s="1" t="s">
        <v>3937</v>
      </c>
      <c r="G3615" s="1" t="s">
        <v>21</v>
      </c>
      <c r="H3615" s="1" t="s">
        <v>110</v>
      </c>
      <c r="I3615" s="1" t="s">
        <v>166</v>
      </c>
      <c r="J3615" s="12">
        <v>0.83</v>
      </c>
      <c r="K3615" s="12"/>
      <c r="L3615" s="12"/>
      <c r="M3615" s="12"/>
      <c r="N3615" s="12"/>
      <c r="O3615" s="12"/>
      <c r="P3615" s="12"/>
      <c r="Q3615" s="12"/>
      <c r="R3615" s="12"/>
      <c r="S3615" s="12"/>
    </row>
    <row r="3616" spans="1:19" ht="14.25" customHeight="1" x14ac:dyDescent="0.2">
      <c r="A3616" s="1" t="s">
        <v>57</v>
      </c>
      <c r="B3616" s="7">
        <v>46111.087060185186</v>
      </c>
      <c r="C3616" s="7">
        <v>46111.111712962964</v>
      </c>
      <c r="D3616" s="8">
        <v>46111</v>
      </c>
      <c r="E3616" s="9">
        <v>0.11171296296379296</v>
      </c>
      <c r="F3616" s="10" t="s">
        <v>3938</v>
      </c>
      <c r="G3616" s="10" t="s">
        <v>44</v>
      </c>
      <c r="H3616" s="10" t="s">
        <v>606</v>
      </c>
      <c r="I3616" s="10" t="s">
        <v>23</v>
      </c>
      <c r="J3616" s="11">
        <v>0.18</v>
      </c>
      <c r="K3616" s="12"/>
      <c r="L3616" s="12"/>
      <c r="M3616" s="12"/>
      <c r="N3616" s="12"/>
      <c r="O3616" s="12"/>
      <c r="P3616" s="12"/>
      <c r="Q3616" s="12"/>
      <c r="R3616" s="12"/>
      <c r="S3616" s="12"/>
    </row>
    <row r="3617" spans="1:19" ht="14.25" customHeight="1" x14ac:dyDescent="0.2">
      <c r="A3617" s="1" t="s">
        <v>95</v>
      </c>
      <c r="B3617" s="19">
        <v>46111.082858796297</v>
      </c>
      <c r="C3617" s="19">
        <v>46111.115162037036</v>
      </c>
      <c r="D3617" s="20">
        <v>46111</v>
      </c>
      <c r="E3617" s="21">
        <v>0.11516203703649808</v>
      </c>
      <c r="F3617" s="1" t="s">
        <v>3939</v>
      </c>
      <c r="G3617" s="1" t="s">
        <v>21</v>
      </c>
      <c r="H3617" s="1" t="s">
        <v>97</v>
      </c>
      <c r="I3617" s="1" t="s">
        <v>166</v>
      </c>
      <c r="J3617" s="12">
        <v>1.77</v>
      </c>
      <c r="K3617" s="12"/>
      <c r="L3617" s="12"/>
      <c r="M3617" s="12"/>
      <c r="N3617" s="12"/>
      <c r="O3617" s="12"/>
      <c r="P3617" s="12"/>
      <c r="Q3617" s="12"/>
      <c r="R3617" s="12"/>
      <c r="S3617" s="12"/>
    </row>
    <row r="3618" spans="1:19" ht="14.25" customHeight="1" x14ac:dyDescent="0.2">
      <c r="A3618" s="1" t="s">
        <v>42</v>
      </c>
      <c r="B3618" s="19">
        <v>46111.085694444446</v>
      </c>
      <c r="C3618" s="19">
        <v>46111.117280092592</v>
      </c>
      <c r="D3618" s="20">
        <v>46111</v>
      </c>
      <c r="E3618" s="21">
        <v>0.11728009259240935</v>
      </c>
      <c r="F3618" s="1" t="s">
        <v>3940</v>
      </c>
      <c r="G3618" s="1" t="s">
        <v>44</v>
      </c>
      <c r="H3618" s="1" t="s">
        <v>3941</v>
      </c>
      <c r="I3618" s="1" t="s">
        <v>166</v>
      </c>
      <c r="J3618" s="12">
        <v>0.3</v>
      </c>
      <c r="K3618" s="12"/>
      <c r="L3618" s="12"/>
      <c r="M3618" s="12"/>
      <c r="N3618" s="12"/>
      <c r="O3618" s="12"/>
      <c r="P3618" s="12"/>
      <c r="Q3618" s="12"/>
      <c r="R3618" s="12"/>
      <c r="S3618" s="12"/>
    </row>
    <row r="3619" spans="1:19" ht="14.25" customHeight="1" x14ac:dyDescent="0.2">
      <c r="A3619" s="1" t="s">
        <v>57</v>
      </c>
      <c r="B3619" s="19">
        <v>46111.086145833331</v>
      </c>
      <c r="C3619" s="19">
        <v>46111.121898148151</v>
      </c>
      <c r="D3619" s="20">
        <v>46111</v>
      </c>
      <c r="E3619" s="21">
        <v>0.12189814815064892</v>
      </c>
      <c r="F3619" s="1" t="s">
        <v>3942</v>
      </c>
      <c r="G3619" s="1" t="s">
        <v>26</v>
      </c>
      <c r="H3619" s="1" t="s">
        <v>2245</v>
      </c>
      <c r="I3619" s="1" t="s">
        <v>166</v>
      </c>
      <c r="J3619" s="12">
        <v>0.67</v>
      </c>
      <c r="K3619" s="12"/>
      <c r="L3619" s="12"/>
      <c r="M3619" s="12"/>
      <c r="N3619" s="12"/>
      <c r="O3619" s="12"/>
      <c r="P3619" s="12"/>
      <c r="Q3619" s="12"/>
      <c r="R3619" s="12"/>
      <c r="S3619" s="12"/>
    </row>
    <row r="3620" spans="1:19" ht="14.25" customHeight="1" x14ac:dyDescent="0.2">
      <c r="A3620" s="1" t="s">
        <v>33</v>
      </c>
      <c r="B3620" s="19">
        <v>46111.082777777781</v>
      </c>
      <c r="C3620" s="19">
        <v>46111.123738425929</v>
      </c>
      <c r="D3620" s="20">
        <v>46111</v>
      </c>
      <c r="E3620" s="21">
        <v>0.12373842592933215</v>
      </c>
      <c r="F3620" s="1" t="s">
        <v>3943</v>
      </c>
      <c r="G3620" s="1" t="s">
        <v>26</v>
      </c>
      <c r="H3620" s="1" t="s">
        <v>1019</v>
      </c>
      <c r="I3620" s="1" t="s">
        <v>166</v>
      </c>
      <c r="J3620" s="12">
        <v>0.67</v>
      </c>
      <c r="K3620" s="12"/>
      <c r="L3620" s="12"/>
      <c r="M3620" s="12"/>
      <c r="N3620" s="12"/>
      <c r="O3620" s="12"/>
      <c r="P3620" s="12"/>
      <c r="Q3620" s="12"/>
      <c r="R3620" s="12"/>
      <c r="S3620" s="12"/>
    </row>
    <row r="3621" spans="1:19" ht="14.25" customHeight="1" x14ac:dyDescent="0.2">
      <c r="A3621" s="1" t="s">
        <v>33</v>
      </c>
      <c r="B3621" s="7">
        <v>46111.13349537037</v>
      </c>
      <c r="C3621" s="7">
        <v>46111.150300925925</v>
      </c>
      <c r="D3621" s="8">
        <v>46111</v>
      </c>
      <c r="E3621" s="9">
        <v>0.15030092592496658</v>
      </c>
      <c r="F3621" s="10" t="s">
        <v>3944</v>
      </c>
      <c r="G3621" s="10" t="s">
        <v>21</v>
      </c>
      <c r="H3621" s="10" t="s">
        <v>22</v>
      </c>
      <c r="I3621" s="10" t="s">
        <v>23</v>
      </c>
      <c r="J3621" s="11">
        <v>0.83</v>
      </c>
      <c r="K3621" s="12">
        <f>SUM(J3621:J3636)</f>
        <v>19.019999999999996</v>
      </c>
      <c r="L3621" s="12">
        <f>SUM(J3621:J3623)</f>
        <v>2.7600000000000002</v>
      </c>
      <c r="M3621" s="13">
        <f>L3621*65</f>
        <v>179.4</v>
      </c>
      <c r="N3621" s="14">
        <f>MAX(500,M3621)</f>
        <v>500</v>
      </c>
      <c r="O3621" s="12"/>
      <c r="P3621" s="12"/>
      <c r="Q3621" s="12"/>
      <c r="R3621" s="12"/>
      <c r="S3621" s="12"/>
    </row>
    <row r="3622" spans="1:19" ht="14.25" customHeight="1" x14ac:dyDescent="0.2">
      <c r="A3622" s="1" t="s">
        <v>19</v>
      </c>
      <c r="B3622" s="7">
        <v>46111.13621527778</v>
      </c>
      <c r="C3622" s="7">
        <v>46111.151053240741</v>
      </c>
      <c r="D3622" s="8">
        <v>46111</v>
      </c>
      <c r="E3622" s="9">
        <v>0.151053240741021</v>
      </c>
      <c r="F3622" s="10" t="s">
        <v>3945</v>
      </c>
      <c r="G3622" s="10" t="s">
        <v>21</v>
      </c>
      <c r="H3622" s="10" t="s">
        <v>268</v>
      </c>
      <c r="I3622" s="10" t="s">
        <v>23</v>
      </c>
      <c r="J3622" s="11">
        <v>1.35</v>
      </c>
      <c r="K3622" s="12"/>
      <c r="L3622" s="12"/>
      <c r="M3622" s="12"/>
      <c r="N3622" s="12"/>
      <c r="O3622" s="12"/>
      <c r="P3622" s="12"/>
      <c r="Q3622" s="12"/>
      <c r="R3622" s="12"/>
      <c r="S3622" s="12"/>
    </row>
    <row r="3623" spans="1:19" ht="14.25" customHeight="1" x14ac:dyDescent="0.2">
      <c r="A3623" s="1" t="s">
        <v>57</v>
      </c>
      <c r="B3623" s="7">
        <v>46111.119687500002</v>
      </c>
      <c r="C3623" s="7">
        <v>46111.154456018521</v>
      </c>
      <c r="D3623" s="8">
        <v>46111</v>
      </c>
      <c r="E3623" s="9">
        <v>0.15445601852115942</v>
      </c>
      <c r="F3623" s="10" t="s">
        <v>3946</v>
      </c>
      <c r="G3623" s="10" t="s">
        <v>26</v>
      </c>
      <c r="H3623" s="10" t="s">
        <v>1339</v>
      </c>
      <c r="I3623" s="10" t="s">
        <v>23</v>
      </c>
      <c r="J3623" s="11">
        <v>0.57999999999999996</v>
      </c>
      <c r="K3623" s="12"/>
      <c r="L3623" s="12"/>
      <c r="M3623" s="12"/>
      <c r="N3623" s="12"/>
      <c r="O3623" s="12"/>
      <c r="P3623" s="12"/>
      <c r="Q3623" s="12"/>
      <c r="R3623" s="12"/>
      <c r="S3623" s="12"/>
    </row>
    <row r="3624" spans="1:19" ht="14.25" customHeight="1" x14ac:dyDescent="0.2">
      <c r="A3624" s="1" t="s">
        <v>24</v>
      </c>
      <c r="B3624" s="7">
        <v>46111.152418981481</v>
      </c>
      <c r="C3624" s="7">
        <v>46111.169363425928</v>
      </c>
      <c r="D3624" s="8">
        <v>46111</v>
      </c>
      <c r="E3624" s="9">
        <v>0.169363425928168</v>
      </c>
      <c r="F3624" s="10" t="s">
        <v>3947</v>
      </c>
      <c r="G3624" s="10" t="s">
        <v>26</v>
      </c>
      <c r="H3624" s="10" t="s">
        <v>205</v>
      </c>
      <c r="I3624" s="10" t="s">
        <v>23</v>
      </c>
      <c r="J3624" s="11">
        <v>0.57999999999999996</v>
      </c>
      <c r="K3624" s="12"/>
      <c r="L3624" s="12">
        <f>SUM(J3624:J3627)</f>
        <v>2.5700000000000003</v>
      </c>
      <c r="M3624" s="13">
        <f>L3624*65</f>
        <v>167.05</v>
      </c>
      <c r="N3624" s="14">
        <f>MAX(500,M3624)</f>
        <v>500</v>
      </c>
      <c r="O3624" s="12"/>
      <c r="P3624" s="12"/>
      <c r="Q3624" s="12"/>
      <c r="R3624" s="12"/>
      <c r="S3624" s="12"/>
    </row>
    <row r="3625" spans="1:19" ht="14.25" customHeight="1" x14ac:dyDescent="0.2">
      <c r="A3625" s="1" t="s">
        <v>95</v>
      </c>
      <c r="B3625" s="7">
        <v>46111.173506944448</v>
      </c>
      <c r="C3625" s="7">
        <v>46111.191157407404</v>
      </c>
      <c r="D3625" s="8">
        <v>46111</v>
      </c>
      <c r="E3625" s="9">
        <v>0.19115740740380716</v>
      </c>
      <c r="F3625" s="10" t="s">
        <v>3948</v>
      </c>
      <c r="G3625" s="10" t="s">
        <v>21</v>
      </c>
      <c r="H3625" s="10" t="s">
        <v>52</v>
      </c>
      <c r="I3625" s="10" t="s">
        <v>23</v>
      </c>
      <c r="J3625" s="11">
        <v>0.98</v>
      </c>
      <c r="K3625" s="12"/>
      <c r="L3625" s="12"/>
      <c r="M3625" s="12"/>
      <c r="N3625" s="12"/>
      <c r="O3625" s="12"/>
      <c r="P3625" s="12"/>
      <c r="Q3625" s="12"/>
      <c r="R3625" s="12"/>
      <c r="S3625" s="12"/>
    </row>
    <row r="3626" spans="1:19" ht="14.25" customHeight="1" x14ac:dyDescent="0.2">
      <c r="A3626" s="1" t="s">
        <v>95</v>
      </c>
      <c r="B3626" s="7">
        <v>46111.173506944448</v>
      </c>
      <c r="C3626" s="7">
        <v>46111.193564814814</v>
      </c>
      <c r="D3626" s="8">
        <v>46111</v>
      </c>
      <c r="E3626" s="9">
        <v>0.19356481481372612</v>
      </c>
      <c r="F3626" s="10" t="s">
        <v>3949</v>
      </c>
      <c r="G3626" s="10" t="s">
        <v>21</v>
      </c>
      <c r="H3626" s="10" t="s">
        <v>110</v>
      </c>
      <c r="I3626" s="10" t="s">
        <v>23</v>
      </c>
      <c r="J3626" s="11">
        <v>0.83</v>
      </c>
      <c r="K3626" s="12"/>
      <c r="L3626" s="12"/>
      <c r="M3626" s="12"/>
      <c r="N3626" s="12"/>
      <c r="O3626" s="12"/>
      <c r="P3626" s="12"/>
      <c r="Q3626" s="12"/>
      <c r="R3626" s="12"/>
      <c r="S3626" s="12"/>
    </row>
    <row r="3627" spans="1:19" ht="14.25" customHeight="1" x14ac:dyDescent="0.2">
      <c r="A3627" s="1" t="s">
        <v>42</v>
      </c>
      <c r="B3627" s="7">
        <v>46111.186886574076</v>
      </c>
      <c r="C3627" s="7">
        <v>46111.203553240739</v>
      </c>
      <c r="D3627" s="8">
        <v>46111</v>
      </c>
      <c r="E3627" s="9">
        <v>0.20355324073898373</v>
      </c>
      <c r="F3627" s="10" t="s">
        <v>3950</v>
      </c>
      <c r="G3627" s="10" t="s">
        <v>44</v>
      </c>
      <c r="H3627" s="10" t="s">
        <v>50</v>
      </c>
      <c r="I3627" s="10" t="s">
        <v>23</v>
      </c>
      <c r="J3627" s="11">
        <v>0.18</v>
      </c>
      <c r="K3627" s="12"/>
      <c r="L3627" s="12"/>
      <c r="M3627" s="12"/>
      <c r="N3627" s="12"/>
      <c r="O3627" s="12"/>
      <c r="P3627" s="12"/>
      <c r="Q3627" s="12"/>
      <c r="R3627" s="12"/>
      <c r="S3627" s="12"/>
    </row>
    <row r="3628" spans="1:19" ht="14.25" customHeight="1" x14ac:dyDescent="0.2">
      <c r="A3628" s="1" t="s">
        <v>95</v>
      </c>
      <c r="B3628" s="7">
        <v>46111.181585648148</v>
      </c>
      <c r="C3628" s="7">
        <v>46111.214594907404</v>
      </c>
      <c r="D3628" s="8">
        <v>46111</v>
      </c>
      <c r="E3628" s="9">
        <v>0.21459490740380716</v>
      </c>
      <c r="F3628" s="10" t="s">
        <v>3951</v>
      </c>
      <c r="G3628" s="10" t="s">
        <v>21</v>
      </c>
      <c r="H3628" s="10" t="s">
        <v>110</v>
      </c>
      <c r="I3628" s="10" t="s">
        <v>23</v>
      </c>
      <c r="J3628" s="11">
        <v>0.83</v>
      </c>
      <c r="K3628" s="12"/>
      <c r="L3628" s="12">
        <f>SUM(J3628:J3636)</f>
        <v>13.690000000000001</v>
      </c>
      <c r="M3628" s="13">
        <f>L3628*65</f>
        <v>889.85000000000014</v>
      </c>
      <c r="N3628" s="14">
        <f>MAX(500,M3628)</f>
        <v>889.85000000000014</v>
      </c>
      <c r="O3628" s="12"/>
      <c r="P3628" s="12"/>
      <c r="Q3628" s="12"/>
      <c r="R3628" s="12"/>
      <c r="S3628" s="12"/>
    </row>
    <row r="3629" spans="1:19" ht="14.25" customHeight="1" x14ac:dyDescent="0.2">
      <c r="A3629" s="1" t="s">
        <v>42</v>
      </c>
      <c r="B3629" s="7">
        <v>46111.198865740742</v>
      </c>
      <c r="C3629" s="7">
        <v>46111.215358796297</v>
      </c>
      <c r="D3629" s="8">
        <v>46111</v>
      </c>
      <c r="E3629" s="9">
        <v>0.21535879629664123</v>
      </c>
      <c r="F3629" s="10" t="s">
        <v>3952</v>
      </c>
      <c r="G3629" s="10" t="s">
        <v>21</v>
      </c>
      <c r="H3629" s="10" t="s">
        <v>108</v>
      </c>
      <c r="I3629" s="10" t="s">
        <v>23</v>
      </c>
      <c r="J3629" s="11">
        <v>1.7</v>
      </c>
      <c r="K3629" s="12"/>
      <c r="L3629" s="12"/>
      <c r="M3629" s="12"/>
      <c r="N3629" s="12"/>
      <c r="O3629" s="12"/>
      <c r="P3629" s="12"/>
      <c r="Q3629" s="12"/>
      <c r="R3629" s="12"/>
      <c r="S3629" s="12"/>
    </row>
    <row r="3630" spans="1:19" ht="14.25" customHeight="1" x14ac:dyDescent="0.2">
      <c r="A3630" s="1" t="s">
        <v>19</v>
      </c>
      <c r="B3630" s="7">
        <v>46111.206597222219</v>
      </c>
      <c r="C3630" s="7">
        <v>46111.215798611112</v>
      </c>
      <c r="D3630" s="8">
        <v>46111</v>
      </c>
      <c r="E3630" s="9">
        <v>0.21579861111240461</v>
      </c>
      <c r="F3630" s="10" t="s">
        <v>3953</v>
      </c>
      <c r="G3630" s="10" t="s">
        <v>21</v>
      </c>
      <c r="H3630" s="10" t="s">
        <v>101</v>
      </c>
      <c r="I3630" s="10" t="s">
        <v>23</v>
      </c>
      <c r="J3630" s="11">
        <v>1.7</v>
      </c>
      <c r="K3630" s="12"/>
      <c r="L3630" s="12"/>
      <c r="M3630" s="12"/>
      <c r="N3630" s="12"/>
      <c r="O3630" s="12"/>
      <c r="P3630" s="12"/>
      <c r="Q3630" s="12"/>
      <c r="R3630" s="12"/>
      <c r="S3630" s="12"/>
    </row>
    <row r="3631" spans="1:19" ht="14.25" customHeight="1" x14ac:dyDescent="0.2">
      <c r="A3631" s="1" t="s">
        <v>95</v>
      </c>
      <c r="B3631" s="7">
        <v>46111.181585648148</v>
      </c>
      <c r="C3631" s="7">
        <v>46111.230787037035</v>
      </c>
      <c r="D3631" s="8">
        <v>46111</v>
      </c>
      <c r="E3631" s="9">
        <v>0.23078703703504289</v>
      </c>
      <c r="F3631" s="10" t="s">
        <v>3954</v>
      </c>
      <c r="G3631" s="10" t="s">
        <v>21</v>
      </c>
      <c r="H3631" s="10" t="s">
        <v>105</v>
      </c>
      <c r="I3631" s="10" t="s">
        <v>23</v>
      </c>
      <c r="J3631" s="11">
        <v>2.5</v>
      </c>
      <c r="K3631" s="12"/>
      <c r="L3631" s="12"/>
      <c r="M3631" s="12"/>
      <c r="N3631" s="12"/>
      <c r="O3631" s="12"/>
      <c r="P3631" s="12"/>
      <c r="Q3631" s="12"/>
      <c r="R3631" s="12"/>
      <c r="S3631" s="12"/>
    </row>
    <row r="3632" spans="1:19" ht="14.25" customHeight="1" x14ac:dyDescent="0.2">
      <c r="A3632" s="1" t="s">
        <v>19</v>
      </c>
      <c r="B3632" s="7">
        <v>46111.218171296299</v>
      </c>
      <c r="C3632" s="7">
        <v>46111.231956018521</v>
      </c>
      <c r="D3632" s="8">
        <v>46111</v>
      </c>
      <c r="E3632" s="9">
        <v>0.23195601852057735</v>
      </c>
      <c r="F3632" s="10" t="s">
        <v>3955</v>
      </c>
      <c r="G3632" s="10" t="s">
        <v>21</v>
      </c>
      <c r="H3632" s="10" t="s">
        <v>41</v>
      </c>
      <c r="I3632" s="10" t="s">
        <v>23</v>
      </c>
      <c r="J3632" s="11">
        <v>1.77</v>
      </c>
      <c r="K3632" s="12"/>
      <c r="L3632" s="12"/>
      <c r="M3632" s="12"/>
      <c r="N3632" s="12"/>
      <c r="O3632" s="12"/>
      <c r="P3632" s="12"/>
      <c r="Q3632" s="12"/>
      <c r="R3632" s="12"/>
      <c r="S3632" s="12"/>
    </row>
    <row r="3633" spans="1:19" ht="14.25" customHeight="1" x14ac:dyDescent="0.2">
      <c r="A3633" s="1" t="s">
        <v>19</v>
      </c>
      <c r="B3633" s="7">
        <v>46110.988182870373</v>
      </c>
      <c r="C3633" s="7">
        <v>46111.234398148146</v>
      </c>
      <c r="D3633" s="8">
        <v>46111</v>
      </c>
      <c r="E3633" s="9">
        <v>0.23439814814628335</v>
      </c>
      <c r="F3633" s="10" t="s">
        <v>3956</v>
      </c>
      <c r="G3633" s="10" t="s">
        <v>21</v>
      </c>
      <c r="H3633" s="10" t="s">
        <v>467</v>
      </c>
      <c r="I3633" s="10" t="s">
        <v>23</v>
      </c>
      <c r="J3633" s="11">
        <v>2.75</v>
      </c>
      <c r="K3633" s="12"/>
      <c r="L3633" s="12"/>
      <c r="M3633" s="12"/>
      <c r="N3633" s="12"/>
      <c r="O3633" s="12"/>
      <c r="P3633" s="12"/>
      <c r="Q3633" s="12"/>
      <c r="R3633" s="12"/>
      <c r="S3633" s="12"/>
    </row>
    <row r="3634" spans="1:19" ht="14.25" customHeight="1" x14ac:dyDescent="0.2">
      <c r="A3634" s="1" t="s">
        <v>19</v>
      </c>
      <c r="B3634" s="7">
        <v>46111.232835648145</v>
      </c>
      <c r="C3634" s="7">
        <v>46111.248229166667</v>
      </c>
      <c r="D3634" s="8">
        <v>46111</v>
      </c>
      <c r="E3634" s="9">
        <v>0.24822916666744277</v>
      </c>
      <c r="F3634" s="10" t="s">
        <v>3957</v>
      </c>
      <c r="G3634" s="10" t="s">
        <v>21</v>
      </c>
      <c r="H3634" s="10" t="s">
        <v>22</v>
      </c>
      <c r="I3634" s="10" t="s">
        <v>23</v>
      </c>
      <c r="J3634" s="11">
        <v>0.83</v>
      </c>
      <c r="K3634" s="12"/>
      <c r="L3634" s="12"/>
      <c r="M3634" s="12"/>
      <c r="N3634" s="12"/>
      <c r="O3634" s="12"/>
      <c r="P3634" s="12"/>
      <c r="Q3634" s="12"/>
      <c r="R3634" s="12"/>
      <c r="S3634" s="12"/>
    </row>
    <row r="3635" spans="1:19" ht="14.25" customHeight="1" x14ac:dyDescent="0.2">
      <c r="A3635" s="1" t="s">
        <v>19</v>
      </c>
      <c r="B3635" s="7">
        <v>46111.231122685182</v>
      </c>
      <c r="C3635" s="7">
        <v>46111.248379629629</v>
      </c>
      <c r="D3635" s="8">
        <v>46111</v>
      </c>
      <c r="E3635" s="9">
        <v>0.24837962962919846</v>
      </c>
      <c r="F3635" s="10" t="s">
        <v>3958</v>
      </c>
      <c r="G3635" s="10" t="s">
        <v>21</v>
      </c>
      <c r="H3635" s="10" t="s">
        <v>52</v>
      </c>
      <c r="I3635" s="10" t="s">
        <v>23</v>
      </c>
      <c r="J3635" s="11">
        <v>0.98</v>
      </c>
      <c r="K3635" s="12"/>
      <c r="L3635" s="12"/>
      <c r="M3635" s="12"/>
      <c r="N3635" s="12"/>
      <c r="O3635" s="12"/>
      <c r="P3635" s="12"/>
      <c r="Q3635" s="12"/>
      <c r="R3635" s="12"/>
      <c r="S3635" s="12"/>
    </row>
    <row r="3636" spans="1:19" ht="14.25" customHeight="1" x14ac:dyDescent="0.2">
      <c r="A3636" s="1" t="s">
        <v>42</v>
      </c>
      <c r="B3636" s="7">
        <v>46111.23170138889</v>
      </c>
      <c r="C3636" s="7">
        <v>46111.2497337963</v>
      </c>
      <c r="D3636" s="8">
        <v>46111</v>
      </c>
      <c r="E3636" s="9">
        <v>0.24973379629955161</v>
      </c>
      <c r="F3636" s="10" t="s">
        <v>3959</v>
      </c>
      <c r="G3636" s="10" t="s">
        <v>26</v>
      </c>
      <c r="H3636" s="10" t="s">
        <v>125</v>
      </c>
      <c r="I3636" s="10" t="s">
        <v>23</v>
      </c>
      <c r="J3636" s="11">
        <v>0.63</v>
      </c>
      <c r="K3636" s="12"/>
      <c r="L3636" s="12"/>
      <c r="M3636" s="12"/>
      <c r="N3636" s="12"/>
      <c r="O3636" s="12"/>
      <c r="P3636" s="12"/>
      <c r="Q3636" s="12"/>
      <c r="R3636" s="12"/>
      <c r="S3636" s="12"/>
    </row>
    <row r="3637" spans="1:19" ht="14.25" customHeight="1" x14ac:dyDescent="0.2">
      <c r="A3637" s="1" t="s">
        <v>33</v>
      </c>
      <c r="B3637" s="7">
        <v>46111.863391203704</v>
      </c>
      <c r="C3637" s="7">
        <v>46111.877928240741</v>
      </c>
      <c r="D3637" s="8">
        <v>46111</v>
      </c>
      <c r="E3637" s="9">
        <v>0.87792824074131204</v>
      </c>
      <c r="F3637" s="10" t="s">
        <v>3960</v>
      </c>
      <c r="G3637" s="10" t="s">
        <v>21</v>
      </c>
      <c r="H3637" s="10" t="s">
        <v>101</v>
      </c>
      <c r="I3637" s="10" t="s">
        <v>23</v>
      </c>
      <c r="J3637" s="11">
        <v>1.7</v>
      </c>
      <c r="K3637" s="11">
        <f>SUM(J3637,J3641,J3642,J3643,J3644,J3646,J3647,J3648,J3649,J3651,J3652,J3654,J3655,J3657,J3658,J3660,J3661,J3662,J3663,J3664,J3665,J3668,J3671,J3673,J3674,J3676,J3677,J3678,J3679,J3680,J3682,J3683,J3684,J3685,J3689,J3690,J3691,J3692,J3693,J3697,J3698,J3701,J3702,J3703,J3705,J3707,J3708,J3709,J3710,J3711,J3712,J3714,J3715)</f>
        <v>70.430000000000021</v>
      </c>
      <c r="L3637" s="12">
        <f>SUM(J3637:J3653)</f>
        <v>24.77</v>
      </c>
      <c r="M3637" s="13">
        <f>L3637*65</f>
        <v>1610.05</v>
      </c>
      <c r="N3637" s="14">
        <f>MAX(500,M3637)</f>
        <v>1610.05</v>
      </c>
      <c r="O3637" s="12"/>
      <c r="P3637" s="12"/>
      <c r="Q3637" s="12"/>
      <c r="R3637" s="12"/>
      <c r="S3637" s="12"/>
    </row>
    <row r="3638" spans="1:19" ht="14.25" customHeight="1" x14ac:dyDescent="0.2">
      <c r="A3638" s="1" t="s">
        <v>19</v>
      </c>
      <c r="B3638" s="19">
        <v>46111.843136574076</v>
      </c>
      <c r="C3638" s="19">
        <v>46111.882280092592</v>
      </c>
      <c r="D3638" s="20">
        <v>46111</v>
      </c>
      <c r="E3638" s="21">
        <v>0.88228009259182727</v>
      </c>
      <c r="F3638" s="1" t="s">
        <v>3961</v>
      </c>
      <c r="G3638" s="1" t="s">
        <v>26</v>
      </c>
      <c r="H3638" s="1" t="s">
        <v>315</v>
      </c>
      <c r="I3638" s="1" t="s">
        <v>166</v>
      </c>
      <c r="J3638" s="12">
        <v>0.88</v>
      </c>
      <c r="K3638" s="12">
        <f>SUM(J3638:J3640,J3645,J3650,J3653,J3656,J3659,J3666,J3667,J3669,J3670,J3672,J3675,J3681,J3686,J3687,J3688,J3694,J3695,J3696,J3699,J3700,J3704,J3706,J3713,J3716)</f>
        <v>29.749999999999996</v>
      </c>
      <c r="L3638" s="12"/>
      <c r="M3638" s="12"/>
      <c r="N3638" s="12"/>
      <c r="O3638" s="12"/>
      <c r="P3638" s="12"/>
      <c r="Q3638" s="12"/>
      <c r="R3638" s="12"/>
      <c r="S3638" s="12"/>
    </row>
    <row r="3639" spans="1:19" ht="14.25" customHeight="1" x14ac:dyDescent="0.2">
      <c r="A3639" s="1" t="s">
        <v>24</v>
      </c>
      <c r="B3639" s="19">
        <v>46111.873900462961</v>
      </c>
      <c r="C3639" s="19">
        <v>46111.887280092589</v>
      </c>
      <c r="D3639" s="20">
        <v>46111</v>
      </c>
      <c r="E3639" s="21">
        <v>0.88728009258920792</v>
      </c>
      <c r="F3639" s="1" t="s">
        <v>3962</v>
      </c>
      <c r="G3639" s="1" t="s">
        <v>21</v>
      </c>
      <c r="H3639" s="1" t="s">
        <v>54</v>
      </c>
      <c r="I3639" s="1" t="s">
        <v>166</v>
      </c>
      <c r="J3639" s="12">
        <v>0.83</v>
      </c>
      <c r="K3639" s="12"/>
      <c r="L3639" s="12"/>
      <c r="M3639" s="12"/>
      <c r="N3639" s="12"/>
      <c r="O3639" s="12"/>
      <c r="P3639" s="12"/>
      <c r="Q3639" s="12"/>
      <c r="R3639" s="12"/>
      <c r="S3639" s="12"/>
    </row>
    <row r="3640" spans="1:19" ht="14.25" customHeight="1" x14ac:dyDescent="0.2">
      <c r="A3640" s="1" t="s">
        <v>112</v>
      </c>
      <c r="B3640" s="19">
        <v>46111.875532407408</v>
      </c>
      <c r="C3640" s="19">
        <v>46111.891550925924</v>
      </c>
      <c r="D3640" s="20">
        <v>46111</v>
      </c>
      <c r="E3640" s="21">
        <v>0.89155092592409346</v>
      </c>
      <c r="F3640" s="1" t="s">
        <v>3963</v>
      </c>
      <c r="G3640" s="1" t="s">
        <v>21</v>
      </c>
      <c r="H3640" s="1" t="s">
        <v>117</v>
      </c>
      <c r="I3640" s="1" t="s">
        <v>166</v>
      </c>
      <c r="J3640" s="12">
        <v>0.83</v>
      </c>
      <c r="K3640" s="12"/>
      <c r="L3640" s="12"/>
      <c r="M3640" s="12"/>
      <c r="N3640" s="12"/>
      <c r="O3640" s="12"/>
      <c r="P3640" s="12"/>
      <c r="Q3640" s="12"/>
      <c r="R3640" s="12"/>
      <c r="S3640" s="12"/>
    </row>
    <row r="3641" spans="1:19" ht="14.25" customHeight="1" x14ac:dyDescent="0.2">
      <c r="A3641" s="1" t="s">
        <v>28</v>
      </c>
      <c r="B3641" s="7">
        <v>46111.873402777775</v>
      </c>
      <c r="C3641" s="7">
        <v>46111.893217592595</v>
      </c>
      <c r="D3641" s="8">
        <v>46111</v>
      </c>
      <c r="E3641" s="9">
        <v>0.89321759259473765</v>
      </c>
      <c r="F3641" s="10" t="s">
        <v>3964</v>
      </c>
      <c r="G3641" s="10" t="s">
        <v>21</v>
      </c>
      <c r="H3641" s="10" t="s">
        <v>101</v>
      </c>
      <c r="I3641" s="10" t="s">
        <v>23</v>
      </c>
      <c r="J3641" s="11">
        <v>1.7</v>
      </c>
      <c r="K3641" s="12"/>
      <c r="L3641" s="12"/>
      <c r="M3641" s="12"/>
      <c r="N3641" s="12"/>
      <c r="O3641" s="12"/>
      <c r="P3641" s="12"/>
      <c r="Q3641" s="12"/>
      <c r="R3641" s="12"/>
      <c r="S3641" s="12"/>
    </row>
    <row r="3642" spans="1:19" ht="14.25" customHeight="1" x14ac:dyDescent="0.2">
      <c r="A3642" s="1" t="s">
        <v>42</v>
      </c>
      <c r="B3642" s="7">
        <v>46111.879108796296</v>
      </c>
      <c r="C3642" s="7">
        <v>46111.89366898148</v>
      </c>
      <c r="D3642" s="8">
        <v>46111</v>
      </c>
      <c r="E3642" s="9">
        <v>0.89366898148000473</v>
      </c>
      <c r="F3642" s="10" t="s">
        <v>3965</v>
      </c>
      <c r="G3642" s="10" t="s">
        <v>44</v>
      </c>
      <c r="H3642" s="10" t="s">
        <v>140</v>
      </c>
      <c r="I3642" s="10" t="s">
        <v>23</v>
      </c>
      <c r="J3642" s="11">
        <v>0.18</v>
      </c>
      <c r="K3642" s="12"/>
      <c r="L3642" s="12"/>
      <c r="M3642" s="12"/>
      <c r="N3642" s="12"/>
      <c r="O3642" s="12"/>
      <c r="P3642" s="12"/>
      <c r="Q3642" s="12"/>
      <c r="R3642" s="12"/>
      <c r="S3642" s="12"/>
    </row>
    <row r="3643" spans="1:19" ht="14.25" customHeight="1" x14ac:dyDescent="0.2">
      <c r="A3643" s="1" t="s">
        <v>33</v>
      </c>
      <c r="B3643" s="7">
        <v>46111.879004629627</v>
      </c>
      <c r="C3643" s="7">
        <v>46111.894259259258</v>
      </c>
      <c r="D3643" s="8">
        <v>46111</v>
      </c>
      <c r="E3643" s="9">
        <v>0.89425925925752381</v>
      </c>
      <c r="F3643" s="10" t="s">
        <v>3966</v>
      </c>
      <c r="G3643" s="10" t="s">
        <v>21</v>
      </c>
      <c r="H3643" s="10" t="s">
        <v>71</v>
      </c>
      <c r="I3643" s="10" t="s">
        <v>23</v>
      </c>
      <c r="J3643" s="11">
        <v>1.05</v>
      </c>
      <c r="K3643" s="12"/>
      <c r="L3643" s="12"/>
      <c r="M3643" s="12"/>
      <c r="N3643" s="12"/>
      <c r="O3643" s="12"/>
      <c r="P3643" s="12"/>
      <c r="Q3643" s="12"/>
      <c r="R3643" s="12"/>
      <c r="S3643" s="12"/>
    </row>
    <row r="3644" spans="1:19" ht="14.25" customHeight="1" x14ac:dyDescent="0.2">
      <c r="A3644" s="1" t="s">
        <v>19</v>
      </c>
      <c r="B3644" s="7">
        <v>46111.880208333336</v>
      </c>
      <c r="C3644" s="7">
        <v>46111.896134259259</v>
      </c>
      <c r="D3644" s="8">
        <v>46111</v>
      </c>
      <c r="E3644" s="9">
        <v>0.89613425925927004</v>
      </c>
      <c r="F3644" s="10" t="s">
        <v>3967</v>
      </c>
      <c r="G3644" s="10" t="s">
        <v>21</v>
      </c>
      <c r="H3644" s="10" t="s">
        <v>467</v>
      </c>
      <c r="I3644" s="10" t="s">
        <v>23</v>
      </c>
      <c r="J3644" s="11">
        <v>2.75</v>
      </c>
      <c r="K3644" s="12"/>
      <c r="L3644" s="12"/>
      <c r="M3644" s="12"/>
      <c r="N3644" s="12"/>
      <c r="O3644" s="12"/>
      <c r="P3644" s="12"/>
      <c r="Q3644" s="12"/>
      <c r="R3644" s="12"/>
      <c r="S3644" s="12"/>
    </row>
    <row r="3645" spans="1:19" ht="14.25" customHeight="1" x14ac:dyDescent="0.2">
      <c r="A3645" s="1" t="s">
        <v>24</v>
      </c>
      <c r="B3645" s="19">
        <v>46111.86986111111</v>
      </c>
      <c r="C3645" s="19">
        <v>46111.896597222221</v>
      </c>
      <c r="D3645" s="20">
        <v>46111</v>
      </c>
      <c r="E3645" s="21">
        <v>0.89659722222131677</v>
      </c>
      <c r="F3645" s="1" t="s">
        <v>3968</v>
      </c>
      <c r="G3645" s="1" t="s">
        <v>21</v>
      </c>
      <c r="H3645" s="1" t="s">
        <v>22</v>
      </c>
      <c r="I3645" s="1" t="s">
        <v>166</v>
      </c>
      <c r="J3645" s="12">
        <v>0.83</v>
      </c>
      <c r="K3645" s="12"/>
      <c r="L3645" s="12"/>
      <c r="M3645" s="12"/>
      <c r="N3645" s="12"/>
      <c r="O3645" s="12"/>
      <c r="P3645" s="12"/>
      <c r="Q3645" s="12"/>
      <c r="R3645" s="12"/>
      <c r="S3645" s="12"/>
    </row>
    <row r="3646" spans="1:19" ht="14.25" customHeight="1" x14ac:dyDescent="0.2">
      <c r="A3646" s="1" t="s">
        <v>24</v>
      </c>
      <c r="B3646" s="7">
        <v>46111.875555555554</v>
      </c>
      <c r="C3646" s="7">
        <v>46111.897048611114</v>
      </c>
      <c r="D3646" s="8">
        <v>46111</v>
      </c>
      <c r="E3646" s="9">
        <v>0.89704861111385981</v>
      </c>
      <c r="F3646" s="10" t="s">
        <v>3969</v>
      </c>
      <c r="G3646" s="10" t="s">
        <v>21</v>
      </c>
      <c r="H3646" s="10" t="s">
        <v>35</v>
      </c>
      <c r="I3646" s="10" t="s">
        <v>23</v>
      </c>
      <c r="J3646" s="11">
        <v>2.5</v>
      </c>
      <c r="K3646" s="12"/>
      <c r="L3646" s="12"/>
      <c r="M3646" s="12"/>
      <c r="N3646" s="12"/>
      <c r="O3646" s="12"/>
      <c r="P3646" s="12"/>
      <c r="Q3646" s="12"/>
      <c r="R3646" s="12"/>
      <c r="S3646" s="12"/>
    </row>
    <row r="3647" spans="1:19" ht="14.25" customHeight="1" x14ac:dyDescent="0.2">
      <c r="A3647" s="1" t="s">
        <v>24</v>
      </c>
      <c r="B3647" s="7">
        <v>46111.885289351849</v>
      </c>
      <c r="C3647" s="7">
        <v>46111.902627314812</v>
      </c>
      <c r="D3647" s="8">
        <v>46111</v>
      </c>
      <c r="E3647" s="9">
        <v>0.90262731481197989</v>
      </c>
      <c r="F3647" s="10" t="s">
        <v>3970</v>
      </c>
      <c r="G3647" s="10" t="s">
        <v>21</v>
      </c>
      <c r="H3647" s="10" t="s">
        <v>39</v>
      </c>
      <c r="I3647" s="10" t="s">
        <v>23</v>
      </c>
      <c r="J3647" s="11">
        <v>1.77</v>
      </c>
      <c r="K3647" s="12"/>
      <c r="L3647" s="12"/>
      <c r="M3647" s="12"/>
      <c r="N3647" s="12"/>
      <c r="O3647" s="12"/>
      <c r="P3647" s="12"/>
      <c r="Q3647" s="12"/>
      <c r="R3647" s="12"/>
      <c r="S3647" s="12"/>
    </row>
    <row r="3648" spans="1:19" ht="14.25" customHeight="1" x14ac:dyDescent="0.2">
      <c r="A3648" s="1" t="s">
        <v>57</v>
      </c>
      <c r="B3648" s="7">
        <v>46111.896458333336</v>
      </c>
      <c r="C3648" s="7">
        <v>46111.903148148151</v>
      </c>
      <c r="D3648" s="8">
        <v>46111</v>
      </c>
      <c r="E3648" s="9">
        <v>0.90314814815064892</v>
      </c>
      <c r="F3648" s="10" t="s">
        <v>3971</v>
      </c>
      <c r="G3648" s="10" t="s">
        <v>21</v>
      </c>
      <c r="H3648" s="10" t="s">
        <v>687</v>
      </c>
      <c r="I3648" s="10" t="s">
        <v>23</v>
      </c>
      <c r="J3648" s="11">
        <v>1.7</v>
      </c>
      <c r="K3648" s="12"/>
      <c r="L3648" s="12"/>
      <c r="M3648" s="12"/>
      <c r="N3648" s="12"/>
      <c r="O3648" s="12"/>
      <c r="P3648" s="12"/>
      <c r="Q3648" s="12"/>
      <c r="R3648" s="12"/>
      <c r="S3648" s="12"/>
    </row>
    <row r="3649" spans="1:19" ht="14.25" customHeight="1" x14ac:dyDescent="0.2">
      <c r="A3649" s="1" t="s">
        <v>24</v>
      </c>
      <c r="B3649" s="7">
        <v>46111.8909375</v>
      </c>
      <c r="C3649" s="7">
        <v>46111.905173611114</v>
      </c>
      <c r="D3649" s="8">
        <v>46111</v>
      </c>
      <c r="E3649" s="9">
        <v>0.90517361111415084</v>
      </c>
      <c r="F3649" s="10" t="s">
        <v>3972</v>
      </c>
      <c r="G3649" s="10" t="s">
        <v>21</v>
      </c>
      <c r="H3649" s="10" t="s">
        <v>41</v>
      </c>
      <c r="I3649" s="10" t="s">
        <v>23</v>
      </c>
      <c r="J3649" s="11">
        <v>1.77</v>
      </c>
      <c r="K3649" s="12"/>
      <c r="L3649" s="12"/>
      <c r="M3649" s="12"/>
      <c r="N3649" s="12"/>
      <c r="O3649" s="12"/>
      <c r="P3649" s="12"/>
      <c r="Q3649" s="12"/>
      <c r="R3649" s="12"/>
      <c r="S3649" s="12"/>
    </row>
    <row r="3650" spans="1:19" ht="14.25" customHeight="1" x14ac:dyDescent="0.2">
      <c r="A3650" s="1" t="s">
        <v>19</v>
      </c>
      <c r="B3650" s="19">
        <v>46111.882962962962</v>
      </c>
      <c r="C3650" s="19">
        <v>46111.905439814815</v>
      </c>
      <c r="D3650" s="20">
        <v>46111</v>
      </c>
      <c r="E3650" s="21">
        <v>0.90543981481459923</v>
      </c>
      <c r="F3650" s="1" t="s">
        <v>3973</v>
      </c>
      <c r="G3650" s="1" t="s">
        <v>26</v>
      </c>
      <c r="H3650" s="1" t="s">
        <v>3974</v>
      </c>
      <c r="I3650" s="1" t="s">
        <v>166</v>
      </c>
      <c r="J3650" s="12">
        <v>0.92</v>
      </c>
      <c r="K3650" s="12"/>
      <c r="L3650" s="12"/>
      <c r="M3650" s="12"/>
      <c r="N3650" s="12"/>
      <c r="O3650" s="12"/>
      <c r="P3650" s="12"/>
      <c r="Q3650" s="12"/>
      <c r="R3650" s="12"/>
      <c r="S3650" s="12"/>
    </row>
    <row r="3651" spans="1:19" ht="14.25" customHeight="1" x14ac:dyDescent="0.2">
      <c r="A3651" s="1" t="s">
        <v>33</v>
      </c>
      <c r="B3651" s="7">
        <v>46111.894907407404</v>
      </c>
      <c r="C3651" s="7">
        <v>46111.905474537038</v>
      </c>
      <c r="D3651" s="8">
        <v>46111</v>
      </c>
      <c r="E3651" s="9">
        <v>0.90547453703766223</v>
      </c>
      <c r="F3651" s="10" t="s">
        <v>3975</v>
      </c>
      <c r="G3651" s="10" t="s">
        <v>21</v>
      </c>
      <c r="H3651" s="10" t="s">
        <v>101</v>
      </c>
      <c r="I3651" s="10" t="s">
        <v>23</v>
      </c>
      <c r="J3651" s="11">
        <v>1.7</v>
      </c>
      <c r="K3651" s="12"/>
      <c r="L3651" s="12"/>
      <c r="M3651" s="12"/>
      <c r="N3651" s="12"/>
      <c r="O3651" s="12"/>
      <c r="P3651" s="12"/>
      <c r="Q3651" s="12"/>
      <c r="R3651" s="12"/>
      <c r="S3651" s="12"/>
    </row>
    <row r="3652" spans="1:19" ht="14.25" customHeight="1" x14ac:dyDescent="0.2">
      <c r="A3652" s="1" t="s">
        <v>57</v>
      </c>
      <c r="B3652" s="7">
        <v>46111.900914351849</v>
      </c>
      <c r="C3652" s="7">
        <v>46111.908217592594</v>
      </c>
      <c r="D3652" s="8">
        <v>46111</v>
      </c>
      <c r="E3652" s="9">
        <v>0.90821759259415558</v>
      </c>
      <c r="F3652" s="10" t="s">
        <v>3976</v>
      </c>
      <c r="G3652" s="10" t="s">
        <v>21</v>
      </c>
      <c r="H3652" s="10" t="s">
        <v>656</v>
      </c>
      <c r="I3652" s="10" t="s">
        <v>23</v>
      </c>
      <c r="J3652" s="11">
        <v>1.7</v>
      </c>
      <c r="K3652" s="12"/>
      <c r="L3652" s="12"/>
      <c r="M3652" s="12"/>
      <c r="N3652" s="12"/>
      <c r="O3652" s="12"/>
      <c r="P3652" s="12"/>
      <c r="Q3652" s="12"/>
      <c r="R3652" s="12"/>
      <c r="S3652" s="12"/>
    </row>
    <row r="3653" spans="1:19" ht="14.25" customHeight="1" x14ac:dyDescent="0.2">
      <c r="A3653" s="1" t="s">
        <v>57</v>
      </c>
      <c r="B3653" s="19">
        <v>46111.877881944441</v>
      </c>
      <c r="C3653" s="19">
        <v>46111.914733796293</v>
      </c>
      <c r="D3653" s="20">
        <v>46111</v>
      </c>
      <c r="E3653" s="21">
        <v>0.91473379629314877</v>
      </c>
      <c r="F3653" s="1" t="s">
        <v>3977</v>
      </c>
      <c r="G3653" s="1" t="s">
        <v>21</v>
      </c>
      <c r="H3653" s="1" t="s">
        <v>3729</v>
      </c>
      <c r="I3653" s="1" t="s">
        <v>166</v>
      </c>
      <c r="J3653" s="12">
        <v>1.96</v>
      </c>
      <c r="K3653" s="12"/>
      <c r="L3653" s="12"/>
      <c r="M3653" s="12"/>
      <c r="N3653" s="12"/>
      <c r="O3653" s="12"/>
      <c r="P3653" s="12"/>
      <c r="Q3653" s="12"/>
      <c r="R3653" s="12"/>
      <c r="S3653" s="12"/>
    </row>
    <row r="3654" spans="1:19" ht="14.25" customHeight="1" x14ac:dyDescent="0.2">
      <c r="A3654" s="1" t="s">
        <v>24</v>
      </c>
      <c r="B3654" s="7">
        <v>46111.907465277778</v>
      </c>
      <c r="C3654" s="7">
        <v>46111.917314814818</v>
      </c>
      <c r="D3654" s="8">
        <v>46111</v>
      </c>
      <c r="E3654" s="9">
        <v>0.91731481481838273</v>
      </c>
      <c r="F3654" s="10" t="s">
        <v>3978</v>
      </c>
      <c r="G3654" s="10" t="s">
        <v>21</v>
      </c>
      <c r="H3654" s="10" t="s">
        <v>22</v>
      </c>
      <c r="I3654" s="10" t="s">
        <v>23</v>
      </c>
      <c r="J3654" s="11">
        <v>0.83</v>
      </c>
      <c r="K3654" s="12"/>
      <c r="L3654" s="12">
        <f>SUM(J3654:J3676)</f>
        <v>28.579999999999995</v>
      </c>
      <c r="M3654" s="13">
        <f>L3654*65</f>
        <v>1857.6999999999996</v>
      </c>
      <c r="N3654" s="14">
        <f>MAX(500,M3654)</f>
        <v>1857.6999999999996</v>
      </c>
      <c r="O3654" s="12"/>
      <c r="P3654" s="12"/>
      <c r="Q3654" s="12"/>
      <c r="R3654" s="12"/>
      <c r="S3654" s="12"/>
    </row>
    <row r="3655" spans="1:19" ht="14.25" customHeight="1" x14ac:dyDescent="0.2">
      <c r="A3655" s="1" t="s">
        <v>24</v>
      </c>
      <c r="B3655" s="7">
        <v>46111.901053240741</v>
      </c>
      <c r="C3655" s="7">
        <v>46111.917800925927</v>
      </c>
      <c r="D3655" s="8">
        <v>46111</v>
      </c>
      <c r="E3655" s="9">
        <v>0.91780092592671281</v>
      </c>
      <c r="F3655" s="10" t="s">
        <v>3979</v>
      </c>
      <c r="G3655" s="10" t="s">
        <v>21</v>
      </c>
      <c r="H3655" s="10" t="s">
        <v>101</v>
      </c>
      <c r="I3655" s="10" t="s">
        <v>23</v>
      </c>
      <c r="J3655" s="11">
        <v>1.7</v>
      </c>
      <c r="K3655" s="12"/>
      <c r="L3655" s="12"/>
      <c r="M3655" s="12"/>
      <c r="N3655" s="12"/>
      <c r="O3655" s="12"/>
      <c r="P3655" s="12"/>
      <c r="Q3655" s="12"/>
      <c r="R3655" s="12"/>
      <c r="S3655" s="12"/>
    </row>
    <row r="3656" spans="1:19" ht="14.25" customHeight="1" x14ac:dyDescent="0.2">
      <c r="A3656" s="1" t="s">
        <v>42</v>
      </c>
      <c r="B3656" s="19">
        <v>46111.889652777776</v>
      </c>
      <c r="C3656" s="19">
        <v>46111.922384259262</v>
      </c>
      <c r="D3656" s="20">
        <v>46111</v>
      </c>
      <c r="E3656" s="21">
        <v>0.92238425926188938</v>
      </c>
      <c r="F3656" s="1" t="s">
        <v>3980</v>
      </c>
      <c r="G3656" s="1" t="s">
        <v>26</v>
      </c>
      <c r="H3656" s="1" t="s">
        <v>664</v>
      </c>
      <c r="I3656" s="1" t="s">
        <v>166</v>
      </c>
      <c r="J3656" s="12">
        <v>0.57999999999999996</v>
      </c>
      <c r="K3656" s="12"/>
      <c r="L3656" s="12"/>
      <c r="M3656" s="12"/>
      <c r="N3656" s="12"/>
      <c r="O3656" s="12"/>
      <c r="P3656" s="12"/>
      <c r="Q3656" s="12"/>
      <c r="R3656" s="12"/>
      <c r="S3656" s="12"/>
    </row>
    <row r="3657" spans="1:19" ht="14.25" customHeight="1" x14ac:dyDescent="0.2">
      <c r="A3657" s="1" t="s">
        <v>42</v>
      </c>
      <c r="B3657" s="7">
        <v>46111.862835648149</v>
      </c>
      <c r="C3657" s="7">
        <v>46111.925416666665</v>
      </c>
      <c r="D3657" s="8">
        <v>46111</v>
      </c>
      <c r="E3657" s="9">
        <v>0.92541666666511446</v>
      </c>
      <c r="F3657" s="10" t="s">
        <v>3981</v>
      </c>
      <c r="G3657" s="10" t="s">
        <v>26</v>
      </c>
      <c r="H3657" s="10" t="s">
        <v>56</v>
      </c>
      <c r="I3657" s="10" t="s">
        <v>23</v>
      </c>
      <c r="J3657" s="11">
        <v>0.73</v>
      </c>
      <c r="K3657" s="12"/>
      <c r="L3657" s="12"/>
      <c r="M3657" s="12"/>
      <c r="N3657" s="12"/>
      <c r="O3657" s="12"/>
      <c r="P3657" s="12"/>
      <c r="Q3657" s="12"/>
      <c r="R3657" s="12"/>
      <c r="S3657" s="12"/>
    </row>
    <row r="3658" spans="1:19" ht="14.25" customHeight="1" x14ac:dyDescent="0.2">
      <c r="A3658" s="1" t="s">
        <v>19</v>
      </c>
      <c r="B3658" s="7">
        <v>46111.906134259261</v>
      </c>
      <c r="C3658" s="7">
        <v>46111.925613425927</v>
      </c>
      <c r="D3658" s="8">
        <v>46111</v>
      </c>
      <c r="E3658" s="9">
        <v>0.92561342592671281</v>
      </c>
      <c r="F3658" s="10" t="s">
        <v>3982</v>
      </c>
      <c r="G3658" s="10" t="s">
        <v>21</v>
      </c>
      <c r="H3658" s="10" t="s">
        <v>52</v>
      </c>
      <c r="I3658" s="10" t="s">
        <v>23</v>
      </c>
      <c r="J3658" s="11">
        <v>0.98</v>
      </c>
      <c r="K3658" s="12"/>
      <c r="L3658" s="12"/>
      <c r="M3658" s="12"/>
      <c r="N3658" s="12"/>
      <c r="O3658" s="12"/>
      <c r="P3658" s="12"/>
      <c r="Q3658" s="12"/>
      <c r="R3658" s="12"/>
      <c r="S3658" s="12"/>
    </row>
    <row r="3659" spans="1:19" ht="14.25" customHeight="1" x14ac:dyDescent="0.2">
      <c r="A3659" s="1" t="s">
        <v>42</v>
      </c>
      <c r="B3659" s="19">
        <v>46111.892291666663</v>
      </c>
      <c r="C3659" s="19">
        <v>46111.92591435185</v>
      </c>
      <c r="D3659" s="20">
        <v>46111</v>
      </c>
      <c r="E3659" s="21">
        <v>0.92591435185022419</v>
      </c>
      <c r="F3659" s="1" t="s">
        <v>3983</v>
      </c>
      <c r="G3659" s="1" t="s">
        <v>26</v>
      </c>
      <c r="H3659" s="1" t="s">
        <v>157</v>
      </c>
      <c r="I3659" s="1" t="s">
        <v>166</v>
      </c>
      <c r="J3659" s="12">
        <v>0.73</v>
      </c>
      <c r="K3659" s="12"/>
      <c r="L3659" s="12"/>
      <c r="M3659" s="12"/>
      <c r="N3659" s="12"/>
      <c r="O3659" s="12"/>
      <c r="P3659" s="12"/>
      <c r="Q3659" s="12"/>
      <c r="R3659" s="12"/>
      <c r="S3659" s="12"/>
    </row>
    <row r="3660" spans="1:19" ht="14.25" customHeight="1" x14ac:dyDescent="0.2">
      <c r="A3660" s="1" t="s">
        <v>19</v>
      </c>
      <c r="B3660" s="7">
        <v>46111.907604166663</v>
      </c>
      <c r="C3660" s="7">
        <v>46111.92627314815</v>
      </c>
      <c r="D3660" s="8">
        <v>46111</v>
      </c>
      <c r="E3660" s="9">
        <v>0.92627314815035788</v>
      </c>
      <c r="F3660" s="10" t="s">
        <v>3984</v>
      </c>
      <c r="G3660" s="10" t="s">
        <v>21</v>
      </c>
      <c r="H3660" s="10" t="s">
        <v>276</v>
      </c>
      <c r="I3660" s="10" t="s">
        <v>23</v>
      </c>
      <c r="J3660" s="11">
        <v>1.77</v>
      </c>
      <c r="K3660" s="12"/>
      <c r="L3660" s="12"/>
      <c r="M3660" s="12"/>
      <c r="N3660" s="12"/>
      <c r="O3660" s="12"/>
      <c r="P3660" s="12"/>
      <c r="Q3660" s="12"/>
      <c r="R3660" s="12"/>
      <c r="S3660" s="12"/>
    </row>
    <row r="3661" spans="1:19" ht="14.25" customHeight="1" x14ac:dyDescent="0.2">
      <c r="A3661" s="1" t="s">
        <v>24</v>
      </c>
      <c r="B3661" s="7">
        <v>46111.913506944446</v>
      </c>
      <c r="C3661" s="7">
        <v>46111.926481481481</v>
      </c>
      <c r="D3661" s="8">
        <v>46111</v>
      </c>
      <c r="E3661" s="9">
        <v>0.92648148148145992</v>
      </c>
      <c r="F3661" s="10" t="s">
        <v>3985</v>
      </c>
      <c r="G3661" s="10" t="s">
        <v>21</v>
      </c>
      <c r="H3661" s="10" t="s">
        <v>22</v>
      </c>
      <c r="I3661" s="10" t="s">
        <v>23</v>
      </c>
      <c r="J3661" s="11">
        <v>0.83</v>
      </c>
      <c r="K3661" s="12"/>
      <c r="L3661" s="12"/>
      <c r="M3661" s="12"/>
      <c r="N3661" s="12"/>
      <c r="O3661" s="12"/>
      <c r="P3661" s="12"/>
      <c r="Q3661" s="12"/>
      <c r="R3661" s="12"/>
      <c r="S3661" s="12"/>
    </row>
    <row r="3662" spans="1:19" ht="14.25" customHeight="1" x14ac:dyDescent="0.2">
      <c r="A3662" s="1" t="s">
        <v>46</v>
      </c>
      <c r="B3662" s="7">
        <v>46111.911215277774</v>
      </c>
      <c r="C3662" s="7">
        <v>46111.926747685182</v>
      </c>
      <c r="D3662" s="8">
        <v>46111</v>
      </c>
      <c r="E3662" s="9">
        <v>0.92674768518190831</v>
      </c>
      <c r="F3662" s="10" t="s">
        <v>3986</v>
      </c>
      <c r="G3662" s="10" t="s">
        <v>21</v>
      </c>
      <c r="H3662" s="10" t="s">
        <v>41</v>
      </c>
      <c r="I3662" s="10" t="s">
        <v>23</v>
      </c>
      <c r="J3662" s="11">
        <v>1.77</v>
      </c>
      <c r="K3662" s="12"/>
      <c r="L3662" s="12"/>
      <c r="M3662" s="12"/>
      <c r="N3662" s="12"/>
      <c r="O3662" s="12"/>
      <c r="P3662" s="12"/>
      <c r="Q3662" s="12"/>
      <c r="R3662" s="12"/>
      <c r="S3662" s="12"/>
    </row>
    <row r="3663" spans="1:19" ht="14.25" customHeight="1" x14ac:dyDescent="0.2">
      <c r="A3663" s="1" t="s">
        <v>42</v>
      </c>
      <c r="B3663" s="7">
        <v>46111.908356481479</v>
      </c>
      <c r="C3663" s="7">
        <v>46111.927071759259</v>
      </c>
      <c r="D3663" s="8">
        <v>46111</v>
      </c>
      <c r="E3663" s="9">
        <v>0.927071759258979</v>
      </c>
      <c r="F3663" s="10" t="s">
        <v>3987</v>
      </c>
      <c r="G3663" s="10" t="s">
        <v>21</v>
      </c>
      <c r="H3663" s="10" t="s">
        <v>3988</v>
      </c>
      <c r="I3663" s="10" t="s">
        <v>23</v>
      </c>
      <c r="J3663" s="11">
        <v>1.1299999999999999</v>
      </c>
      <c r="K3663" s="12"/>
      <c r="L3663" s="12"/>
      <c r="M3663" s="12"/>
      <c r="N3663" s="12"/>
      <c r="O3663" s="12"/>
      <c r="P3663" s="12"/>
      <c r="Q3663" s="12"/>
      <c r="R3663" s="12"/>
      <c r="S3663" s="12"/>
    </row>
    <row r="3664" spans="1:19" ht="14.25" customHeight="1" x14ac:dyDescent="0.2">
      <c r="A3664" s="1" t="s">
        <v>24</v>
      </c>
      <c r="B3664" s="7">
        <v>46111.913506944446</v>
      </c>
      <c r="C3664" s="7">
        <v>46111.927210648151</v>
      </c>
      <c r="D3664" s="8">
        <v>46111</v>
      </c>
      <c r="E3664" s="9">
        <v>0.927210648151231</v>
      </c>
      <c r="F3664" s="10" t="s">
        <v>3989</v>
      </c>
      <c r="G3664" s="10" t="s">
        <v>21</v>
      </c>
      <c r="H3664" s="10" t="s">
        <v>52</v>
      </c>
      <c r="I3664" s="10" t="s">
        <v>23</v>
      </c>
      <c r="J3664" s="11">
        <v>0.98</v>
      </c>
      <c r="K3664" s="12"/>
      <c r="L3664" s="12"/>
      <c r="M3664" s="12"/>
      <c r="N3664" s="12"/>
      <c r="O3664" s="12"/>
      <c r="P3664" s="12"/>
      <c r="Q3664" s="12"/>
      <c r="R3664" s="12"/>
      <c r="S3664" s="12"/>
    </row>
    <row r="3665" spans="1:19" ht="14.25" customHeight="1" x14ac:dyDescent="0.2">
      <c r="A3665" s="1" t="s">
        <v>24</v>
      </c>
      <c r="B3665" s="7">
        <v>46111.915833333333</v>
      </c>
      <c r="C3665" s="7">
        <v>46111.927800925929</v>
      </c>
      <c r="D3665" s="8">
        <v>46111</v>
      </c>
      <c r="E3665" s="9">
        <v>0.92780092592875008</v>
      </c>
      <c r="F3665" s="10" t="s">
        <v>3990</v>
      </c>
      <c r="G3665" s="10" t="s">
        <v>26</v>
      </c>
      <c r="H3665" s="10" t="s">
        <v>202</v>
      </c>
      <c r="I3665" s="10" t="s">
        <v>23</v>
      </c>
      <c r="J3665" s="11">
        <v>0.57999999999999996</v>
      </c>
      <c r="K3665" s="12"/>
      <c r="L3665" s="12"/>
      <c r="M3665" s="12"/>
      <c r="N3665" s="12"/>
      <c r="O3665" s="12"/>
      <c r="P3665" s="12"/>
      <c r="Q3665" s="12"/>
      <c r="R3665" s="12"/>
      <c r="S3665" s="12"/>
    </row>
    <row r="3666" spans="1:19" ht="14.25" customHeight="1" x14ac:dyDescent="0.2">
      <c r="A3666" s="1" t="s">
        <v>42</v>
      </c>
      <c r="B3666" s="19">
        <v>46111.894999999997</v>
      </c>
      <c r="C3666" s="19">
        <v>46111.928182870368</v>
      </c>
      <c r="D3666" s="20">
        <v>46111</v>
      </c>
      <c r="E3666" s="21">
        <v>0.92818287036789116</v>
      </c>
      <c r="F3666" s="1" t="s">
        <v>3991</v>
      </c>
      <c r="G3666" s="1" t="s">
        <v>26</v>
      </c>
      <c r="H3666" s="1" t="s">
        <v>76</v>
      </c>
      <c r="I3666" s="1" t="s">
        <v>166</v>
      </c>
      <c r="J3666" s="12">
        <v>0.75</v>
      </c>
      <c r="K3666" s="12"/>
      <c r="L3666" s="12"/>
      <c r="M3666" s="12"/>
      <c r="N3666" s="12"/>
      <c r="O3666" s="12"/>
      <c r="P3666" s="12"/>
      <c r="Q3666" s="12"/>
      <c r="R3666" s="12"/>
      <c r="S3666" s="12"/>
    </row>
    <row r="3667" spans="1:19" ht="14.25" customHeight="1" x14ac:dyDescent="0.2">
      <c r="A3667" s="1" t="s">
        <v>33</v>
      </c>
      <c r="B3667" s="19">
        <v>46111.918240740742</v>
      </c>
      <c r="C3667" s="19">
        <v>46111.934178240743</v>
      </c>
      <c r="D3667" s="20">
        <v>46111</v>
      </c>
      <c r="E3667" s="21">
        <v>0.93417824074276723</v>
      </c>
      <c r="F3667" s="1" t="s">
        <v>3992</v>
      </c>
      <c r="G3667" s="1" t="s">
        <v>21</v>
      </c>
      <c r="H3667" s="1" t="s">
        <v>22</v>
      </c>
      <c r="I3667" s="1" t="s">
        <v>166</v>
      </c>
      <c r="J3667" s="12">
        <v>0.83</v>
      </c>
      <c r="K3667" s="12"/>
      <c r="L3667" s="12"/>
      <c r="M3667" s="12"/>
      <c r="N3667" s="12"/>
      <c r="O3667" s="12"/>
      <c r="P3667" s="12"/>
      <c r="Q3667" s="12"/>
      <c r="R3667" s="12"/>
      <c r="S3667" s="12"/>
    </row>
    <row r="3668" spans="1:19" ht="14.25" customHeight="1" x14ac:dyDescent="0.2">
      <c r="A3668" s="1" t="s">
        <v>24</v>
      </c>
      <c r="B3668" s="7">
        <v>46111.915543981479</v>
      </c>
      <c r="C3668" s="7">
        <v>46111.935879629629</v>
      </c>
      <c r="D3668" s="8">
        <v>46111</v>
      </c>
      <c r="E3668" s="9">
        <v>0.93587962962919846</v>
      </c>
      <c r="F3668" s="10" t="s">
        <v>3993</v>
      </c>
      <c r="G3668" s="10" t="s">
        <v>21</v>
      </c>
      <c r="H3668" s="10" t="s">
        <v>409</v>
      </c>
      <c r="I3668" s="10" t="s">
        <v>23</v>
      </c>
      <c r="J3668" s="11">
        <v>2.9</v>
      </c>
      <c r="K3668" s="12"/>
      <c r="L3668" s="12"/>
      <c r="M3668" s="12"/>
      <c r="N3668" s="12"/>
      <c r="O3668" s="12"/>
      <c r="P3668" s="12"/>
      <c r="Q3668" s="12"/>
      <c r="R3668" s="12"/>
      <c r="S3668" s="12"/>
    </row>
    <row r="3669" spans="1:19" ht="14.25" customHeight="1" x14ac:dyDescent="0.2">
      <c r="A3669" s="1" t="s">
        <v>19</v>
      </c>
      <c r="B3669" s="19">
        <v>46111.911226851851</v>
      </c>
      <c r="C3669" s="19">
        <v>46111.937928240739</v>
      </c>
      <c r="D3669" s="20">
        <v>46111</v>
      </c>
      <c r="E3669" s="21">
        <v>0.93792824073898373</v>
      </c>
      <c r="F3669" s="1" t="s">
        <v>3994</v>
      </c>
      <c r="G3669" s="1" t="s">
        <v>21</v>
      </c>
      <c r="H3669" s="1" t="s">
        <v>22</v>
      </c>
      <c r="I3669" s="1" t="s">
        <v>166</v>
      </c>
      <c r="J3669" s="12">
        <v>0.83</v>
      </c>
      <c r="K3669" s="12"/>
      <c r="L3669" s="12"/>
      <c r="M3669" s="12"/>
      <c r="N3669" s="12"/>
      <c r="O3669" s="12"/>
      <c r="P3669" s="12"/>
      <c r="Q3669" s="12"/>
      <c r="R3669" s="12"/>
      <c r="S3669" s="12"/>
    </row>
    <row r="3670" spans="1:19" ht="14.25" customHeight="1" x14ac:dyDescent="0.2">
      <c r="A3670" s="1" t="s">
        <v>19</v>
      </c>
      <c r="B3670" s="19">
        <v>46111.912905092591</v>
      </c>
      <c r="C3670" s="19">
        <v>46111.941759259258</v>
      </c>
      <c r="D3670" s="20">
        <v>46111</v>
      </c>
      <c r="E3670" s="21">
        <v>0.94175925925810589</v>
      </c>
      <c r="F3670" s="1" t="s">
        <v>3995</v>
      </c>
      <c r="G3670" s="1" t="s">
        <v>21</v>
      </c>
      <c r="H3670" s="1" t="s">
        <v>142</v>
      </c>
      <c r="I3670" s="1" t="s">
        <v>166</v>
      </c>
      <c r="J3670" s="12">
        <v>0.83</v>
      </c>
      <c r="K3670" s="12"/>
      <c r="L3670" s="12"/>
      <c r="M3670" s="12"/>
      <c r="N3670" s="12"/>
      <c r="O3670" s="12"/>
      <c r="P3670" s="12"/>
      <c r="Q3670" s="12"/>
      <c r="R3670" s="12"/>
      <c r="S3670" s="12"/>
    </row>
    <row r="3671" spans="1:19" ht="14.25" customHeight="1" x14ac:dyDescent="0.2">
      <c r="A3671" s="1" t="s">
        <v>57</v>
      </c>
      <c r="B3671" s="7">
        <v>46111.930543981478</v>
      </c>
      <c r="C3671" s="7">
        <v>46111.943032407406</v>
      </c>
      <c r="D3671" s="8">
        <v>46111</v>
      </c>
      <c r="E3671" s="9">
        <v>0.94303240740555339</v>
      </c>
      <c r="F3671" s="10" t="s">
        <v>3996</v>
      </c>
      <c r="G3671" s="10" t="s">
        <v>21</v>
      </c>
      <c r="H3671" s="10" t="s">
        <v>303</v>
      </c>
      <c r="I3671" s="10" t="s">
        <v>23</v>
      </c>
      <c r="J3671" s="11">
        <v>1.77</v>
      </c>
      <c r="K3671" s="12"/>
      <c r="L3671" s="12"/>
      <c r="M3671" s="12"/>
      <c r="N3671" s="12"/>
      <c r="O3671" s="12"/>
      <c r="P3671" s="12"/>
      <c r="Q3671" s="12"/>
      <c r="R3671" s="12"/>
      <c r="S3671" s="12"/>
    </row>
    <row r="3672" spans="1:19" ht="14.25" customHeight="1" x14ac:dyDescent="0.2">
      <c r="A3672" s="1" t="s">
        <v>19</v>
      </c>
      <c r="B3672" s="19">
        <v>46111.908275462964</v>
      </c>
      <c r="C3672" s="19">
        <v>46111.943657407406</v>
      </c>
      <c r="D3672" s="20">
        <v>46111</v>
      </c>
      <c r="E3672" s="21">
        <v>0.94365740740613546</v>
      </c>
      <c r="F3672" s="1" t="s">
        <v>3997</v>
      </c>
      <c r="G3672" s="1" t="s">
        <v>21</v>
      </c>
      <c r="H3672" s="1" t="s">
        <v>52</v>
      </c>
      <c r="I3672" s="1" t="s">
        <v>166</v>
      </c>
      <c r="J3672" s="12">
        <v>0.98</v>
      </c>
      <c r="K3672" s="12"/>
      <c r="L3672" s="12"/>
      <c r="M3672" s="12"/>
      <c r="N3672" s="12"/>
      <c r="O3672" s="12"/>
      <c r="P3672" s="12"/>
      <c r="Q3672" s="12"/>
      <c r="R3672" s="12"/>
      <c r="S3672" s="12"/>
    </row>
    <row r="3673" spans="1:19" ht="14.25" customHeight="1" x14ac:dyDescent="0.2">
      <c r="A3673" s="1" t="s">
        <v>46</v>
      </c>
      <c r="B3673" s="7">
        <v>46111.932662037034</v>
      </c>
      <c r="C3673" s="7">
        <v>46111.947766203702</v>
      </c>
      <c r="D3673" s="8">
        <v>46111</v>
      </c>
      <c r="E3673" s="9">
        <v>0.94776620370248565</v>
      </c>
      <c r="F3673" s="10" t="s">
        <v>3998</v>
      </c>
      <c r="G3673" s="10" t="s">
        <v>21</v>
      </c>
      <c r="H3673" s="10" t="s">
        <v>41</v>
      </c>
      <c r="I3673" s="10" t="s">
        <v>23</v>
      </c>
      <c r="J3673" s="11">
        <v>1.77</v>
      </c>
      <c r="K3673" s="12"/>
      <c r="L3673" s="12"/>
      <c r="M3673" s="12"/>
      <c r="N3673" s="12"/>
      <c r="O3673" s="12"/>
      <c r="P3673" s="12"/>
      <c r="Q3673" s="12"/>
      <c r="R3673" s="12"/>
      <c r="S3673" s="12"/>
    </row>
    <row r="3674" spans="1:19" ht="14.25" customHeight="1" x14ac:dyDescent="0.2">
      <c r="A3674" s="1" t="s">
        <v>19</v>
      </c>
      <c r="B3674" s="7">
        <v>46111.919594907406</v>
      </c>
      <c r="C3674" s="7">
        <v>46111.956597222219</v>
      </c>
      <c r="D3674" s="8">
        <v>46111</v>
      </c>
      <c r="E3674" s="9">
        <v>0.95659722221898846</v>
      </c>
      <c r="F3674" s="10" t="s">
        <v>3999</v>
      </c>
      <c r="G3674" s="10" t="s">
        <v>21</v>
      </c>
      <c r="H3674" s="10" t="s">
        <v>41</v>
      </c>
      <c r="I3674" s="10" t="s">
        <v>23</v>
      </c>
      <c r="J3674" s="11">
        <v>1.77</v>
      </c>
      <c r="K3674" s="12"/>
      <c r="L3674" s="12"/>
      <c r="M3674" s="12"/>
      <c r="N3674" s="12"/>
      <c r="O3674" s="12"/>
      <c r="P3674" s="12"/>
      <c r="Q3674" s="12"/>
      <c r="R3674" s="12"/>
      <c r="S3674" s="12"/>
    </row>
    <row r="3675" spans="1:19" ht="14.25" customHeight="1" x14ac:dyDescent="0.2">
      <c r="A3675" s="1" t="s">
        <v>28</v>
      </c>
      <c r="B3675" s="19">
        <v>46111.934629629628</v>
      </c>
      <c r="C3675" s="19">
        <v>46111.957233796296</v>
      </c>
      <c r="D3675" s="20">
        <v>46111</v>
      </c>
      <c r="E3675" s="21">
        <v>0.95723379629635019</v>
      </c>
      <c r="F3675" s="1" t="s">
        <v>4000</v>
      </c>
      <c r="G3675" s="1" t="s">
        <v>21</v>
      </c>
      <c r="H3675" s="1" t="s">
        <v>41</v>
      </c>
      <c r="I3675" s="1" t="s">
        <v>166</v>
      </c>
      <c r="J3675" s="12">
        <v>1.77</v>
      </c>
      <c r="K3675" s="12"/>
      <c r="L3675" s="12"/>
      <c r="M3675" s="12"/>
      <c r="N3675" s="12"/>
      <c r="O3675" s="12"/>
      <c r="P3675" s="12"/>
      <c r="Q3675" s="12"/>
      <c r="R3675" s="12"/>
      <c r="S3675" s="12"/>
    </row>
    <row r="3676" spans="1:19" ht="14.25" customHeight="1" x14ac:dyDescent="0.2">
      <c r="A3676" s="1" t="s">
        <v>19</v>
      </c>
      <c r="B3676" s="7">
        <v>46111.935555555552</v>
      </c>
      <c r="C3676" s="7">
        <v>46111.957488425927</v>
      </c>
      <c r="D3676" s="8">
        <v>46111</v>
      </c>
      <c r="E3676" s="9">
        <v>0.95748842592729488</v>
      </c>
      <c r="F3676" s="10" t="s">
        <v>4001</v>
      </c>
      <c r="G3676" s="10" t="s">
        <v>21</v>
      </c>
      <c r="H3676" s="10" t="s">
        <v>41</v>
      </c>
      <c r="I3676" s="10" t="s">
        <v>23</v>
      </c>
      <c r="J3676" s="11">
        <v>1.77</v>
      </c>
      <c r="K3676" s="12"/>
      <c r="L3676" s="12"/>
      <c r="M3676" s="12"/>
      <c r="N3676" s="12"/>
      <c r="O3676" s="12"/>
      <c r="P3676" s="12"/>
      <c r="Q3676" s="12"/>
      <c r="R3676" s="12"/>
      <c r="S3676" s="12"/>
    </row>
    <row r="3677" spans="1:19" ht="14.25" customHeight="1" x14ac:dyDescent="0.2">
      <c r="A3677" s="1" t="s">
        <v>95</v>
      </c>
      <c r="B3677" s="7">
        <v>46111.956736111111</v>
      </c>
      <c r="C3677" s="7">
        <v>46111.971435185187</v>
      </c>
      <c r="D3677" s="8">
        <v>46111</v>
      </c>
      <c r="E3677" s="9">
        <v>0.971435185187147</v>
      </c>
      <c r="F3677" s="10" t="s">
        <v>4002</v>
      </c>
      <c r="G3677" s="10" t="s">
        <v>21</v>
      </c>
      <c r="H3677" s="10" t="s">
        <v>71</v>
      </c>
      <c r="I3677" s="10" t="s">
        <v>23</v>
      </c>
      <c r="J3677" s="11">
        <v>1.05</v>
      </c>
      <c r="K3677" s="12"/>
      <c r="L3677" s="12">
        <f>SUM(J3677:J3686)</f>
        <v>13.759999999999998</v>
      </c>
      <c r="M3677" s="13">
        <f>L3677*65</f>
        <v>894.39999999999986</v>
      </c>
      <c r="N3677" s="14">
        <f>MAX(500,M3677)</f>
        <v>894.39999999999986</v>
      </c>
      <c r="O3677" s="12"/>
      <c r="P3677" s="12"/>
      <c r="Q3677" s="12"/>
      <c r="R3677" s="12"/>
      <c r="S3677" s="12"/>
    </row>
    <row r="3678" spans="1:19" ht="14.25" customHeight="1" x14ac:dyDescent="0.2">
      <c r="A3678" s="1" t="s">
        <v>42</v>
      </c>
      <c r="B3678" s="7">
        <v>46111.940451388888</v>
      </c>
      <c r="C3678" s="7">
        <v>46111.976956018516</v>
      </c>
      <c r="D3678" s="8">
        <v>46111</v>
      </c>
      <c r="E3678" s="9">
        <v>0.97695601851592073</v>
      </c>
      <c r="F3678" s="10" t="s">
        <v>4003</v>
      </c>
      <c r="G3678" s="10" t="s">
        <v>26</v>
      </c>
      <c r="H3678" s="10" t="s">
        <v>82</v>
      </c>
      <c r="I3678" s="10" t="s">
        <v>23</v>
      </c>
      <c r="J3678" s="11">
        <v>0.49</v>
      </c>
      <c r="K3678" s="12"/>
      <c r="L3678" s="12"/>
      <c r="M3678" s="12"/>
      <c r="N3678" s="12"/>
      <c r="O3678" s="12"/>
      <c r="P3678" s="12"/>
      <c r="Q3678" s="12"/>
      <c r="R3678" s="12"/>
      <c r="S3678" s="12"/>
    </row>
    <row r="3679" spans="1:19" ht="14.25" customHeight="1" x14ac:dyDescent="0.2">
      <c r="A3679" s="1" t="s">
        <v>95</v>
      </c>
      <c r="B3679" s="7">
        <v>46111.952962962961</v>
      </c>
      <c r="C3679" s="7">
        <v>46111.978784722225</v>
      </c>
      <c r="D3679" s="8">
        <v>46111</v>
      </c>
      <c r="E3679" s="9">
        <v>0.97878472222510027</v>
      </c>
      <c r="F3679" s="10" t="s">
        <v>4004</v>
      </c>
      <c r="G3679" s="10" t="s">
        <v>21</v>
      </c>
      <c r="H3679" s="10" t="s">
        <v>97</v>
      </c>
      <c r="I3679" s="10" t="s">
        <v>23</v>
      </c>
      <c r="J3679" s="11">
        <v>1.77</v>
      </c>
      <c r="K3679" s="12"/>
      <c r="L3679" s="12"/>
      <c r="M3679" s="12"/>
      <c r="N3679" s="12"/>
      <c r="O3679" s="12"/>
      <c r="P3679" s="12"/>
      <c r="Q3679" s="12"/>
      <c r="R3679" s="12"/>
      <c r="S3679" s="12"/>
    </row>
    <row r="3680" spans="1:19" ht="14.25" customHeight="1" x14ac:dyDescent="0.2">
      <c r="A3680" s="1" t="s">
        <v>33</v>
      </c>
      <c r="B3680" s="7">
        <v>46111.952037037037</v>
      </c>
      <c r="C3680" s="7">
        <v>46111.983275462961</v>
      </c>
      <c r="D3680" s="8">
        <v>46111</v>
      </c>
      <c r="E3680" s="9">
        <v>0.98327546296059154</v>
      </c>
      <c r="F3680" s="10" t="s">
        <v>4005</v>
      </c>
      <c r="G3680" s="10" t="s">
        <v>21</v>
      </c>
      <c r="H3680" s="10" t="s">
        <v>101</v>
      </c>
      <c r="I3680" s="10" t="s">
        <v>23</v>
      </c>
      <c r="J3680" s="11">
        <v>1.7</v>
      </c>
      <c r="K3680" s="12"/>
      <c r="L3680" s="12"/>
      <c r="M3680" s="12"/>
      <c r="N3680" s="12"/>
      <c r="O3680" s="12"/>
      <c r="P3680" s="12"/>
      <c r="Q3680" s="12"/>
      <c r="R3680" s="12"/>
      <c r="S3680" s="12"/>
    </row>
    <row r="3681" spans="1:19" ht="14.25" customHeight="1" x14ac:dyDescent="0.2">
      <c r="A3681" s="1" t="s">
        <v>33</v>
      </c>
      <c r="B3681" s="19">
        <v>46111.951377314814</v>
      </c>
      <c r="C3681" s="19">
        <v>46111.984293981484</v>
      </c>
      <c r="D3681" s="20">
        <v>46111</v>
      </c>
      <c r="E3681" s="21">
        <v>0.98429398148437031</v>
      </c>
      <c r="F3681" s="1" t="s">
        <v>4006</v>
      </c>
      <c r="G3681" s="1" t="s">
        <v>21</v>
      </c>
      <c r="H3681" s="1" t="s">
        <v>22</v>
      </c>
      <c r="I3681" s="1" t="s">
        <v>166</v>
      </c>
      <c r="J3681" s="12">
        <v>0.83</v>
      </c>
      <c r="K3681" s="12"/>
      <c r="L3681" s="12"/>
      <c r="M3681" s="12"/>
      <c r="N3681" s="12"/>
      <c r="O3681" s="12"/>
      <c r="P3681" s="12"/>
      <c r="Q3681" s="12"/>
      <c r="R3681" s="12"/>
      <c r="S3681" s="12"/>
    </row>
    <row r="3682" spans="1:19" ht="14.25" customHeight="1" x14ac:dyDescent="0.2">
      <c r="A3682" s="1" t="s">
        <v>33</v>
      </c>
      <c r="B3682" s="7">
        <v>46111.943599537037</v>
      </c>
      <c r="C3682" s="7">
        <v>46111.986793981479</v>
      </c>
      <c r="D3682" s="8">
        <v>46111</v>
      </c>
      <c r="E3682" s="9">
        <v>0.98679398147942265</v>
      </c>
      <c r="F3682" s="10" t="s">
        <v>4007</v>
      </c>
      <c r="G3682" s="10" t="s">
        <v>21</v>
      </c>
      <c r="H3682" s="10" t="s">
        <v>216</v>
      </c>
      <c r="I3682" s="10" t="s">
        <v>23</v>
      </c>
      <c r="J3682" s="11">
        <v>0.98</v>
      </c>
      <c r="K3682" s="12"/>
      <c r="L3682" s="12"/>
      <c r="M3682" s="12"/>
      <c r="N3682" s="12"/>
      <c r="O3682" s="12"/>
      <c r="P3682" s="12"/>
      <c r="Q3682" s="12"/>
      <c r="R3682" s="12"/>
      <c r="S3682" s="12"/>
    </row>
    <row r="3683" spans="1:19" ht="14.25" customHeight="1" x14ac:dyDescent="0.2">
      <c r="A3683" s="1" t="s">
        <v>24</v>
      </c>
      <c r="B3683" s="7">
        <v>46111.962407407409</v>
      </c>
      <c r="C3683" s="7">
        <v>46111.987476851849</v>
      </c>
      <c r="D3683" s="8">
        <v>46111</v>
      </c>
      <c r="E3683" s="9">
        <v>0.98747685184935108</v>
      </c>
      <c r="F3683" s="10" t="s">
        <v>4008</v>
      </c>
      <c r="G3683" s="10" t="s">
        <v>21</v>
      </c>
      <c r="H3683" s="10" t="s">
        <v>39</v>
      </c>
      <c r="I3683" s="10" t="s">
        <v>23</v>
      </c>
      <c r="J3683" s="11">
        <v>1.77</v>
      </c>
      <c r="K3683" s="12"/>
      <c r="L3683" s="12"/>
      <c r="M3683" s="12"/>
      <c r="N3683" s="12"/>
      <c r="O3683" s="12"/>
      <c r="P3683" s="12"/>
      <c r="Q3683" s="12"/>
      <c r="R3683" s="12"/>
      <c r="S3683" s="12"/>
    </row>
    <row r="3684" spans="1:19" ht="14.25" customHeight="1" x14ac:dyDescent="0.2">
      <c r="A3684" s="1" t="s">
        <v>24</v>
      </c>
      <c r="B3684" s="7">
        <v>46111.969131944446</v>
      </c>
      <c r="C3684" s="7">
        <v>46111.988078703704</v>
      </c>
      <c r="D3684" s="8">
        <v>46111</v>
      </c>
      <c r="E3684" s="9">
        <v>0.98807870370364981</v>
      </c>
      <c r="F3684" s="10" t="s">
        <v>4009</v>
      </c>
      <c r="G3684" s="10" t="s">
        <v>21</v>
      </c>
      <c r="H3684" s="10" t="s">
        <v>101</v>
      </c>
      <c r="I3684" s="10" t="s">
        <v>23</v>
      </c>
      <c r="J3684" s="11">
        <v>1.7</v>
      </c>
      <c r="K3684" s="12"/>
      <c r="L3684" s="12"/>
      <c r="M3684" s="12"/>
      <c r="N3684" s="12"/>
      <c r="O3684" s="12"/>
      <c r="P3684" s="12"/>
      <c r="Q3684" s="12"/>
      <c r="R3684" s="12"/>
      <c r="S3684" s="12"/>
    </row>
    <row r="3685" spans="1:19" ht="14.25" customHeight="1" x14ac:dyDescent="0.2">
      <c r="A3685" s="1" t="s">
        <v>57</v>
      </c>
      <c r="B3685" s="7">
        <v>46111.972951388889</v>
      </c>
      <c r="C3685" s="7">
        <v>46111.988356481481</v>
      </c>
      <c r="D3685" s="8">
        <v>46111</v>
      </c>
      <c r="E3685" s="9">
        <v>0.98835648148087785</v>
      </c>
      <c r="F3685" s="10" t="s">
        <v>4010</v>
      </c>
      <c r="G3685" s="10" t="s">
        <v>21</v>
      </c>
      <c r="H3685" s="10" t="s">
        <v>303</v>
      </c>
      <c r="I3685" s="10" t="s">
        <v>23</v>
      </c>
      <c r="J3685" s="11">
        <v>1.77</v>
      </c>
      <c r="K3685" s="12"/>
      <c r="L3685" s="12"/>
      <c r="M3685" s="12"/>
      <c r="N3685" s="12"/>
      <c r="O3685" s="12"/>
      <c r="P3685" s="12"/>
      <c r="Q3685" s="12"/>
      <c r="R3685" s="12"/>
      <c r="S3685" s="12"/>
    </row>
    <row r="3686" spans="1:19" ht="14.25" customHeight="1" x14ac:dyDescent="0.2">
      <c r="A3686" s="1" t="s">
        <v>95</v>
      </c>
      <c r="B3686" s="19">
        <v>46111.98170138889</v>
      </c>
      <c r="C3686" s="19">
        <v>46111.992407407408</v>
      </c>
      <c r="D3686" s="20">
        <v>46111</v>
      </c>
      <c r="E3686" s="21">
        <v>0.99240740740788169</v>
      </c>
      <c r="F3686" s="1" t="s">
        <v>4011</v>
      </c>
      <c r="G3686" s="1" t="s">
        <v>21</v>
      </c>
      <c r="H3686" s="1" t="s">
        <v>108</v>
      </c>
      <c r="I3686" s="1" t="s">
        <v>166</v>
      </c>
      <c r="J3686" s="12">
        <v>1.7</v>
      </c>
      <c r="K3686" s="12"/>
      <c r="L3686" s="12"/>
      <c r="M3686" s="12"/>
      <c r="N3686" s="12"/>
      <c r="O3686" s="12"/>
      <c r="P3686" s="12"/>
      <c r="Q3686" s="12"/>
      <c r="R3686" s="12"/>
      <c r="S3686" s="12"/>
    </row>
    <row r="3687" spans="1:19" ht="14.25" customHeight="1" x14ac:dyDescent="0.2">
      <c r="A3687" s="1" t="s">
        <v>33</v>
      </c>
      <c r="B3687" s="19">
        <v>46111.973217592589</v>
      </c>
      <c r="C3687" s="19">
        <v>46112.002638888887</v>
      </c>
      <c r="D3687" s="20">
        <v>46112</v>
      </c>
      <c r="E3687" s="21">
        <v>2.638888887304347E-3</v>
      </c>
      <c r="F3687" s="1" t="s">
        <v>4012</v>
      </c>
      <c r="G3687" s="1" t="s">
        <v>21</v>
      </c>
      <c r="H3687" s="1" t="s">
        <v>22</v>
      </c>
      <c r="I3687" s="1" t="s">
        <v>166</v>
      </c>
      <c r="J3687" s="12">
        <v>0.83</v>
      </c>
      <c r="K3687" s="12"/>
      <c r="L3687" s="12">
        <f>SUM(J3687:J3697)</f>
        <v>10.15</v>
      </c>
      <c r="M3687" s="13">
        <f>L3687*65</f>
        <v>659.75</v>
      </c>
      <c r="N3687" s="14">
        <f>MAX(500,M3687)</f>
        <v>659.75</v>
      </c>
      <c r="O3687" s="12"/>
      <c r="P3687" s="12"/>
      <c r="Q3687" s="12"/>
      <c r="R3687" s="12"/>
      <c r="S3687" s="12"/>
    </row>
    <row r="3688" spans="1:19" ht="14.25" customHeight="1" x14ac:dyDescent="0.2">
      <c r="A3688" s="1" t="s">
        <v>95</v>
      </c>
      <c r="B3688" s="19">
        <v>46111.995694444442</v>
      </c>
      <c r="C3688" s="19">
        <v>46112.006655092591</v>
      </c>
      <c r="D3688" s="20">
        <v>46112</v>
      </c>
      <c r="E3688" s="21">
        <v>6.655092591245193E-3</v>
      </c>
      <c r="F3688" s="1" t="s">
        <v>4013</v>
      </c>
      <c r="G3688" s="1" t="s">
        <v>21</v>
      </c>
      <c r="H3688" s="1" t="s">
        <v>71</v>
      </c>
      <c r="I3688" s="1" t="s">
        <v>166</v>
      </c>
      <c r="J3688" s="12">
        <v>1.05</v>
      </c>
      <c r="K3688" s="12"/>
      <c r="L3688" s="12"/>
      <c r="M3688" s="12"/>
      <c r="N3688" s="12"/>
      <c r="O3688" s="12"/>
      <c r="P3688" s="12"/>
      <c r="Q3688" s="12"/>
      <c r="R3688" s="12"/>
      <c r="S3688" s="12"/>
    </row>
    <row r="3689" spans="1:19" ht="14.25" customHeight="1" x14ac:dyDescent="0.2">
      <c r="A3689" s="1" t="s">
        <v>28</v>
      </c>
      <c r="B3689" s="7">
        <v>46111.963518518518</v>
      </c>
      <c r="C3689" s="7">
        <v>46112.013483796298</v>
      </c>
      <c r="D3689" s="8">
        <v>46112</v>
      </c>
      <c r="E3689" s="9">
        <v>1.3483796297805384E-2</v>
      </c>
      <c r="F3689" s="10" t="s">
        <v>4014</v>
      </c>
      <c r="G3689" s="10" t="s">
        <v>21</v>
      </c>
      <c r="H3689" s="10" t="s">
        <v>4015</v>
      </c>
      <c r="I3689" s="10" t="s">
        <v>23</v>
      </c>
      <c r="J3689" s="11">
        <v>0.98</v>
      </c>
      <c r="K3689" s="12"/>
      <c r="L3689" s="12"/>
      <c r="M3689" s="12"/>
      <c r="N3689" s="12"/>
      <c r="O3689" s="12"/>
      <c r="P3689" s="12"/>
      <c r="Q3689" s="12"/>
      <c r="R3689" s="12"/>
      <c r="S3689" s="12"/>
    </row>
    <row r="3690" spans="1:19" ht="14.25" customHeight="1" x14ac:dyDescent="0.2">
      <c r="A3690" s="1" t="s">
        <v>19</v>
      </c>
      <c r="B3690" s="7">
        <v>46111.970231481479</v>
      </c>
      <c r="C3690" s="7">
        <v>46112.013958333337</v>
      </c>
      <c r="D3690" s="8">
        <v>46112</v>
      </c>
      <c r="E3690" s="9">
        <v>1.3958333336631767E-2</v>
      </c>
      <c r="F3690" s="10" t="s">
        <v>4016</v>
      </c>
      <c r="G3690" s="10" t="s">
        <v>26</v>
      </c>
      <c r="H3690" s="10" t="s">
        <v>315</v>
      </c>
      <c r="I3690" s="10" t="s">
        <v>23</v>
      </c>
      <c r="J3690" s="11">
        <v>0.88</v>
      </c>
      <c r="K3690" s="12"/>
      <c r="L3690" s="12"/>
      <c r="M3690" s="12"/>
      <c r="N3690" s="12"/>
      <c r="O3690" s="12"/>
      <c r="P3690" s="12"/>
      <c r="Q3690" s="12"/>
      <c r="R3690" s="12"/>
      <c r="S3690" s="12"/>
    </row>
    <row r="3691" spans="1:19" ht="14.25" customHeight="1" x14ac:dyDescent="0.2">
      <c r="A3691" s="1" t="s">
        <v>24</v>
      </c>
      <c r="B3691" s="7">
        <v>46111.994756944441</v>
      </c>
      <c r="C3691" s="7">
        <v>46112.017245370371</v>
      </c>
      <c r="D3691" s="8">
        <v>46112</v>
      </c>
      <c r="E3691" s="9">
        <v>1.7245370370801538E-2</v>
      </c>
      <c r="F3691" s="10" t="s">
        <v>4017</v>
      </c>
      <c r="G3691" s="10" t="s">
        <v>26</v>
      </c>
      <c r="H3691" s="10" t="s">
        <v>1019</v>
      </c>
      <c r="I3691" s="10" t="s">
        <v>23</v>
      </c>
      <c r="J3691" s="11">
        <v>0.67</v>
      </c>
      <c r="K3691" s="12"/>
      <c r="L3691" s="12"/>
      <c r="M3691" s="12"/>
      <c r="N3691" s="12"/>
      <c r="O3691" s="12"/>
      <c r="P3691" s="12"/>
      <c r="Q3691" s="12"/>
      <c r="R3691" s="12"/>
      <c r="S3691" s="12"/>
    </row>
    <row r="3692" spans="1:19" ht="14.25" customHeight="1" x14ac:dyDescent="0.2">
      <c r="A3692" s="1" t="s">
        <v>19</v>
      </c>
      <c r="B3692" s="7">
        <v>46111.996238425927</v>
      </c>
      <c r="C3692" s="7">
        <v>46112.020312499997</v>
      </c>
      <c r="D3692" s="8">
        <v>46112</v>
      </c>
      <c r="E3692" s="9">
        <v>2.0312499997089617E-2</v>
      </c>
      <c r="F3692" s="10" t="s">
        <v>4018</v>
      </c>
      <c r="G3692" s="10" t="s">
        <v>21</v>
      </c>
      <c r="H3692" s="10" t="s">
        <v>39</v>
      </c>
      <c r="I3692" s="10" t="s">
        <v>23</v>
      </c>
      <c r="J3692" s="11">
        <v>1.77</v>
      </c>
      <c r="K3692" s="12"/>
      <c r="L3692" s="12"/>
      <c r="M3692" s="12"/>
      <c r="N3692" s="12"/>
      <c r="O3692" s="12"/>
      <c r="P3692" s="12"/>
      <c r="Q3692" s="12"/>
      <c r="R3692" s="12"/>
      <c r="S3692" s="12"/>
    </row>
    <row r="3693" spans="1:19" ht="14.25" customHeight="1" x14ac:dyDescent="0.2">
      <c r="A3693" s="1" t="s">
        <v>42</v>
      </c>
      <c r="B3693" s="7">
        <v>46111.956805555557</v>
      </c>
      <c r="C3693" s="7">
        <v>46112.020671296297</v>
      </c>
      <c r="D3693" s="8">
        <v>46112</v>
      </c>
      <c r="E3693" s="9">
        <v>2.0671296297223307E-2</v>
      </c>
      <c r="F3693" s="10" t="s">
        <v>4019</v>
      </c>
      <c r="G3693" s="10" t="s">
        <v>26</v>
      </c>
      <c r="H3693" s="10" t="s">
        <v>202</v>
      </c>
      <c r="I3693" s="10" t="s">
        <v>23</v>
      </c>
      <c r="J3693" s="11">
        <v>0.57999999999999996</v>
      </c>
      <c r="K3693" s="12"/>
      <c r="L3693" s="12"/>
      <c r="M3693" s="12"/>
      <c r="N3693" s="12"/>
      <c r="O3693" s="12"/>
      <c r="P3693" s="12"/>
      <c r="Q3693" s="12"/>
      <c r="R3693" s="12"/>
      <c r="S3693" s="12"/>
    </row>
    <row r="3694" spans="1:19" ht="14.25" customHeight="1" x14ac:dyDescent="0.2">
      <c r="A3694" s="1" t="s">
        <v>42</v>
      </c>
      <c r="B3694" s="19">
        <v>46111.969907407409</v>
      </c>
      <c r="C3694" s="19">
        <v>46112.020787037036</v>
      </c>
      <c r="D3694" s="20">
        <v>46112</v>
      </c>
      <c r="E3694" s="21">
        <v>2.0787037035916001E-2</v>
      </c>
      <c r="F3694" s="1" t="s">
        <v>4020</v>
      </c>
      <c r="G3694" s="1" t="s">
        <v>26</v>
      </c>
      <c r="H3694" s="1" t="s">
        <v>76</v>
      </c>
      <c r="I3694" s="1" t="s">
        <v>166</v>
      </c>
      <c r="J3694" s="12">
        <v>0.75</v>
      </c>
      <c r="K3694" s="12"/>
      <c r="L3694" s="12"/>
      <c r="M3694" s="12"/>
      <c r="N3694" s="12"/>
      <c r="O3694" s="12"/>
      <c r="P3694" s="12"/>
      <c r="Q3694" s="12"/>
      <c r="R3694" s="12"/>
      <c r="S3694" s="12"/>
    </row>
    <row r="3695" spans="1:19" ht="14.25" customHeight="1" x14ac:dyDescent="0.2">
      <c r="A3695" s="1" t="s">
        <v>33</v>
      </c>
      <c r="B3695" s="19">
        <v>46112.007118055553</v>
      </c>
      <c r="C3695" s="19">
        <v>46112.027430555558</v>
      </c>
      <c r="D3695" s="20">
        <v>46112</v>
      </c>
      <c r="E3695" s="21">
        <v>2.7430555557657499E-2</v>
      </c>
      <c r="F3695" s="1" t="s">
        <v>4021</v>
      </c>
      <c r="G3695" s="1" t="s">
        <v>21</v>
      </c>
      <c r="H3695" s="1" t="s">
        <v>22</v>
      </c>
      <c r="I3695" s="1" t="s">
        <v>166</v>
      </c>
      <c r="J3695" s="12">
        <v>0.83</v>
      </c>
      <c r="K3695" s="12"/>
      <c r="L3695" s="12"/>
      <c r="M3695" s="12"/>
      <c r="N3695" s="12"/>
      <c r="O3695" s="12"/>
      <c r="P3695" s="12"/>
      <c r="Q3695" s="12"/>
      <c r="R3695" s="12"/>
      <c r="S3695" s="12"/>
    </row>
    <row r="3696" spans="1:19" ht="14.25" customHeight="1" x14ac:dyDescent="0.2">
      <c r="A3696" s="1" t="s">
        <v>19</v>
      </c>
      <c r="B3696" s="19">
        <v>46112.015127314815</v>
      </c>
      <c r="C3696" s="19">
        <v>46112.031145833331</v>
      </c>
      <c r="D3696" s="20">
        <v>46112</v>
      </c>
      <c r="E3696" s="21">
        <v>3.1145833330811001E-2</v>
      </c>
      <c r="F3696" s="1" t="s">
        <v>4022</v>
      </c>
      <c r="G3696" s="1" t="s">
        <v>21</v>
      </c>
      <c r="H3696" s="1" t="s">
        <v>22</v>
      </c>
      <c r="I3696" s="1" t="s">
        <v>166</v>
      </c>
      <c r="J3696" s="12">
        <v>0.83</v>
      </c>
      <c r="K3696" s="12"/>
      <c r="L3696" s="12"/>
      <c r="M3696" s="12"/>
      <c r="N3696" s="12"/>
      <c r="O3696" s="12"/>
      <c r="P3696" s="12"/>
      <c r="Q3696" s="12"/>
      <c r="R3696" s="12"/>
      <c r="S3696" s="12"/>
    </row>
    <row r="3697" spans="1:19" ht="14.25" customHeight="1" x14ac:dyDescent="0.2">
      <c r="A3697" s="1" t="s">
        <v>28</v>
      </c>
      <c r="B3697" s="7">
        <v>46112.015462962961</v>
      </c>
      <c r="C3697" s="7">
        <v>46112.033229166664</v>
      </c>
      <c r="D3697" s="8">
        <v>46112</v>
      </c>
      <c r="E3697" s="9">
        <v>3.3229166663659271E-2</v>
      </c>
      <c r="F3697" s="10" t="s">
        <v>4023</v>
      </c>
      <c r="G3697" s="10" t="s">
        <v>21</v>
      </c>
      <c r="H3697" s="10" t="s">
        <v>31</v>
      </c>
      <c r="I3697" s="10" t="s">
        <v>23</v>
      </c>
      <c r="J3697" s="11">
        <v>0.98</v>
      </c>
      <c r="K3697" s="12"/>
      <c r="L3697" s="12"/>
      <c r="M3697" s="12"/>
      <c r="N3697" s="12"/>
      <c r="O3697" s="12"/>
      <c r="P3697" s="12"/>
      <c r="Q3697" s="12"/>
      <c r="R3697" s="12"/>
      <c r="S3697" s="12"/>
    </row>
    <row r="3698" spans="1:19" ht="14.25" customHeight="1" x14ac:dyDescent="0.2">
      <c r="A3698" s="1" t="s">
        <v>42</v>
      </c>
      <c r="B3698" s="7">
        <v>46112.016585648147</v>
      </c>
      <c r="C3698" s="7">
        <v>46112.043136574073</v>
      </c>
      <c r="D3698" s="8">
        <v>46112</v>
      </c>
      <c r="E3698" s="9">
        <v>4.3136574073287193E-2</v>
      </c>
      <c r="F3698" s="10" t="s">
        <v>4024</v>
      </c>
      <c r="G3698" s="10" t="s">
        <v>26</v>
      </c>
      <c r="H3698" s="10" t="s">
        <v>125</v>
      </c>
      <c r="I3698" s="10" t="s">
        <v>23</v>
      </c>
      <c r="J3698" s="11">
        <v>0.63</v>
      </c>
      <c r="K3698" s="12"/>
      <c r="L3698" s="12">
        <f>SUM(J3698:J3707)</f>
        <v>11.209999999999999</v>
      </c>
      <c r="M3698" s="13">
        <f>L3698*65</f>
        <v>728.65</v>
      </c>
      <c r="N3698" s="14">
        <f>MAX(500,M3698)</f>
        <v>728.65</v>
      </c>
      <c r="O3698" s="12"/>
      <c r="P3698" s="12"/>
      <c r="Q3698" s="12"/>
      <c r="R3698" s="12"/>
      <c r="S3698" s="12"/>
    </row>
    <row r="3699" spans="1:19" ht="14.25" customHeight="1" x14ac:dyDescent="0.2">
      <c r="A3699" s="1" t="s">
        <v>42</v>
      </c>
      <c r="B3699" s="19">
        <v>46112.004432870373</v>
      </c>
      <c r="C3699" s="19">
        <v>46112.043877314813</v>
      </c>
      <c r="D3699" s="20">
        <v>46112</v>
      </c>
      <c r="E3699" s="21">
        <v>4.3877314812561963E-2</v>
      </c>
      <c r="F3699" s="1" t="s">
        <v>4025</v>
      </c>
      <c r="G3699" s="1" t="s">
        <v>26</v>
      </c>
      <c r="H3699" s="1" t="s">
        <v>172</v>
      </c>
      <c r="I3699" s="1" t="s">
        <v>166</v>
      </c>
      <c r="J3699" s="12">
        <v>0.67</v>
      </c>
      <c r="K3699" s="12"/>
      <c r="L3699" s="12"/>
      <c r="M3699" s="12"/>
      <c r="N3699" s="12"/>
      <c r="O3699" s="12"/>
      <c r="P3699" s="12"/>
      <c r="Q3699" s="12"/>
      <c r="R3699" s="12"/>
      <c r="S3699" s="12"/>
    </row>
    <row r="3700" spans="1:19" ht="14.25" customHeight="1" x14ac:dyDescent="0.2">
      <c r="A3700" s="1" t="s">
        <v>33</v>
      </c>
      <c r="B3700" s="19">
        <v>46112.032835648148</v>
      </c>
      <c r="C3700" s="19">
        <v>46112.047743055555</v>
      </c>
      <c r="D3700" s="20">
        <v>46112</v>
      </c>
      <c r="E3700" s="21">
        <v>4.7743055554747116E-2</v>
      </c>
      <c r="F3700" s="1" t="s">
        <v>4026</v>
      </c>
      <c r="G3700" s="1" t="s">
        <v>21</v>
      </c>
      <c r="H3700" s="1" t="s">
        <v>101</v>
      </c>
      <c r="I3700" s="1" t="s">
        <v>166</v>
      </c>
      <c r="J3700" s="12">
        <v>1.7</v>
      </c>
      <c r="K3700" s="12"/>
      <c r="L3700" s="12"/>
      <c r="M3700" s="12"/>
      <c r="N3700" s="12"/>
      <c r="O3700" s="12"/>
      <c r="P3700" s="12"/>
      <c r="Q3700" s="12"/>
      <c r="R3700" s="12"/>
      <c r="S3700" s="12"/>
    </row>
    <row r="3701" spans="1:19" ht="14.25" customHeight="1" x14ac:dyDescent="0.2">
      <c r="A3701" s="1" t="s">
        <v>95</v>
      </c>
      <c r="B3701" s="7">
        <v>46112.035925925928</v>
      </c>
      <c r="C3701" s="7">
        <v>46112.052893518521</v>
      </c>
      <c r="D3701" s="8">
        <v>46112</v>
      </c>
      <c r="E3701" s="9">
        <v>5.2893518521159422E-2</v>
      </c>
      <c r="F3701" s="10" t="s">
        <v>4027</v>
      </c>
      <c r="G3701" s="10" t="s">
        <v>21</v>
      </c>
      <c r="H3701" s="10" t="s">
        <v>97</v>
      </c>
      <c r="I3701" s="10" t="s">
        <v>23</v>
      </c>
      <c r="J3701" s="11">
        <v>1.77</v>
      </c>
      <c r="K3701" s="12"/>
      <c r="L3701" s="12"/>
      <c r="M3701" s="12"/>
      <c r="N3701" s="12"/>
      <c r="O3701" s="12"/>
      <c r="P3701" s="12"/>
      <c r="Q3701" s="12"/>
      <c r="R3701" s="12"/>
      <c r="S3701" s="12"/>
    </row>
    <row r="3702" spans="1:19" ht="14.25" customHeight="1" x14ac:dyDescent="0.2">
      <c r="A3702" s="1" t="s">
        <v>19</v>
      </c>
      <c r="B3702" s="7">
        <v>46112.016516203701</v>
      </c>
      <c r="C3702" s="7">
        <v>46112.058634259258</v>
      </c>
      <c r="D3702" s="8">
        <v>46112</v>
      </c>
      <c r="E3702" s="9">
        <v>5.8634259257814847E-2</v>
      </c>
      <c r="F3702" s="10" t="s">
        <v>4028</v>
      </c>
      <c r="G3702" s="10" t="s">
        <v>26</v>
      </c>
      <c r="H3702" s="10" t="s">
        <v>86</v>
      </c>
      <c r="I3702" s="10" t="s">
        <v>23</v>
      </c>
      <c r="J3702" s="11">
        <v>0.88</v>
      </c>
      <c r="K3702" s="12"/>
      <c r="L3702" s="12"/>
      <c r="M3702" s="12"/>
      <c r="N3702" s="12"/>
      <c r="O3702" s="12"/>
      <c r="P3702" s="12"/>
      <c r="Q3702" s="12"/>
      <c r="R3702" s="12"/>
      <c r="S3702" s="12"/>
    </row>
    <row r="3703" spans="1:19" ht="14.25" customHeight="1" x14ac:dyDescent="0.2">
      <c r="A3703" s="1" t="s">
        <v>42</v>
      </c>
      <c r="B3703" s="7">
        <v>46112.047615740739</v>
      </c>
      <c r="C3703" s="7">
        <v>46112.058912037035</v>
      </c>
      <c r="D3703" s="8">
        <v>46112</v>
      </c>
      <c r="E3703" s="9">
        <v>5.8912037035042886E-2</v>
      </c>
      <c r="F3703" s="10" t="s">
        <v>4029</v>
      </c>
      <c r="G3703" s="10" t="s">
        <v>44</v>
      </c>
      <c r="H3703" s="10" t="s">
        <v>48</v>
      </c>
      <c r="I3703" s="10" t="s">
        <v>23</v>
      </c>
      <c r="J3703" s="11">
        <v>0.21</v>
      </c>
      <c r="K3703" s="12"/>
      <c r="L3703" s="12"/>
      <c r="M3703" s="12"/>
      <c r="N3703" s="12"/>
      <c r="O3703" s="12"/>
      <c r="P3703" s="12"/>
      <c r="Q3703" s="12"/>
      <c r="R3703" s="12"/>
      <c r="S3703" s="12"/>
    </row>
    <row r="3704" spans="1:19" ht="14.25" customHeight="1" x14ac:dyDescent="0.2">
      <c r="A3704" s="1" t="s">
        <v>24</v>
      </c>
      <c r="B3704" s="19">
        <v>46112.042581018519</v>
      </c>
      <c r="C3704" s="19">
        <v>46112.067569444444</v>
      </c>
      <c r="D3704" s="20">
        <v>46112</v>
      </c>
      <c r="E3704" s="21">
        <v>6.7569444443506654E-2</v>
      </c>
      <c r="F3704" s="1" t="s">
        <v>4030</v>
      </c>
      <c r="G3704" s="1" t="s">
        <v>21</v>
      </c>
      <c r="H3704" s="1" t="s">
        <v>41</v>
      </c>
      <c r="I3704" s="1" t="s">
        <v>166</v>
      </c>
      <c r="J3704" s="12">
        <v>1.77</v>
      </c>
      <c r="K3704" s="12"/>
      <c r="L3704" s="12"/>
      <c r="M3704" s="12"/>
      <c r="N3704" s="12"/>
      <c r="O3704" s="12"/>
      <c r="P3704" s="12"/>
      <c r="Q3704" s="12"/>
      <c r="R3704" s="12"/>
      <c r="S3704" s="12"/>
    </row>
    <row r="3705" spans="1:19" ht="14.25" customHeight="1" x14ac:dyDescent="0.2">
      <c r="A3705" s="1" t="s">
        <v>95</v>
      </c>
      <c r="B3705" s="7">
        <v>46112.069293981483</v>
      </c>
      <c r="C3705" s="7">
        <v>46112.075150462966</v>
      </c>
      <c r="D3705" s="8">
        <v>46112</v>
      </c>
      <c r="E3705" s="9">
        <v>7.5150462966121268E-2</v>
      </c>
      <c r="F3705" s="10" t="s">
        <v>4031</v>
      </c>
      <c r="G3705" s="10" t="s">
        <v>21</v>
      </c>
      <c r="H3705" s="10" t="s">
        <v>110</v>
      </c>
      <c r="I3705" s="10" t="s">
        <v>23</v>
      </c>
      <c r="J3705" s="11">
        <v>0.83</v>
      </c>
      <c r="K3705" s="12"/>
      <c r="L3705" s="12"/>
      <c r="M3705" s="12"/>
      <c r="N3705" s="12"/>
      <c r="O3705" s="12"/>
      <c r="P3705" s="12"/>
      <c r="Q3705" s="12"/>
      <c r="R3705" s="12"/>
      <c r="S3705" s="12"/>
    </row>
    <row r="3706" spans="1:19" ht="14.25" customHeight="1" x14ac:dyDescent="0.2">
      <c r="A3706" s="1" t="s">
        <v>19</v>
      </c>
      <c r="B3706" s="19">
        <v>46112.041296296295</v>
      </c>
      <c r="C3706" s="19">
        <v>46112.075891203705</v>
      </c>
      <c r="D3706" s="20">
        <v>46112</v>
      </c>
      <c r="E3706" s="21">
        <v>7.5891203705396038E-2</v>
      </c>
      <c r="F3706" s="1" t="s">
        <v>4032</v>
      </c>
      <c r="G3706" s="1" t="s">
        <v>21</v>
      </c>
      <c r="H3706" s="1" t="s">
        <v>39</v>
      </c>
      <c r="I3706" s="1" t="s">
        <v>166</v>
      </c>
      <c r="J3706" s="12">
        <v>1.77</v>
      </c>
      <c r="K3706" s="12"/>
      <c r="L3706" s="12"/>
      <c r="M3706" s="12"/>
      <c r="N3706" s="12"/>
      <c r="O3706" s="12"/>
      <c r="P3706" s="12"/>
      <c r="Q3706" s="12"/>
      <c r="R3706" s="12"/>
      <c r="S3706" s="12"/>
    </row>
    <row r="3707" spans="1:19" ht="14.25" customHeight="1" x14ac:dyDescent="0.2">
      <c r="A3707" s="1" t="s">
        <v>95</v>
      </c>
      <c r="B3707" s="7">
        <v>46112.060601851852</v>
      </c>
      <c r="C3707" s="7">
        <v>46112.07640046296</v>
      </c>
      <c r="D3707" s="8">
        <v>46112</v>
      </c>
      <c r="E3707" s="9">
        <v>7.6400462960009463E-2</v>
      </c>
      <c r="F3707" s="10" t="s">
        <v>4033</v>
      </c>
      <c r="G3707" s="10" t="s">
        <v>21</v>
      </c>
      <c r="H3707" s="10" t="s">
        <v>52</v>
      </c>
      <c r="I3707" s="10" t="s">
        <v>23</v>
      </c>
      <c r="J3707" s="11">
        <v>0.98</v>
      </c>
      <c r="K3707" s="12"/>
      <c r="L3707" s="12"/>
      <c r="M3707" s="12"/>
      <c r="N3707" s="12"/>
      <c r="O3707" s="12"/>
      <c r="P3707" s="12"/>
      <c r="Q3707" s="12"/>
      <c r="R3707" s="12"/>
      <c r="S3707" s="12"/>
    </row>
    <row r="3708" spans="1:19" ht="14.25" customHeight="1" x14ac:dyDescent="0.2">
      <c r="A3708" s="1" t="s">
        <v>95</v>
      </c>
      <c r="B3708" s="7">
        <v>46112.074976851851</v>
      </c>
      <c r="C3708" s="7">
        <v>46112.08902777778</v>
      </c>
      <c r="D3708" s="8">
        <v>46112</v>
      </c>
      <c r="E3708" s="9">
        <v>8.9027777779847383E-2</v>
      </c>
      <c r="F3708" s="10" t="s">
        <v>4034</v>
      </c>
      <c r="G3708" s="10" t="s">
        <v>21</v>
      </c>
      <c r="H3708" s="10" t="s">
        <v>110</v>
      </c>
      <c r="I3708" s="10" t="s">
        <v>23</v>
      </c>
      <c r="J3708" s="11">
        <v>0.83</v>
      </c>
      <c r="K3708" s="12"/>
      <c r="L3708" s="12">
        <f>SUM(J3708:J3716)</f>
        <v>11.709999999999999</v>
      </c>
      <c r="M3708" s="13">
        <f>L3708*65</f>
        <v>761.15</v>
      </c>
      <c r="N3708" s="14">
        <f>MAX(500,M3708)</f>
        <v>761.15</v>
      </c>
      <c r="O3708" s="12"/>
      <c r="P3708" s="12"/>
      <c r="Q3708" s="12"/>
      <c r="R3708" s="12"/>
      <c r="S3708" s="12"/>
    </row>
    <row r="3709" spans="1:19" ht="14.25" customHeight="1" x14ac:dyDescent="0.2">
      <c r="A3709" s="1" t="s">
        <v>95</v>
      </c>
      <c r="B3709" s="7">
        <v>46112.060231481482</v>
      </c>
      <c r="C3709" s="7">
        <v>46112.09270833333</v>
      </c>
      <c r="D3709" s="8">
        <v>46112</v>
      </c>
      <c r="E3709" s="9">
        <v>9.2708333329937886E-2</v>
      </c>
      <c r="F3709" s="10" t="s">
        <v>4035</v>
      </c>
      <c r="G3709" s="10" t="s">
        <v>21</v>
      </c>
      <c r="H3709" s="10" t="s">
        <v>110</v>
      </c>
      <c r="I3709" s="10" t="s">
        <v>23</v>
      </c>
      <c r="J3709" s="11">
        <v>0.83</v>
      </c>
      <c r="K3709" s="12"/>
      <c r="L3709" s="12"/>
      <c r="M3709" s="12"/>
      <c r="N3709" s="12"/>
      <c r="O3709" s="12"/>
      <c r="P3709" s="12"/>
      <c r="Q3709" s="12"/>
      <c r="R3709" s="12"/>
      <c r="S3709" s="12"/>
    </row>
    <row r="3710" spans="1:19" ht="14.25" customHeight="1" x14ac:dyDescent="0.2">
      <c r="A3710" s="1" t="s">
        <v>57</v>
      </c>
      <c r="B3710" s="7">
        <v>46112.082395833335</v>
      </c>
      <c r="C3710" s="7">
        <v>46112.096076388887</v>
      </c>
      <c r="D3710" s="8">
        <v>46112</v>
      </c>
      <c r="E3710" s="9">
        <v>9.6076388887013309E-2</v>
      </c>
      <c r="F3710" s="10" t="s">
        <v>4036</v>
      </c>
      <c r="G3710" s="10" t="s">
        <v>21</v>
      </c>
      <c r="H3710" s="10" t="s">
        <v>712</v>
      </c>
      <c r="I3710" s="10" t="s">
        <v>23</v>
      </c>
      <c r="J3710" s="11">
        <v>1.77</v>
      </c>
      <c r="K3710" s="12"/>
      <c r="L3710" s="12"/>
      <c r="M3710" s="12"/>
      <c r="N3710" s="12"/>
      <c r="O3710" s="12"/>
      <c r="P3710" s="12"/>
      <c r="Q3710" s="12"/>
      <c r="R3710" s="12"/>
      <c r="S3710" s="12"/>
    </row>
    <row r="3711" spans="1:19" ht="14.25" customHeight="1" x14ac:dyDescent="0.2">
      <c r="A3711" s="1" t="s">
        <v>24</v>
      </c>
      <c r="B3711" s="7">
        <v>46112.070763888885</v>
      </c>
      <c r="C3711" s="7">
        <v>46112.096620370372</v>
      </c>
      <c r="D3711" s="8">
        <v>46112</v>
      </c>
      <c r="E3711" s="9">
        <v>9.6620370371965691E-2</v>
      </c>
      <c r="F3711" s="10" t="s">
        <v>4037</v>
      </c>
      <c r="G3711" s="10" t="s">
        <v>26</v>
      </c>
      <c r="H3711" s="10" t="s">
        <v>1019</v>
      </c>
      <c r="I3711" s="10" t="s">
        <v>23</v>
      </c>
      <c r="J3711" s="11">
        <v>0.67</v>
      </c>
      <c r="K3711" s="12"/>
      <c r="L3711" s="12"/>
      <c r="M3711" s="12"/>
      <c r="N3711" s="12"/>
      <c r="O3711" s="12"/>
      <c r="P3711" s="12"/>
      <c r="Q3711" s="12"/>
      <c r="R3711" s="12"/>
      <c r="S3711" s="12"/>
    </row>
    <row r="3712" spans="1:19" ht="14.25" customHeight="1" x14ac:dyDescent="0.2">
      <c r="A3712" s="1" t="s">
        <v>42</v>
      </c>
      <c r="B3712" s="7">
        <v>46112.072743055556</v>
      </c>
      <c r="C3712" s="7">
        <v>46112.102222222224</v>
      </c>
      <c r="D3712" s="8">
        <v>46112</v>
      </c>
      <c r="E3712" s="9">
        <v>0.10222222222364508</v>
      </c>
      <c r="F3712" s="10" t="s">
        <v>4038</v>
      </c>
      <c r="G3712" s="10" t="s">
        <v>26</v>
      </c>
      <c r="H3712" s="10" t="s">
        <v>172</v>
      </c>
      <c r="I3712" s="10" t="s">
        <v>23</v>
      </c>
      <c r="J3712" s="11">
        <v>0.67</v>
      </c>
      <c r="K3712" s="12"/>
      <c r="L3712" s="12"/>
      <c r="M3712" s="12"/>
      <c r="N3712" s="12"/>
      <c r="O3712" s="12"/>
      <c r="P3712" s="12"/>
      <c r="Q3712" s="12"/>
      <c r="R3712" s="12"/>
      <c r="S3712" s="12"/>
    </row>
    <row r="3713" spans="1:19" ht="14.25" customHeight="1" x14ac:dyDescent="0.2">
      <c r="A3713" s="1" t="s">
        <v>33</v>
      </c>
      <c r="B3713" s="19">
        <v>46112.086446759262</v>
      </c>
      <c r="C3713" s="19">
        <v>46112.105671296296</v>
      </c>
      <c r="D3713" s="20">
        <v>46112</v>
      </c>
      <c r="E3713" s="21">
        <v>0.10567129629635019</v>
      </c>
      <c r="F3713" s="1" t="s">
        <v>4039</v>
      </c>
      <c r="G3713" s="1" t="s">
        <v>21</v>
      </c>
      <c r="H3713" s="1" t="s">
        <v>101</v>
      </c>
      <c r="I3713" s="1" t="s">
        <v>166</v>
      </c>
      <c r="J3713" s="12">
        <v>1.7</v>
      </c>
      <c r="K3713" s="12"/>
      <c r="L3713" s="12"/>
      <c r="M3713" s="12"/>
      <c r="N3713" s="12"/>
      <c r="O3713" s="12"/>
      <c r="P3713" s="12"/>
      <c r="Q3713" s="12"/>
      <c r="R3713" s="12"/>
      <c r="S3713" s="12"/>
    </row>
    <row r="3714" spans="1:19" ht="14.25" customHeight="1" x14ac:dyDescent="0.2">
      <c r="A3714" s="1" t="s">
        <v>95</v>
      </c>
      <c r="B3714" s="7">
        <v>46112.110462962963</v>
      </c>
      <c r="C3714" s="7">
        <v>46112.121562499997</v>
      </c>
      <c r="D3714" s="8">
        <v>46112</v>
      </c>
      <c r="E3714" s="9">
        <v>0.12156249999679858</v>
      </c>
      <c r="F3714" s="10" t="s">
        <v>4040</v>
      </c>
      <c r="G3714" s="10" t="s">
        <v>21</v>
      </c>
      <c r="H3714" s="10" t="s">
        <v>108</v>
      </c>
      <c r="I3714" s="10" t="s">
        <v>23</v>
      </c>
      <c r="J3714" s="11">
        <v>1.7</v>
      </c>
      <c r="K3714" s="12"/>
      <c r="L3714" s="12"/>
      <c r="M3714" s="12"/>
      <c r="N3714" s="12"/>
      <c r="O3714" s="12"/>
      <c r="P3714" s="12"/>
      <c r="Q3714" s="12"/>
      <c r="R3714" s="12"/>
      <c r="S3714" s="12"/>
    </row>
    <row r="3715" spans="1:19" ht="14.25" customHeight="1" x14ac:dyDescent="0.2">
      <c r="A3715" s="1" t="s">
        <v>42</v>
      </c>
      <c r="B3715" s="7">
        <v>46112.084143518521</v>
      </c>
      <c r="C3715" s="7">
        <v>46112.122465277775</v>
      </c>
      <c r="D3715" s="8">
        <v>46112</v>
      </c>
      <c r="E3715" s="9">
        <v>0.12246527777460869</v>
      </c>
      <c r="F3715" s="10" t="s">
        <v>4041</v>
      </c>
      <c r="G3715" s="10" t="s">
        <v>21</v>
      </c>
      <c r="H3715" s="10" t="s">
        <v>225</v>
      </c>
      <c r="I3715" s="10" t="s">
        <v>23</v>
      </c>
      <c r="J3715" s="11">
        <v>1.77</v>
      </c>
      <c r="K3715" s="12"/>
      <c r="L3715" s="12"/>
      <c r="M3715" s="12"/>
      <c r="N3715" s="12"/>
      <c r="O3715" s="12"/>
      <c r="P3715" s="12"/>
      <c r="Q3715" s="12"/>
      <c r="R3715" s="12"/>
      <c r="S3715" s="12"/>
    </row>
    <row r="3716" spans="1:19" ht="14.25" customHeight="1" x14ac:dyDescent="0.2">
      <c r="A3716" s="1" t="s">
        <v>46</v>
      </c>
      <c r="B3716" s="19">
        <v>46112.080567129633</v>
      </c>
      <c r="C3716" s="19">
        <v>46112.124745370369</v>
      </c>
      <c r="D3716" s="20">
        <v>46112</v>
      </c>
      <c r="E3716" s="21">
        <v>0.12474537036905531</v>
      </c>
      <c r="F3716" s="1" t="s">
        <v>4042</v>
      </c>
      <c r="G3716" s="1" t="s">
        <v>21</v>
      </c>
      <c r="H3716" s="1" t="s">
        <v>41</v>
      </c>
      <c r="I3716" s="1" t="s">
        <v>166</v>
      </c>
      <c r="J3716" s="12">
        <v>1.77</v>
      </c>
      <c r="K3716" s="12"/>
      <c r="L3716" s="12"/>
      <c r="M3716" s="12"/>
      <c r="N3716" s="12"/>
      <c r="O3716" s="12"/>
      <c r="P3716" s="12"/>
      <c r="Q3716" s="12"/>
      <c r="R3716" s="12"/>
      <c r="S3716" s="12"/>
    </row>
    <row r="3717" spans="1:19" ht="14.25" customHeight="1" x14ac:dyDescent="0.2">
      <c r="A3717" s="1" t="s">
        <v>57</v>
      </c>
      <c r="B3717" s="7">
        <v>46112.1171875</v>
      </c>
      <c r="C3717" s="7">
        <v>46112.125879629632</v>
      </c>
      <c r="D3717" s="8">
        <v>46112</v>
      </c>
      <c r="E3717" s="9">
        <v>0.12587962963152677</v>
      </c>
      <c r="F3717" s="10" t="s">
        <v>4043</v>
      </c>
      <c r="G3717" s="10" t="s">
        <v>21</v>
      </c>
      <c r="H3717" s="10" t="s">
        <v>303</v>
      </c>
      <c r="I3717" s="10" t="s">
        <v>23</v>
      </c>
      <c r="J3717" s="11">
        <v>1.77</v>
      </c>
      <c r="K3717" s="12">
        <f>SUM(J3717:J3740)</f>
        <v>24.029999999999998</v>
      </c>
      <c r="L3717" s="12">
        <f>SUM(J3717:J3727)</f>
        <v>9.3599999999999977</v>
      </c>
      <c r="M3717" s="13">
        <f>L3717*65</f>
        <v>608.39999999999986</v>
      </c>
      <c r="N3717" s="14">
        <f>MAX(500,M3717)</f>
        <v>608.39999999999986</v>
      </c>
      <c r="O3717" s="12"/>
      <c r="P3717" s="12"/>
      <c r="Q3717" s="12"/>
      <c r="R3717" s="12"/>
      <c r="S3717" s="12"/>
    </row>
    <row r="3718" spans="1:19" ht="14.25" customHeight="1" x14ac:dyDescent="0.2">
      <c r="A3718" s="1" t="s">
        <v>28</v>
      </c>
      <c r="B3718" s="7">
        <v>46112.114351851851</v>
      </c>
      <c r="C3718" s="7">
        <v>46112.129814814813</v>
      </c>
      <c r="D3718" s="8">
        <v>46112</v>
      </c>
      <c r="E3718" s="9">
        <v>0.12981481481256196</v>
      </c>
      <c r="F3718" s="10" t="s">
        <v>4044</v>
      </c>
      <c r="G3718" s="10" t="s">
        <v>21</v>
      </c>
      <c r="H3718" s="10" t="s">
        <v>101</v>
      </c>
      <c r="I3718" s="10" t="s">
        <v>23</v>
      </c>
      <c r="J3718" s="11">
        <v>1.7</v>
      </c>
      <c r="K3718" s="12"/>
      <c r="L3718" s="12"/>
      <c r="M3718" s="12"/>
      <c r="N3718" s="12"/>
      <c r="O3718" s="12"/>
      <c r="P3718" s="12"/>
      <c r="Q3718" s="12"/>
      <c r="R3718" s="12"/>
      <c r="S3718" s="12"/>
    </row>
    <row r="3719" spans="1:19" ht="14.25" customHeight="1" x14ac:dyDescent="0.2">
      <c r="A3719" s="1" t="s">
        <v>33</v>
      </c>
      <c r="B3719" s="7">
        <v>46112.122187499997</v>
      </c>
      <c r="C3719" s="7">
        <v>46112.131724537037</v>
      </c>
      <c r="D3719" s="8">
        <v>46112</v>
      </c>
      <c r="E3719" s="9">
        <v>0.13172453703737119</v>
      </c>
      <c r="F3719" s="10" t="s">
        <v>4045</v>
      </c>
      <c r="G3719" s="10" t="s">
        <v>21</v>
      </c>
      <c r="H3719" s="10" t="s">
        <v>22</v>
      </c>
      <c r="I3719" s="10" t="s">
        <v>23</v>
      </c>
      <c r="J3719" s="11">
        <v>0.83</v>
      </c>
      <c r="K3719" s="12"/>
      <c r="L3719" s="12"/>
      <c r="M3719" s="12"/>
      <c r="N3719" s="12"/>
      <c r="O3719" s="12"/>
      <c r="P3719" s="12"/>
      <c r="Q3719" s="12"/>
      <c r="R3719" s="12"/>
      <c r="S3719" s="12"/>
    </row>
    <row r="3720" spans="1:19" ht="14.25" customHeight="1" x14ac:dyDescent="0.2">
      <c r="A3720" s="1" t="s">
        <v>42</v>
      </c>
      <c r="B3720" s="7">
        <v>46112.117511574077</v>
      </c>
      <c r="C3720" s="7">
        <v>46112.135335648149</v>
      </c>
      <c r="D3720" s="8">
        <v>46112</v>
      </c>
      <c r="E3720" s="9">
        <v>0.13533564814861165</v>
      </c>
      <c r="F3720" s="10" t="s">
        <v>4046</v>
      </c>
      <c r="G3720" s="10" t="s">
        <v>44</v>
      </c>
      <c r="H3720" s="10" t="s">
        <v>140</v>
      </c>
      <c r="I3720" s="10" t="s">
        <v>23</v>
      </c>
      <c r="J3720" s="11">
        <v>0.18</v>
      </c>
      <c r="K3720" s="12"/>
      <c r="L3720" s="12"/>
      <c r="M3720" s="12"/>
      <c r="N3720" s="12"/>
      <c r="O3720" s="12"/>
      <c r="P3720" s="12"/>
      <c r="Q3720" s="12"/>
      <c r="R3720" s="12"/>
      <c r="S3720" s="12"/>
    </row>
    <row r="3721" spans="1:19" ht="14.25" customHeight="1" x14ac:dyDescent="0.2">
      <c r="A3721" s="1" t="s">
        <v>95</v>
      </c>
      <c r="B3721" s="7">
        <v>46112.13077546296</v>
      </c>
      <c r="C3721" s="7">
        <v>46112.135775462964</v>
      </c>
      <c r="D3721" s="8">
        <v>46112</v>
      </c>
      <c r="E3721" s="9">
        <v>0.13577546296437504</v>
      </c>
      <c r="F3721" s="10" t="s">
        <v>4047</v>
      </c>
      <c r="G3721" s="10" t="s">
        <v>21</v>
      </c>
      <c r="H3721" s="10" t="s">
        <v>110</v>
      </c>
      <c r="I3721" s="10" t="s">
        <v>23</v>
      </c>
      <c r="J3721" s="11">
        <v>0.83</v>
      </c>
      <c r="K3721" s="12"/>
      <c r="L3721" s="12"/>
      <c r="M3721" s="12"/>
      <c r="N3721" s="12"/>
      <c r="O3721" s="12"/>
      <c r="P3721" s="12"/>
      <c r="Q3721" s="12"/>
      <c r="R3721" s="12"/>
      <c r="S3721" s="12"/>
    </row>
    <row r="3722" spans="1:19" ht="14.25" customHeight="1" x14ac:dyDescent="0.2">
      <c r="A3722" s="1" t="s">
        <v>95</v>
      </c>
      <c r="B3722" s="7">
        <v>46112.117175925923</v>
      </c>
      <c r="C3722" s="7">
        <v>46112.136874999997</v>
      </c>
      <c r="D3722" s="8">
        <v>46112</v>
      </c>
      <c r="E3722" s="9">
        <v>0.13687499999650754</v>
      </c>
      <c r="F3722" s="10" t="s">
        <v>4048</v>
      </c>
      <c r="G3722" s="10" t="s">
        <v>44</v>
      </c>
      <c r="H3722" s="10" t="s">
        <v>45</v>
      </c>
      <c r="I3722" s="10" t="s">
        <v>23</v>
      </c>
      <c r="J3722" s="11">
        <v>0.18</v>
      </c>
      <c r="K3722" s="12"/>
      <c r="L3722" s="12"/>
      <c r="M3722" s="12"/>
      <c r="N3722" s="12"/>
      <c r="O3722" s="12"/>
      <c r="P3722" s="12"/>
      <c r="Q3722" s="12"/>
      <c r="R3722" s="12"/>
      <c r="S3722" s="12"/>
    </row>
    <row r="3723" spans="1:19" ht="14.25" customHeight="1" x14ac:dyDescent="0.2">
      <c r="A3723" s="1" t="s">
        <v>42</v>
      </c>
      <c r="B3723" s="7">
        <v>46112.113622685189</v>
      </c>
      <c r="C3723" s="7">
        <v>46112.137361111112</v>
      </c>
      <c r="D3723" s="8">
        <v>46112</v>
      </c>
      <c r="E3723" s="9">
        <v>0.13736111111211358</v>
      </c>
      <c r="F3723" s="10" t="s">
        <v>4049</v>
      </c>
      <c r="G3723" s="10" t="s">
        <v>44</v>
      </c>
      <c r="H3723" s="10" t="s">
        <v>497</v>
      </c>
      <c r="I3723" s="10" t="s">
        <v>23</v>
      </c>
      <c r="J3723" s="11">
        <v>0.18</v>
      </c>
      <c r="K3723" s="12"/>
      <c r="L3723" s="12"/>
      <c r="M3723" s="12"/>
      <c r="N3723" s="12"/>
      <c r="O3723" s="12"/>
      <c r="P3723" s="12"/>
      <c r="Q3723" s="12"/>
      <c r="R3723" s="12"/>
      <c r="S3723" s="12"/>
    </row>
    <row r="3724" spans="1:19" ht="14.25" customHeight="1" x14ac:dyDescent="0.2">
      <c r="A3724" s="1" t="s">
        <v>95</v>
      </c>
      <c r="B3724" s="7">
        <v>46112.120324074072</v>
      </c>
      <c r="C3724" s="7">
        <v>46112.140219907407</v>
      </c>
      <c r="D3724" s="8">
        <v>46112</v>
      </c>
      <c r="E3724" s="9">
        <v>0.14021990740729962</v>
      </c>
      <c r="F3724" s="10" t="s">
        <v>4050</v>
      </c>
      <c r="G3724" s="10" t="s">
        <v>44</v>
      </c>
      <c r="H3724" s="10" t="s">
        <v>45</v>
      </c>
      <c r="I3724" s="10" t="s">
        <v>23</v>
      </c>
      <c r="J3724" s="11">
        <v>0.18</v>
      </c>
      <c r="K3724" s="12"/>
      <c r="L3724" s="12"/>
      <c r="M3724" s="12"/>
      <c r="N3724" s="12"/>
      <c r="O3724" s="12"/>
      <c r="P3724" s="12"/>
      <c r="Q3724" s="12"/>
      <c r="R3724" s="12"/>
      <c r="S3724" s="12"/>
    </row>
    <row r="3725" spans="1:19" ht="14.25" customHeight="1" x14ac:dyDescent="0.2">
      <c r="A3725" s="1" t="s">
        <v>95</v>
      </c>
      <c r="B3725" s="7">
        <v>46112.132430555554</v>
      </c>
      <c r="C3725" s="7">
        <v>46112.142812500002</v>
      </c>
      <c r="D3725" s="8">
        <v>46112</v>
      </c>
      <c r="E3725" s="9">
        <v>0.14281250000203727</v>
      </c>
      <c r="F3725" s="10" t="s">
        <v>4051</v>
      </c>
      <c r="G3725" s="10" t="s">
        <v>21</v>
      </c>
      <c r="H3725" s="10" t="s">
        <v>52</v>
      </c>
      <c r="I3725" s="10" t="s">
        <v>23</v>
      </c>
      <c r="J3725" s="11">
        <v>0.98</v>
      </c>
      <c r="K3725" s="12"/>
      <c r="L3725" s="12"/>
      <c r="M3725" s="12"/>
      <c r="N3725" s="12"/>
      <c r="O3725" s="12"/>
      <c r="P3725" s="12"/>
      <c r="Q3725" s="12"/>
      <c r="R3725" s="12"/>
      <c r="S3725" s="12"/>
    </row>
    <row r="3726" spans="1:19" ht="14.25" customHeight="1" x14ac:dyDescent="0.2">
      <c r="A3726" s="1" t="s">
        <v>24</v>
      </c>
      <c r="B3726" s="7">
        <v>46112.126145833332</v>
      </c>
      <c r="C3726" s="7">
        <v>46112.148784722223</v>
      </c>
      <c r="D3726" s="8">
        <v>46112</v>
      </c>
      <c r="E3726" s="9">
        <v>0.14878472222335404</v>
      </c>
      <c r="F3726" s="10" t="s">
        <v>4052</v>
      </c>
      <c r="G3726" s="10" t="s">
        <v>21</v>
      </c>
      <c r="H3726" s="10" t="s">
        <v>54</v>
      </c>
      <c r="I3726" s="10" t="s">
        <v>23</v>
      </c>
      <c r="J3726" s="11">
        <v>0.83</v>
      </c>
      <c r="K3726" s="12"/>
      <c r="L3726" s="12"/>
      <c r="M3726" s="12"/>
      <c r="N3726" s="12"/>
      <c r="O3726" s="12"/>
      <c r="P3726" s="12"/>
      <c r="Q3726" s="12"/>
      <c r="R3726" s="12"/>
      <c r="S3726" s="12"/>
    </row>
    <row r="3727" spans="1:19" ht="14.25" customHeight="1" x14ac:dyDescent="0.2">
      <c r="A3727" s="1" t="s">
        <v>24</v>
      </c>
      <c r="B3727" s="7">
        <v>46112.129537037035</v>
      </c>
      <c r="C3727" s="7">
        <v>46112.151817129627</v>
      </c>
      <c r="D3727" s="8">
        <v>46112</v>
      </c>
      <c r="E3727" s="9">
        <v>0.15181712962657912</v>
      </c>
      <c r="F3727" s="10" t="s">
        <v>4053</v>
      </c>
      <c r="G3727" s="10" t="s">
        <v>21</v>
      </c>
      <c r="H3727" s="10" t="s">
        <v>101</v>
      </c>
      <c r="I3727" s="10" t="s">
        <v>23</v>
      </c>
      <c r="J3727" s="11">
        <v>1.7</v>
      </c>
      <c r="K3727" s="12"/>
      <c r="L3727" s="12"/>
      <c r="M3727" s="12"/>
      <c r="N3727" s="12"/>
      <c r="O3727" s="12"/>
      <c r="P3727" s="12"/>
      <c r="Q3727" s="12"/>
      <c r="R3727" s="12"/>
      <c r="S3727" s="12"/>
    </row>
    <row r="3728" spans="1:19" ht="14.25" customHeight="1" x14ac:dyDescent="0.2">
      <c r="A3728" s="1" t="s">
        <v>24</v>
      </c>
      <c r="B3728" s="7">
        <v>46112.15834490741</v>
      </c>
      <c r="C3728" s="7">
        <v>46112.170659722222</v>
      </c>
      <c r="D3728" s="8">
        <v>46112</v>
      </c>
      <c r="E3728" s="9">
        <v>0.17065972222189885</v>
      </c>
      <c r="F3728" s="10" t="s">
        <v>4054</v>
      </c>
      <c r="G3728" s="10" t="s">
        <v>21</v>
      </c>
      <c r="H3728" s="10" t="s">
        <v>22</v>
      </c>
      <c r="I3728" s="10" t="s">
        <v>23</v>
      </c>
      <c r="J3728" s="11">
        <v>0.83</v>
      </c>
      <c r="K3728" s="12"/>
      <c r="L3728" s="12">
        <f>SUM(J3728:J3734)</f>
        <v>6.6400000000000006</v>
      </c>
      <c r="M3728" s="13">
        <f>L3728*65</f>
        <v>431.6</v>
      </c>
      <c r="N3728" s="14">
        <f>MAX(500,M3728)</f>
        <v>500</v>
      </c>
      <c r="O3728" s="12"/>
      <c r="P3728" s="12"/>
      <c r="Q3728" s="12"/>
      <c r="R3728" s="12"/>
      <c r="S3728" s="12"/>
    </row>
    <row r="3729" spans="1:19" ht="14.25" customHeight="1" x14ac:dyDescent="0.2">
      <c r="A3729" s="1" t="s">
        <v>57</v>
      </c>
      <c r="B3729" s="7">
        <v>46112.142372685186</v>
      </c>
      <c r="C3729" s="7">
        <v>46112.171053240738</v>
      </c>
      <c r="D3729" s="8">
        <v>46112</v>
      </c>
      <c r="E3729" s="9">
        <v>0.17105324073781958</v>
      </c>
      <c r="F3729" s="10" t="s">
        <v>4055</v>
      </c>
      <c r="G3729" s="10" t="s">
        <v>26</v>
      </c>
      <c r="H3729" s="10" t="s">
        <v>1339</v>
      </c>
      <c r="I3729" s="10" t="s">
        <v>23</v>
      </c>
      <c r="J3729" s="11">
        <v>0.57999999999999996</v>
      </c>
      <c r="K3729" s="12"/>
      <c r="L3729" s="12"/>
      <c r="M3729" s="12"/>
      <c r="N3729" s="12"/>
      <c r="O3729" s="12"/>
      <c r="P3729" s="12"/>
      <c r="Q3729" s="12"/>
      <c r="R3729" s="12"/>
      <c r="S3729" s="12"/>
    </row>
    <row r="3730" spans="1:19" ht="14.25" customHeight="1" x14ac:dyDescent="0.2">
      <c r="A3730" s="1" t="s">
        <v>24</v>
      </c>
      <c r="B3730" s="7">
        <v>46112.139236111114</v>
      </c>
      <c r="C3730" s="7">
        <v>46112.188784722224</v>
      </c>
      <c r="D3730" s="8">
        <v>46112</v>
      </c>
      <c r="E3730" s="9">
        <v>0.18878472222422715</v>
      </c>
      <c r="F3730" s="10" t="s">
        <v>4056</v>
      </c>
      <c r="G3730" s="10" t="s">
        <v>21</v>
      </c>
      <c r="H3730" s="10" t="s">
        <v>39</v>
      </c>
      <c r="I3730" s="10" t="s">
        <v>23</v>
      </c>
      <c r="J3730" s="11">
        <v>1.77</v>
      </c>
      <c r="K3730" s="12"/>
      <c r="L3730" s="12"/>
      <c r="M3730" s="12"/>
      <c r="N3730" s="12"/>
      <c r="O3730" s="12"/>
      <c r="P3730" s="12"/>
      <c r="Q3730" s="12"/>
      <c r="R3730" s="12"/>
      <c r="S3730" s="12"/>
    </row>
    <row r="3731" spans="1:19" ht="14.25" customHeight="1" x14ac:dyDescent="0.2">
      <c r="A3731" s="1" t="s">
        <v>24</v>
      </c>
      <c r="B3731" s="7">
        <v>46112.172233796293</v>
      </c>
      <c r="C3731" s="7">
        <v>46112.189444444448</v>
      </c>
      <c r="D3731" s="8">
        <v>46112</v>
      </c>
      <c r="E3731" s="9">
        <v>0.18944444444787223</v>
      </c>
      <c r="F3731" s="10" t="s">
        <v>4057</v>
      </c>
      <c r="G3731" s="10" t="s">
        <v>26</v>
      </c>
      <c r="H3731" s="10" t="s">
        <v>1019</v>
      </c>
      <c r="I3731" s="10" t="s">
        <v>23</v>
      </c>
      <c r="J3731" s="11">
        <v>0.67</v>
      </c>
      <c r="K3731" s="12"/>
      <c r="L3731" s="12"/>
      <c r="M3731" s="12"/>
      <c r="N3731" s="12"/>
      <c r="O3731" s="12"/>
      <c r="P3731" s="12"/>
      <c r="Q3731" s="12"/>
      <c r="R3731" s="12"/>
      <c r="S3731" s="12"/>
    </row>
    <row r="3732" spans="1:19" ht="14.25" customHeight="1" x14ac:dyDescent="0.2">
      <c r="A3732" s="1" t="s">
        <v>95</v>
      </c>
      <c r="B3732" s="7">
        <v>46112.165150462963</v>
      </c>
      <c r="C3732" s="7">
        <v>46112.189710648148</v>
      </c>
      <c r="D3732" s="8">
        <v>46112</v>
      </c>
      <c r="E3732" s="9">
        <v>0.18971064814832062</v>
      </c>
      <c r="F3732" s="10" t="s">
        <v>4058</v>
      </c>
      <c r="G3732" s="10" t="s">
        <v>21</v>
      </c>
      <c r="H3732" s="10" t="s">
        <v>110</v>
      </c>
      <c r="I3732" s="10" t="s">
        <v>23</v>
      </c>
      <c r="J3732" s="11">
        <v>0.83</v>
      </c>
      <c r="K3732" s="12"/>
      <c r="L3732" s="12"/>
      <c r="M3732" s="12"/>
      <c r="N3732" s="12"/>
      <c r="O3732" s="12"/>
      <c r="P3732" s="12"/>
      <c r="Q3732" s="12"/>
      <c r="R3732" s="12"/>
      <c r="S3732" s="12"/>
    </row>
    <row r="3733" spans="1:19" ht="14.25" customHeight="1" x14ac:dyDescent="0.2">
      <c r="A3733" s="1" t="s">
        <v>95</v>
      </c>
      <c r="B3733" s="7">
        <v>46112.166967592595</v>
      </c>
      <c r="C3733" s="7">
        <v>46112.190127314818</v>
      </c>
      <c r="D3733" s="8">
        <v>46112</v>
      </c>
      <c r="E3733" s="9">
        <v>0.19012731481780065</v>
      </c>
      <c r="F3733" s="10" t="s">
        <v>4059</v>
      </c>
      <c r="G3733" s="10" t="s">
        <v>21</v>
      </c>
      <c r="H3733" s="10" t="s">
        <v>734</v>
      </c>
      <c r="I3733" s="10" t="s">
        <v>23</v>
      </c>
      <c r="J3733" s="11">
        <v>0.98</v>
      </c>
      <c r="K3733" s="12"/>
      <c r="L3733" s="12"/>
      <c r="M3733" s="12"/>
      <c r="N3733" s="12"/>
      <c r="O3733" s="12"/>
      <c r="P3733" s="12"/>
      <c r="Q3733" s="12"/>
      <c r="R3733" s="12"/>
      <c r="S3733" s="12"/>
    </row>
    <row r="3734" spans="1:19" ht="14.25" customHeight="1" x14ac:dyDescent="0.2">
      <c r="A3734" s="1" t="s">
        <v>95</v>
      </c>
      <c r="B3734" s="7">
        <v>46112.165150462963</v>
      </c>
      <c r="C3734" s="7">
        <v>46112.195011574076</v>
      </c>
      <c r="D3734" s="8">
        <v>46112</v>
      </c>
      <c r="E3734" s="9">
        <v>0.19501157407648861</v>
      </c>
      <c r="F3734" s="10" t="s">
        <v>4060</v>
      </c>
      <c r="G3734" s="10" t="s">
        <v>21</v>
      </c>
      <c r="H3734" s="10" t="s">
        <v>52</v>
      </c>
      <c r="I3734" s="10" t="s">
        <v>23</v>
      </c>
      <c r="J3734" s="11">
        <v>0.98</v>
      </c>
      <c r="K3734" s="12"/>
      <c r="L3734" s="12"/>
      <c r="M3734" s="12"/>
      <c r="N3734" s="12"/>
      <c r="O3734" s="12"/>
      <c r="P3734" s="12"/>
      <c r="Q3734" s="12"/>
      <c r="R3734" s="12"/>
      <c r="S3734" s="12"/>
    </row>
    <row r="3735" spans="1:19" ht="14.25" customHeight="1" x14ac:dyDescent="0.2">
      <c r="A3735" s="1" t="s">
        <v>95</v>
      </c>
      <c r="B3735" s="7">
        <v>46112.198796296296</v>
      </c>
      <c r="C3735" s="7">
        <v>46112.208715277775</v>
      </c>
      <c r="D3735" s="8">
        <v>46112</v>
      </c>
      <c r="E3735" s="9">
        <v>0.20871527777489973</v>
      </c>
      <c r="F3735" s="10" t="s">
        <v>4061</v>
      </c>
      <c r="G3735" s="10" t="s">
        <v>21</v>
      </c>
      <c r="H3735" s="10" t="s">
        <v>97</v>
      </c>
      <c r="I3735" s="10" t="s">
        <v>23</v>
      </c>
      <c r="J3735" s="11">
        <v>1.77</v>
      </c>
      <c r="K3735" s="12"/>
      <c r="L3735" s="12">
        <f>SUM(J3735:J3740)</f>
        <v>8.0299999999999994</v>
      </c>
      <c r="M3735" s="13">
        <f>L3735*65</f>
        <v>521.94999999999993</v>
      </c>
      <c r="N3735" s="14">
        <f>MAX(500,M3735)</f>
        <v>521.94999999999993</v>
      </c>
      <c r="O3735" s="12"/>
      <c r="P3735" s="12"/>
      <c r="Q3735" s="12"/>
      <c r="R3735" s="12"/>
      <c r="S3735" s="12"/>
    </row>
    <row r="3736" spans="1:19" ht="14.25" customHeight="1" x14ac:dyDescent="0.2">
      <c r="A3736" s="1" t="s">
        <v>19</v>
      </c>
      <c r="B3736" s="7">
        <v>46112.17454861111</v>
      </c>
      <c r="C3736" s="7">
        <v>46112.209409722222</v>
      </c>
      <c r="D3736" s="8">
        <v>46112</v>
      </c>
      <c r="E3736" s="9">
        <v>0.20940972222160781</v>
      </c>
      <c r="F3736" s="10" t="s">
        <v>4062</v>
      </c>
      <c r="G3736" s="10" t="s">
        <v>21</v>
      </c>
      <c r="H3736" s="10" t="s">
        <v>71</v>
      </c>
      <c r="I3736" s="10" t="s">
        <v>23</v>
      </c>
      <c r="J3736" s="11">
        <v>1.05</v>
      </c>
      <c r="K3736" s="12"/>
      <c r="L3736" s="12"/>
      <c r="M3736" s="12"/>
      <c r="N3736" s="12"/>
      <c r="O3736" s="12"/>
      <c r="P3736" s="12"/>
      <c r="Q3736" s="12"/>
      <c r="R3736" s="12"/>
      <c r="S3736" s="12"/>
    </row>
    <row r="3737" spans="1:19" ht="14.25" customHeight="1" x14ac:dyDescent="0.2">
      <c r="A3737" s="1" t="s">
        <v>24</v>
      </c>
      <c r="B3737" s="7">
        <v>46112.18141203704</v>
      </c>
      <c r="C3737" s="7">
        <v>46112.210057870368</v>
      </c>
      <c r="D3737" s="8">
        <v>46112</v>
      </c>
      <c r="E3737" s="9">
        <v>0.21005787036847323</v>
      </c>
      <c r="F3737" s="10" t="s">
        <v>4063</v>
      </c>
      <c r="G3737" s="10" t="s">
        <v>21</v>
      </c>
      <c r="H3737" s="10" t="s">
        <v>101</v>
      </c>
      <c r="I3737" s="10" t="s">
        <v>23</v>
      </c>
      <c r="J3737" s="11">
        <v>1.7</v>
      </c>
      <c r="K3737" s="12"/>
      <c r="L3737" s="12"/>
      <c r="M3737" s="12"/>
      <c r="N3737" s="12"/>
      <c r="O3737" s="12"/>
      <c r="P3737" s="12"/>
      <c r="Q3737" s="12"/>
      <c r="R3737" s="12"/>
      <c r="S3737" s="12"/>
    </row>
    <row r="3738" spans="1:19" ht="14.25" customHeight="1" x14ac:dyDescent="0.2">
      <c r="A3738" s="1" t="s">
        <v>112</v>
      </c>
      <c r="B3738" s="7">
        <v>46112.210717592592</v>
      </c>
      <c r="C3738" s="7">
        <v>46112.223287037035</v>
      </c>
      <c r="D3738" s="8">
        <v>46112</v>
      </c>
      <c r="E3738" s="9">
        <v>0.22328703703533392</v>
      </c>
      <c r="F3738" s="10" t="s">
        <v>4064</v>
      </c>
      <c r="G3738" s="10" t="s">
        <v>21</v>
      </c>
      <c r="H3738" s="10" t="s">
        <v>4065</v>
      </c>
      <c r="I3738" s="10" t="s">
        <v>23</v>
      </c>
      <c r="J3738" s="11">
        <v>0.98</v>
      </c>
      <c r="K3738" s="12"/>
      <c r="L3738" s="12"/>
      <c r="M3738" s="12"/>
      <c r="N3738" s="12"/>
      <c r="O3738" s="12"/>
      <c r="P3738" s="12"/>
      <c r="Q3738" s="12"/>
      <c r="R3738" s="12"/>
      <c r="S3738" s="12"/>
    </row>
    <row r="3739" spans="1:19" ht="14.25" customHeight="1" x14ac:dyDescent="0.2">
      <c r="A3739" s="1" t="s">
        <v>95</v>
      </c>
      <c r="B3739" s="7">
        <v>46112.225219907406</v>
      </c>
      <c r="C3739" s="7">
        <v>46112.23265046296</v>
      </c>
      <c r="D3739" s="8">
        <v>46112</v>
      </c>
      <c r="E3739" s="9">
        <v>0.23265046296000946</v>
      </c>
      <c r="F3739" s="10" t="s">
        <v>4066</v>
      </c>
      <c r="G3739" s="10" t="s">
        <v>21</v>
      </c>
      <c r="H3739" s="10" t="s">
        <v>110</v>
      </c>
      <c r="I3739" s="10" t="s">
        <v>23</v>
      </c>
      <c r="J3739" s="11">
        <v>0.83</v>
      </c>
      <c r="K3739" s="12"/>
      <c r="L3739" s="12"/>
      <c r="M3739" s="12"/>
      <c r="N3739" s="12"/>
      <c r="O3739" s="12"/>
      <c r="P3739" s="12"/>
      <c r="Q3739" s="12"/>
      <c r="R3739" s="12"/>
      <c r="S3739" s="12"/>
    </row>
    <row r="3740" spans="1:19" ht="14.25" customHeight="1" x14ac:dyDescent="0.2">
      <c r="A3740" s="1" t="s">
        <v>24</v>
      </c>
      <c r="B3740" s="7">
        <v>46112.220416666663</v>
      </c>
      <c r="C3740" s="7">
        <v>46112.232986111114</v>
      </c>
      <c r="D3740" s="8">
        <v>46112</v>
      </c>
      <c r="E3740" s="9">
        <v>0.23298611111385981</v>
      </c>
      <c r="F3740" s="10" t="s">
        <v>4067</v>
      </c>
      <c r="G3740" s="10" t="s">
        <v>21</v>
      </c>
      <c r="H3740" s="10" t="s">
        <v>101</v>
      </c>
      <c r="I3740" s="10" t="s">
        <v>23</v>
      </c>
      <c r="J3740" s="11">
        <v>1.7</v>
      </c>
      <c r="K3740" s="12"/>
      <c r="L3740" s="12"/>
      <c r="M3740" s="12"/>
      <c r="N3740" s="12"/>
      <c r="O3740" s="12"/>
      <c r="P3740" s="12"/>
      <c r="Q3740" s="12"/>
      <c r="R3740" s="12"/>
      <c r="S3740" s="12"/>
    </row>
    <row r="3741" spans="1:19" ht="14.25" customHeight="1" x14ac:dyDescent="0.2">
      <c r="A3741" s="1" t="s">
        <v>28</v>
      </c>
      <c r="B3741" s="19">
        <v>46112.861006944448</v>
      </c>
      <c r="C3741" s="19">
        <v>46112.878981481481</v>
      </c>
      <c r="D3741" s="20">
        <v>46112</v>
      </c>
      <c r="E3741" s="21">
        <v>0.87898148148087785</v>
      </c>
      <c r="F3741" s="1" t="s">
        <v>4068</v>
      </c>
      <c r="G3741" s="1" t="s">
        <v>26</v>
      </c>
      <c r="H3741" s="1" t="s">
        <v>80</v>
      </c>
      <c r="I3741" s="1" t="s">
        <v>166</v>
      </c>
      <c r="J3741" s="12">
        <v>0.56999999999999995</v>
      </c>
      <c r="K3741" s="12">
        <f>SUM(J3741,J3743,J3748,J3749,J3751,J3758,J3759,J3764,J3767,J3776,J3777,J3778,J3781,J3783,J3792)</f>
        <v>16.11</v>
      </c>
      <c r="L3741" s="12">
        <f>SUM(J3741:J3755)</f>
        <v>13.11</v>
      </c>
      <c r="M3741" s="13">
        <f>L3741*65</f>
        <v>852.15</v>
      </c>
      <c r="N3741" s="14">
        <f>MAX(500,M3741)</f>
        <v>852.15</v>
      </c>
      <c r="O3741" s="12"/>
      <c r="P3741" s="12"/>
      <c r="Q3741" s="12"/>
      <c r="R3741" s="12"/>
      <c r="S3741" s="12"/>
    </row>
    <row r="3742" spans="1:19" ht="14.25" customHeight="1" x14ac:dyDescent="0.2">
      <c r="A3742" s="1" t="s">
        <v>57</v>
      </c>
      <c r="B3742" s="7">
        <v>46112.877118055556</v>
      </c>
      <c r="C3742" s="7">
        <v>46112.88616898148</v>
      </c>
      <c r="D3742" s="8">
        <v>46112</v>
      </c>
      <c r="E3742" s="9">
        <v>0.88616898148029577</v>
      </c>
      <c r="F3742" s="10" t="s">
        <v>4069</v>
      </c>
      <c r="G3742" s="10" t="s">
        <v>21</v>
      </c>
      <c r="H3742" s="10" t="s">
        <v>59</v>
      </c>
      <c r="I3742" s="10" t="s">
        <v>23</v>
      </c>
      <c r="J3742" s="11">
        <v>0.83</v>
      </c>
      <c r="K3742" s="11">
        <f>SUM(J3742,J3744:J3746,J3747,J3750,J3752:J3757,J3760,J3761,J3762,J3763,J3765,J3766,J3768,J3769,J3770,J3771,J3772,J3773,J3774,J3775,J3779,J3780,J3782,J3784,J3785,J3786,J3787,J3788,J3789,J3790,J3791,J3793,J3794)</f>
        <v>39.979999999999997</v>
      </c>
      <c r="L3742" s="12"/>
      <c r="M3742" s="12"/>
      <c r="N3742" s="12"/>
      <c r="O3742" s="12"/>
      <c r="P3742" s="12"/>
      <c r="Q3742" s="12"/>
      <c r="R3742" s="12"/>
      <c r="S3742" s="12"/>
    </row>
    <row r="3743" spans="1:19" ht="14.25" customHeight="1" x14ac:dyDescent="0.2">
      <c r="A3743" s="1" t="s">
        <v>19</v>
      </c>
      <c r="B3743" s="19">
        <v>46112.86277777778</v>
      </c>
      <c r="C3743" s="19">
        <v>46112.886712962965</v>
      </c>
      <c r="D3743" s="20">
        <v>46112</v>
      </c>
      <c r="E3743" s="21">
        <v>0.88671296296524815</v>
      </c>
      <c r="F3743" s="1" t="s">
        <v>4070</v>
      </c>
      <c r="G3743" s="1" t="s">
        <v>21</v>
      </c>
      <c r="H3743" s="1" t="s">
        <v>41</v>
      </c>
      <c r="I3743" s="1" t="s">
        <v>166</v>
      </c>
      <c r="J3743" s="12">
        <v>1.77</v>
      </c>
      <c r="K3743" s="12"/>
      <c r="L3743" s="12"/>
      <c r="M3743" s="12"/>
      <c r="N3743" s="12"/>
      <c r="O3743" s="12"/>
      <c r="P3743" s="12"/>
      <c r="Q3743" s="12"/>
      <c r="R3743" s="12"/>
      <c r="S3743" s="12"/>
    </row>
    <row r="3744" spans="1:19" ht="14.25" customHeight="1" x14ac:dyDescent="0.2">
      <c r="A3744" s="1" t="s">
        <v>46</v>
      </c>
      <c r="B3744" s="7">
        <v>46112.873576388891</v>
      </c>
      <c r="C3744" s="7">
        <v>46112.889120370368</v>
      </c>
      <c r="D3744" s="8">
        <v>46112</v>
      </c>
      <c r="E3744" s="9">
        <v>0.88912037036789116</v>
      </c>
      <c r="F3744" s="10" t="s">
        <v>4071</v>
      </c>
      <c r="G3744" s="10" t="s">
        <v>21</v>
      </c>
      <c r="H3744" s="10" t="s">
        <v>22</v>
      </c>
      <c r="I3744" s="10" t="s">
        <v>23</v>
      </c>
      <c r="J3744" s="11">
        <v>0.83</v>
      </c>
      <c r="K3744" s="12"/>
      <c r="L3744" s="12"/>
      <c r="M3744" s="12"/>
      <c r="N3744" s="12"/>
      <c r="O3744" s="12"/>
      <c r="P3744" s="12"/>
      <c r="Q3744" s="12"/>
      <c r="R3744" s="12"/>
      <c r="S3744" s="12"/>
    </row>
    <row r="3745" spans="1:19" ht="14.25" customHeight="1" x14ac:dyDescent="0.2">
      <c r="A3745" s="1" t="s">
        <v>42</v>
      </c>
      <c r="B3745" s="7">
        <v>46112.857847222222</v>
      </c>
      <c r="C3745" s="7">
        <v>46112.889386574076</v>
      </c>
      <c r="D3745" s="8">
        <v>46112</v>
      </c>
      <c r="E3745" s="9">
        <v>0.8893865740756155</v>
      </c>
      <c r="F3745" s="10" t="s">
        <v>4072</v>
      </c>
      <c r="G3745" s="10" t="s">
        <v>26</v>
      </c>
      <c r="H3745" s="10" t="s">
        <v>76</v>
      </c>
      <c r="I3745" s="10" t="s">
        <v>23</v>
      </c>
      <c r="J3745" s="11">
        <v>0.75</v>
      </c>
      <c r="K3745" s="12"/>
      <c r="L3745" s="12"/>
      <c r="M3745" s="12"/>
      <c r="N3745" s="12"/>
      <c r="O3745" s="12"/>
      <c r="P3745" s="12"/>
      <c r="Q3745" s="12"/>
      <c r="R3745" s="12"/>
      <c r="S3745" s="12"/>
    </row>
    <row r="3746" spans="1:19" ht="14.25" customHeight="1" x14ac:dyDescent="0.2">
      <c r="A3746" s="1" t="s">
        <v>33</v>
      </c>
      <c r="B3746" s="7">
        <v>46112.887361111112</v>
      </c>
      <c r="C3746" s="7">
        <v>46112.892928240741</v>
      </c>
      <c r="D3746" s="8">
        <v>46112</v>
      </c>
      <c r="E3746" s="9">
        <v>0.89292824074072996</v>
      </c>
      <c r="F3746" s="10" t="s">
        <v>4073</v>
      </c>
      <c r="G3746" s="10" t="s">
        <v>44</v>
      </c>
      <c r="H3746" s="10" t="s">
        <v>185</v>
      </c>
      <c r="I3746" s="10" t="s">
        <v>23</v>
      </c>
      <c r="J3746" s="11">
        <v>0.18</v>
      </c>
      <c r="K3746" s="12"/>
      <c r="L3746" s="12"/>
      <c r="M3746" s="12"/>
      <c r="N3746" s="12"/>
      <c r="O3746" s="12"/>
      <c r="P3746" s="12"/>
      <c r="Q3746" s="12"/>
      <c r="R3746" s="12"/>
      <c r="S3746" s="12"/>
    </row>
    <row r="3747" spans="1:19" ht="14.25" customHeight="1" x14ac:dyDescent="0.2">
      <c r="A3747" s="1" t="s">
        <v>24</v>
      </c>
      <c r="B3747" s="7">
        <v>46112.8828587963</v>
      </c>
      <c r="C3747" s="7">
        <v>46112.89644675926</v>
      </c>
      <c r="D3747" s="8">
        <v>46112</v>
      </c>
      <c r="E3747" s="9">
        <v>0.89644675925956108</v>
      </c>
      <c r="F3747" s="10" t="s">
        <v>4074</v>
      </c>
      <c r="G3747" s="10" t="s">
        <v>21</v>
      </c>
      <c r="H3747" s="10" t="s">
        <v>54</v>
      </c>
      <c r="I3747" s="10" t="s">
        <v>23</v>
      </c>
      <c r="J3747" s="11">
        <v>0.83</v>
      </c>
      <c r="K3747" s="12"/>
      <c r="L3747" s="12"/>
      <c r="M3747" s="12"/>
      <c r="N3747" s="12"/>
      <c r="O3747" s="12"/>
      <c r="P3747" s="12"/>
      <c r="Q3747" s="12"/>
      <c r="R3747" s="12"/>
      <c r="S3747" s="12"/>
    </row>
    <row r="3748" spans="1:19" ht="14.25" customHeight="1" x14ac:dyDescent="0.2">
      <c r="A3748" s="1" t="s">
        <v>33</v>
      </c>
      <c r="B3748" s="19">
        <v>46112.714085648149</v>
      </c>
      <c r="C3748" s="19">
        <v>46112.898472222223</v>
      </c>
      <c r="D3748" s="20">
        <v>46112</v>
      </c>
      <c r="E3748" s="21">
        <v>0.898472222223063</v>
      </c>
      <c r="F3748" s="1" t="s">
        <v>4075</v>
      </c>
      <c r="G3748" s="1" t="s">
        <v>21</v>
      </c>
      <c r="H3748" s="1" t="s">
        <v>4076</v>
      </c>
      <c r="I3748" s="1" t="s">
        <v>166</v>
      </c>
      <c r="J3748" s="12">
        <v>1.05</v>
      </c>
      <c r="K3748" s="12"/>
      <c r="L3748" s="12"/>
      <c r="M3748" s="12"/>
      <c r="N3748" s="12"/>
      <c r="O3748" s="12"/>
      <c r="P3748" s="12"/>
      <c r="Q3748" s="12"/>
      <c r="R3748" s="12"/>
      <c r="S3748" s="12"/>
    </row>
    <row r="3749" spans="1:19" ht="14.25" customHeight="1" x14ac:dyDescent="0.2">
      <c r="A3749" s="1" t="s">
        <v>42</v>
      </c>
      <c r="B3749" s="19">
        <v>46112.859560185185</v>
      </c>
      <c r="C3749" s="19">
        <v>46112.903379629628</v>
      </c>
      <c r="D3749" s="20">
        <v>46112</v>
      </c>
      <c r="E3749" s="21">
        <v>0.90337962962803431</v>
      </c>
      <c r="F3749" s="1" t="s">
        <v>4077</v>
      </c>
      <c r="G3749" s="1" t="s">
        <v>26</v>
      </c>
      <c r="H3749" s="1" t="s">
        <v>664</v>
      </c>
      <c r="I3749" s="1" t="s">
        <v>166</v>
      </c>
      <c r="J3749" s="12">
        <v>0.57999999999999996</v>
      </c>
      <c r="K3749" s="12"/>
      <c r="L3749" s="12"/>
      <c r="M3749" s="12"/>
      <c r="N3749" s="12"/>
      <c r="O3749" s="12"/>
      <c r="P3749" s="12"/>
      <c r="Q3749" s="12"/>
      <c r="R3749" s="12"/>
      <c r="S3749" s="12"/>
    </row>
    <row r="3750" spans="1:19" ht="14.25" customHeight="1" x14ac:dyDescent="0.2">
      <c r="A3750" s="1" t="s">
        <v>24</v>
      </c>
      <c r="B3750" s="7">
        <v>46112.892060185186</v>
      </c>
      <c r="C3750" s="7">
        <v>46112.908391203702</v>
      </c>
      <c r="D3750" s="8">
        <v>46112</v>
      </c>
      <c r="E3750" s="9">
        <v>0.90839120370219462</v>
      </c>
      <c r="F3750" s="10" t="s">
        <v>4078</v>
      </c>
      <c r="G3750" s="10" t="s">
        <v>21</v>
      </c>
      <c r="H3750" s="10" t="s">
        <v>3553</v>
      </c>
      <c r="I3750" s="10" t="s">
        <v>23</v>
      </c>
      <c r="J3750" s="11">
        <v>0.98</v>
      </c>
      <c r="K3750" s="12"/>
      <c r="L3750" s="12"/>
      <c r="M3750" s="12"/>
      <c r="N3750" s="12"/>
      <c r="O3750" s="12"/>
      <c r="P3750" s="12"/>
      <c r="Q3750" s="12"/>
      <c r="R3750" s="12"/>
      <c r="S3750" s="12"/>
    </row>
    <row r="3751" spans="1:19" ht="14.25" customHeight="1" x14ac:dyDescent="0.2">
      <c r="A3751" s="1" t="s">
        <v>42</v>
      </c>
      <c r="B3751" s="19">
        <v>46112.867013888892</v>
      </c>
      <c r="C3751" s="19">
        <v>46112.908483796295</v>
      </c>
      <c r="D3751" s="20">
        <v>46112</v>
      </c>
      <c r="E3751" s="21">
        <v>0.90848379629460396</v>
      </c>
      <c r="F3751" s="1" t="s">
        <v>4079</v>
      </c>
      <c r="G3751" s="1" t="s">
        <v>26</v>
      </c>
      <c r="H3751" s="1" t="s">
        <v>56</v>
      </c>
      <c r="I3751" s="1" t="s">
        <v>166</v>
      </c>
      <c r="J3751" s="12">
        <v>0.73</v>
      </c>
      <c r="K3751" s="12"/>
      <c r="L3751" s="12"/>
      <c r="M3751" s="12"/>
      <c r="N3751" s="12"/>
      <c r="O3751" s="12"/>
      <c r="P3751" s="12"/>
      <c r="Q3751" s="12"/>
      <c r="R3751" s="12"/>
      <c r="S3751" s="12"/>
    </row>
    <row r="3752" spans="1:19" ht="14.25" customHeight="1" x14ac:dyDescent="0.2">
      <c r="A3752" s="1" t="s">
        <v>19</v>
      </c>
      <c r="B3752" s="7">
        <v>46112.890474537038</v>
      </c>
      <c r="C3752" s="7">
        <v>46112.909317129626</v>
      </c>
      <c r="D3752" s="8">
        <v>46112</v>
      </c>
      <c r="E3752" s="9">
        <v>0.90931712962628808</v>
      </c>
      <c r="F3752" s="10" t="s">
        <v>4080</v>
      </c>
      <c r="G3752" s="10" t="s">
        <v>21</v>
      </c>
      <c r="H3752" s="10" t="s">
        <v>41</v>
      </c>
      <c r="I3752" s="10" t="s">
        <v>23</v>
      </c>
      <c r="J3752" s="11">
        <v>1.77</v>
      </c>
      <c r="K3752" s="12"/>
      <c r="L3752" s="12"/>
      <c r="M3752" s="12"/>
      <c r="N3752" s="12"/>
      <c r="O3752" s="12"/>
      <c r="P3752" s="12"/>
      <c r="Q3752" s="12"/>
      <c r="R3752" s="12"/>
      <c r="S3752" s="12"/>
    </row>
    <row r="3753" spans="1:19" ht="14.25" customHeight="1" x14ac:dyDescent="0.2">
      <c r="A3753" s="1" t="s">
        <v>24</v>
      </c>
      <c r="B3753" s="7">
        <v>46112.899791666663</v>
      </c>
      <c r="C3753" s="7">
        <v>46112.910717592589</v>
      </c>
      <c r="D3753" s="8">
        <v>46112</v>
      </c>
      <c r="E3753" s="9">
        <v>0.91071759258920792</v>
      </c>
      <c r="F3753" s="10" t="s">
        <v>4081</v>
      </c>
      <c r="G3753" s="10" t="s">
        <v>26</v>
      </c>
      <c r="H3753" s="10" t="s">
        <v>1260</v>
      </c>
      <c r="I3753" s="10" t="s">
        <v>23</v>
      </c>
      <c r="J3753" s="11">
        <v>0.57999999999999996</v>
      </c>
      <c r="K3753" s="12"/>
      <c r="L3753" s="12"/>
      <c r="M3753" s="12"/>
      <c r="N3753" s="12"/>
      <c r="O3753" s="12"/>
      <c r="P3753" s="12"/>
      <c r="Q3753" s="12"/>
      <c r="R3753" s="12"/>
      <c r="S3753" s="12"/>
    </row>
    <row r="3754" spans="1:19" ht="14.25" customHeight="1" x14ac:dyDescent="0.2">
      <c r="A3754" s="1" t="s">
        <v>19</v>
      </c>
      <c r="B3754" s="7">
        <v>46112.899606481478</v>
      </c>
      <c r="C3754" s="7">
        <v>46112.912407407406</v>
      </c>
      <c r="D3754" s="8">
        <v>46112</v>
      </c>
      <c r="E3754" s="9">
        <v>0.91240740740613546</v>
      </c>
      <c r="F3754" s="10" t="s">
        <v>4082</v>
      </c>
      <c r="G3754" s="10" t="s">
        <v>21</v>
      </c>
      <c r="H3754" s="10" t="s">
        <v>22</v>
      </c>
      <c r="I3754" s="10" t="s">
        <v>23</v>
      </c>
      <c r="J3754" s="11">
        <v>0.83</v>
      </c>
      <c r="K3754" s="12"/>
      <c r="L3754" s="12"/>
      <c r="M3754" s="12"/>
      <c r="N3754" s="12"/>
      <c r="O3754" s="12"/>
      <c r="P3754" s="12"/>
      <c r="Q3754" s="12"/>
      <c r="R3754" s="12"/>
      <c r="S3754" s="12"/>
    </row>
    <row r="3755" spans="1:19" ht="14.25" customHeight="1" x14ac:dyDescent="0.2">
      <c r="A3755" s="1" t="s">
        <v>19</v>
      </c>
      <c r="B3755" s="7">
        <v>46112.904074074075</v>
      </c>
      <c r="C3755" s="7">
        <v>46112.915578703702</v>
      </c>
      <c r="D3755" s="8">
        <v>46112</v>
      </c>
      <c r="E3755" s="9">
        <v>0.91557870370161254</v>
      </c>
      <c r="F3755" s="10" t="s">
        <v>4083</v>
      </c>
      <c r="G3755" s="10" t="s">
        <v>21</v>
      </c>
      <c r="H3755" s="10" t="s">
        <v>54</v>
      </c>
      <c r="I3755" s="10" t="s">
        <v>23</v>
      </c>
      <c r="J3755" s="11">
        <v>0.83</v>
      </c>
      <c r="K3755" s="12"/>
      <c r="L3755" s="12"/>
      <c r="M3755" s="12"/>
      <c r="N3755" s="12"/>
      <c r="O3755" s="12"/>
      <c r="P3755" s="12"/>
      <c r="Q3755" s="12"/>
      <c r="R3755" s="12"/>
      <c r="S3755" s="12"/>
    </row>
    <row r="3756" spans="1:19" ht="14.25" customHeight="1" x14ac:dyDescent="0.2">
      <c r="A3756" s="1" t="s">
        <v>33</v>
      </c>
      <c r="B3756" s="7">
        <v>46112.901712962965</v>
      </c>
      <c r="C3756" s="7">
        <v>46112.918923611112</v>
      </c>
      <c r="D3756" s="8">
        <v>46112</v>
      </c>
      <c r="E3756" s="9">
        <v>0.91892361111240461</v>
      </c>
      <c r="F3756" s="10" t="s">
        <v>4084</v>
      </c>
      <c r="G3756" s="10" t="s">
        <v>21</v>
      </c>
      <c r="H3756" s="10" t="s">
        <v>22</v>
      </c>
      <c r="I3756" s="10" t="s">
        <v>23</v>
      </c>
      <c r="J3756" s="11">
        <v>0.83</v>
      </c>
      <c r="K3756" s="12"/>
      <c r="L3756" s="12">
        <f>SUM(J3756:J3772)</f>
        <v>19.039999999999996</v>
      </c>
      <c r="M3756" s="13">
        <f>L3756*65</f>
        <v>1237.5999999999997</v>
      </c>
      <c r="N3756" s="14">
        <f>MAX(500,M3756)</f>
        <v>1237.5999999999997</v>
      </c>
      <c r="O3756" s="12"/>
      <c r="P3756" s="12"/>
      <c r="Q3756" s="12"/>
      <c r="R3756" s="12"/>
      <c r="S3756" s="12"/>
    </row>
    <row r="3757" spans="1:19" ht="14.25" customHeight="1" x14ac:dyDescent="0.2">
      <c r="A3757" s="1" t="s">
        <v>33</v>
      </c>
      <c r="B3757" s="7">
        <v>46112.901712962965</v>
      </c>
      <c r="C3757" s="7">
        <v>46112.919305555559</v>
      </c>
      <c r="D3757" s="8">
        <v>46112</v>
      </c>
      <c r="E3757" s="9">
        <v>0.91930555555882165</v>
      </c>
      <c r="F3757" s="10" t="s">
        <v>4085</v>
      </c>
      <c r="G3757" s="10" t="s">
        <v>21</v>
      </c>
      <c r="H3757" s="10" t="s">
        <v>467</v>
      </c>
      <c r="I3757" s="10" t="s">
        <v>23</v>
      </c>
      <c r="J3757" s="11">
        <v>2.75</v>
      </c>
      <c r="K3757" s="12"/>
      <c r="L3757" s="12"/>
      <c r="M3757" s="12"/>
      <c r="N3757" s="12"/>
      <c r="O3757" s="12"/>
      <c r="P3757" s="12"/>
      <c r="Q3757" s="12"/>
      <c r="R3757" s="12"/>
      <c r="S3757" s="12"/>
    </row>
    <row r="3758" spans="1:19" ht="14.25" customHeight="1" x14ac:dyDescent="0.2">
      <c r="A3758" s="1" t="s">
        <v>28</v>
      </c>
      <c r="B3758" s="19">
        <v>46112.87940972222</v>
      </c>
      <c r="C3758" s="19">
        <v>46112.923726851855</v>
      </c>
      <c r="D3758" s="20">
        <v>46112</v>
      </c>
      <c r="E3758" s="21">
        <v>0.92372685185546288</v>
      </c>
      <c r="F3758" s="1" t="s">
        <v>4086</v>
      </c>
      <c r="G3758" s="1" t="s">
        <v>26</v>
      </c>
      <c r="H3758" s="1" t="s">
        <v>1614</v>
      </c>
      <c r="I3758" s="1" t="s">
        <v>166</v>
      </c>
      <c r="J3758" s="12">
        <v>0.62</v>
      </c>
      <c r="K3758" s="12"/>
      <c r="L3758" s="12"/>
      <c r="M3758" s="12"/>
      <c r="N3758" s="12"/>
      <c r="O3758" s="12"/>
      <c r="P3758" s="12"/>
      <c r="Q3758" s="12"/>
      <c r="R3758" s="12"/>
      <c r="S3758" s="12"/>
    </row>
    <row r="3759" spans="1:19" ht="14.25" customHeight="1" x14ac:dyDescent="0.2">
      <c r="A3759" s="1" t="s">
        <v>28</v>
      </c>
      <c r="B3759" s="19">
        <v>46112.911585648151</v>
      </c>
      <c r="C3759" s="19">
        <v>46112.927731481483</v>
      </c>
      <c r="D3759" s="20">
        <v>46112</v>
      </c>
      <c r="E3759" s="21">
        <v>0.92773148148262408</v>
      </c>
      <c r="F3759" s="1" t="s">
        <v>4087</v>
      </c>
      <c r="G3759" s="1" t="s">
        <v>21</v>
      </c>
      <c r="H3759" s="1" t="s">
        <v>41</v>
      </c>
      <c r="I3759" s="1" t="s">
        <v>166</v>
      </c>
      <c r="J3759" s="12">
        <v>1.77</v>
      </c>
      <c r="K3759" s="12"/>
      <c r="L3759" s="12"/>
      <c r="M3759" s="12"/>
      <c r="N3759" s="12"/>
      <c r="O3759" s="12"/>
      <c r="P3759" s="12"/>
      <c r="Q3759" s="12"/>
      <c r="R3759" s="12"/>
      <c r="S3759" s="12"/>
    </row>
    <row r="3760" spans="1:19" ht="14.25" customHeight="1" x14ac:dyDescent="0.2">
      <c r="A3760" s="1" t="s">
        <v>33</v>
      </c>
      <c r="B3760" s="7">
        <v>46112.912777777776</v>
      </c>
      <c r="C3760" s="7">
        <v>46112.93241898148</v>
      </c>
      <c r="D3760" s="8">
        <v>46112</v>
      </c>
      <c r="E3760" s="9">
        <v>0.93241898147971369</v>
      </c>
      <c r="F3760" s="10" t="s">
        <v>4088</v>
      </c>
      <c r="G3760" s="10" t="s">
        <v>21</v>
      </c>
      <c r="H3760" s="10" t="s">
        <v>41</v>
      </c>
      <c r="I3760" s="10" t="s">
        <v>23</v>
      </c>
      <c r="J3760" s="11">
        <v>1.77</v>
      </c>
      <c r="K3760" s="12"/>
      <c r="L3760" s="12"/>
      <c r="M3760" s="12"/>
      <c r="N3760" s="12"/>
      <c r="O3760" s="12"/>
      <c r="P3760" s="12"/>
      <c r="Q3760" s="12"/>
      <c r="R3760" s="12"/>
      <c r="S3760" s="12"/>
    </row>
    <row r="3761" spans="1:19" ht="14.25" customHeight="1" x14ac:dyDescent="0.2">
      <c r="A3761" s="1" t="s">
        <v>33</v>
      </c>
      <c r="B3761" s="7">
        <v>46112.924710648149</v>
      </c>
      <c r="C3761" s="7">
        <v>46112.936180555553</v>
      </c>
      <c r="D3761" s="8">
        <v>46112</v>
      </c>
      <c r="E3761" s="9">
        <v>0.93618055555270985</v>
      </c>
      <c r="F3761" s="10" t="s">
        <v>4089</v>
      </c>
      <c r="G3761" s="10" t="s">
        <v>21</v>
      </c>
      <c r="H3761" s="10" t="s">
        <v>22</v>
      </c>
      <c r="I3761" s="10" t="s">
        <v>23</v>
      </c>
      <c r="J3761" s="11">
        <v>0.83</v>
      </c>
      <c r="K3761" s="12"/>
      <c r="L3761" s="12"/>
      <c r="M3761" s="12"/>
      <c r="N3761" s="12"/>
      <c r="O3761" s="12"/>
      <c r="P3761" s="12"/>
      <c r="Q3761" s="12"/>
      <c r="R3761" s="12"/>
      <c r="S3761" s="12"/>
    </row>
    <row r="3762" spans="1:19" ht="14.25" customHeight="1" x14ac:dyDescent="0.2">
      <c r="A3762" s="1" t="s">
        <v>24</v>
      </c>
      <c r="B3762" s="7">
        <v>46112.914837962962</v>
      </c>
      <c r="C3762" s="7">
        <v>46112.937002314815</v>
      </c>
      <c r="D3762" s="8">
        <v>46112</v>
      </c>
      <c r="E3762" s="9">
        <v>0.93700231481489027</v>
      </c>
      <c r="F3762" s="10" t="s">
        <v>4090</v>
      </c>
      <c r="G3762" s="10" t="s">
        <v>26</v>
      </c>
      <c r="H3762" s="10" t="s">
        <v>1019</v>
      </c>
      <c r="I3762" s="10" t="s">
        <v>23</v>
      </c>
      <c r="J3762" s="11">
        <v>0.67</v>
      </c>
      <c r="K3762" s="12"/>
      <c r="L3762" s="12"/>
      <c r="M3762" s="12"/>
      <c r="N3762" s="12"/>
      <c r="O3762" s="12"/>
      <c r="P3762" s="12"/>
      <c r="Q3762" s="12"/>
      <c r="R3762" s="12"/>
      <c r="S3762" s="12"/>
    </row>
    <row r="3763" spans="1:19" ht="14.25" customHeight="1" x14ac:dyDescent="0.2">
      <c r="A3763" s="1" t="s">
        <v>28</v>
      </c>
      <c r="B3763" s="7">
        <v>46112.932962962965</v>
      </c>
      <c r="C3763" s="7">
        <v>46112.945231481484</v>
      </c>
      <c r="D3763" s="8">
        <v>46112</v>
      </c>
      <c r="E3763" s="9">
        <v>0.94523148148437031</v>
      </c>
      <c r="F3763" s="10" t="s">
        <v>4091</v>
      </c>
      <c r="G3763" s="10" t="s">
        <v>21</v>
      </c>
      <c r="H3763" s="10" t="s">
        <v>39</v>
      </c>
      <c r="I3763" s="10" t="s">
        <v>23</v>
      </c>
      <c r="J3763" s="11">
        <v>1.77</v>
      </c>
      <c r="K3763" s="12"/>
      <c r="L3763" s="12"/>
      <c r="M3763" s="12"/>
      <c r="N3763" s="12"/>
      <c r="O3763" s="12"/>
      <c r="P3763" s="12"/>
      <c r="Q3763" s="12"/>
      <c r="R3763" s="12"/>
      <c r="S3763" s="12"/>
    </row>
    <row r="3764" spans="1:19" ht="14.25" customHeight="1" x14ac:dyDescent="0.2">
      <c r="A3764" s="1" t="s">
        <v>42</v>
      </c>
      <c r="B3764" s="19">
        <v>46112.91134259259</v>
      </c>
      <c r="C3764" s="19">
        <v>46112.945868055554</v>
      </c>
      <c r="D3764" s="20">
        <v>46112</v>
      </c>
      <c r="E3764" s="21">
        <v>0.94586805555445608</v>
      </c>
      <c r="F3764" s="1" t="s">
        <v>4092</v>
      </c>
      <c r="G3764" s="1" t="s">
        <v>26</v>
      </c>
      <c r="H3764" s="1" t="s">
        <v>172</v>
      </c>
      <c r="I3764" s="1" t="s">
        <v>166</v>
      </c>
      <c r="J3764" s="12">
        <v>0.67</v>
      </c>
      <c r="K3764" s="12"/>
      <c r="L3764" s="12"/>
      <c r="M3764" s="12"/>
      <c r="N3764" s="12"/>
      <c r="O3764" s="12"/>
      <c r="P3764" s="12"/>
      <c r="Q3764" s="12"/>
      <c r="R3764" s="12"/>
      <c r="S3764" s="12"/>
    </row>
    <row r="3765" spans="1:19" ht="14.25" customHeight="1" x14ac:dyDescent="0.2">
      <c r="A3765" s="1" t="s">
        <v>46</v>
      </c>
      <c r="B3765" s="7">
        <v>46112.934386574074</v>
      </c>
      <c r="C3765" s="7">
        <v>46112.946423611109</v>
      </c>
      <c r="D3765" s="8">
        <v>46112</v>
      </c>
      <c r="E3765" s="9">
        <v>0.94642361110891216</v>
      </c>
      <c r="F3765" s="10" t="s">
        <v>4093</v>
      </c>
      <c r="G3765" s="10" t="s">
        <v>21</v>
      </c>
      <c r="H3765" s="10" t="s">
        <v>22</v>
      </c>
      <c r="I3765" s="10" t="s">
        <v>23</v>
      </c>
      <c r="J3765" s="11">
        <v>0.83</v>
      </c>
      <c r="K3765" s="12"/>
      <c r="L3765" s="12"/>
      <c r="M3765" s="12"/>
      <c r="N3765" s="12"/>
      <c r="O3765" s="12"/>
      <c r="P3765" s="12"/>
      <c r="Q3765" s="12"/>
      <c r="R3765" s="12"/>
      <c r="S3765" s="12"/>
    </row>
    <row r="3766" spans="1:19" ht="14.25" customHeight="1" x14ac:dyDescent="0.2">
      <c r="A3766" s="1" t="s">
        <v>19</v>
      </c>
      <c r="B3766" s="7">
        <v>46112.911597222221</v>
      </c>
      <c r="C3766" s="7">
        <v>46112.946956018517</v>
      </c>
      <c r="D3766" s="8">
        <v>46112</v>
      </c>
      <c r="E3766" s="9">
        <v>0.94695601851708489</v>
      </c>
      <c r="F3766" s="10" t="s">
        <v>4094</v>
      </c>
      <c r="G3766" s="10" t="s">
        <v>21</v>
      </c>
      <c r="H3766" s="10" t="s">
        <v>39</v>
      </c>
      <c r="I3766" s="10" t="s">
        <v>23</v>
      </c>
      <c r="J3766" s="11">
        <v>1.77</v>
      </c>
      <c r="K3766" s="12"/>
      <c r="L3766" s="12"/>
      <c r="M3766" s="12"/>
      <c r="N3766" s="12"/>
      <c r="O3766" s="12"/>
      <c r="P3766" s="12"/>
      <c r="Q3766" s="12"/>
      <c r="R3766" s="12"/>
      <c r="S3766" s="12"/>
    </row>
    <row r="3767" spans="1:19" ht="14.25" customHeight="1" x14ac:dyDescent="0.2">
      <c r="A3767" s="1" t="s">
        <v>28</v>
      </c>
      <c r="B3767" s="19">
        <v>46112.933321759258</v>
      </c>
      <c r="C3767" s="19">
        <v>46112.947118055556</v>
      </c>
      <c r="D3767" s="20">
        <v>46112</v>
      </c>
      <c r="E3767" s="21">
        <v>0.94711805555562023</v>
      </c>
      <c r="F3767" s="1" t="s">
        <v>4095</v>
      </c>
      <c r="G3767" s="1" t="s">
        <v>26</v>
      </c>
      <c r="H3767" s="1" t="s">
        <v>1019</v>
      </c>
      <c r="I3767" s="1" t="s">
        <v>166</v>
      </c>
      <c r="J3767" s="12">
        <v>0.67</v>
      </c>
      <c r="K3767" s="12"/>
      <c r="L3767" s="12"/>
      <c r="M3767" s="12"/>
      <c r="N3767" s="12"/>
      <c r="O3767" s="12"/>
      <c r="P3767" s="12"/>
      <c r="Q3767" s="12"/>
      <c r="R3767" s="12"/>
      <c r="S3767" s="12"/>
    </row>
    <row r="3768" spans="1:19" ht="14.25" customHeight="1" x14ac:dyDescent="0.2">
      <c r="A3768" s="1" t="s">
        <v>24</v>
      </c>
      <c r="B3768" s="7">
        <v>46112.924571759257</v>
      </c>
      <c r="C3768" s="7">
        <v>46112.947453703702</v>
      </c>
      <c r="D3768" s="8">
        <v>46112</v>
      </c>
      <c r="E3768" s="9">
        <v>0.94745370370219462</v>
      </c>
      <c r="F3768" s="10" t="s">
        <v>4096</v>
      </c>
      <c r="G3768" s="10" t="s">
        <v>21</v>
      </c>
      <c r="H3768" s="10" t="s">
        <v>2390</v>
      </c>
      <c r="I3768" s="10" t="s">
        <v>23</v>
      </c>
      <c r="J3768" s="11">
        <v>1.24</v>
      </c>
      <c r="K3768" s="12"/>
      <c r="L3768" s="12"/>
      <c r="M3768" s="12"/>
      <c r="N3768" s="12"/>
      <c r="O3768" s="12"/>
      <c r="P3768" s="12"/>
      <c r="Q3768" s="12"/>
      <c r="R3768" s="12"/>
      <c r="S3768" s="12"/>
    </row>
    <row r="3769" spans="1:19" ht="14.25" customHeight="1" x14ac:dyDescent="0.2">
      <c r="A3769" s="1" t="s">
        <v>57</v>
      </c>
      <c r="B3769" s="7">
        <v>46112.941006944442</v>
      </c>
      <c r="C3769" s="7">
        <v>46112.952662037038</v>
      </c>
      <c r="D3769" s="8">
        <v>46112</v>
      </c>
      <c r="E3769" s="9">
        <v>0.95266203703795327</v>
      </c>
      <c r="F3769" s="10" t="s">
        <v>4097</v>
      </c>
      <c r="G3769" s="10" t="s">
        <v>21</v>
      </c>
      <c r="H3769" s="10" t="s">
        <v>59</v>
      </c>
      <c r="I3769" s="10" t="s">
        <v>23</v>
      </c>
      <c r="J3769" s="11">
        <v>0.83</v>
      </c>
      <c r="K3769" s="12"/>
      <c r="L3769" s="12"/>
      <c r="M3769" s="12"/>
      <c r="N3769" s="12"/>
      <c r="O3769" s="12"/>
      <c r="P3769" s="12"/>
      <c r="Q3769" s="12"/>
      <c r="R3769" s="12"/>
      <c r="S3769" s="12"/>
    </row>
    <row r="3770" spans="1:19" ht="14.25" customHeight="1" x14ac:dyDescent="0.2">
      <c r="A3770" s="1" t="s">
        <v>57</v>
      </c>
      <c r="B3770" s="7">
        <v>46112.943749999999</v>
      </c>
      <c r="C3770" s="7">
        <v>46112.952777777777</v>
      </c>
      <c r="D3770" s="8">
        <v>46112</v>
      </c>
      <c r="E3770" s="9">
        <v>0.95277777777664596</v>
      </c>
      <c r="F3770" s="10" t="s">
        <v>4098</v>
      </c>
      <c r="G3770" s="10" t="s">
        <v>21</v>
      </c>
      <c r="H3770" s="10" t="s">
        <v>710</v>
      </c>
      <c r="I3770" s="10" t="s">
        <v>23</v>
      </c>
      <c r="J3770" s="11">
        <v>0.98</v>
      </c>
      <c r="K3770" s="12"/>
      <c r="L3770" s="12"/>
      <c r="M3770" s="12"/>
      <c r="N3770" s="12"/>
      <c r="O3770" s="12"/>
      <c r="P3770" s="12"/>
      <c r="Q3770" s="12"/>
      <c r="R3770" s="12"/>
      <c r="S3770" s="12"/>
    </row>
    <row r="3771" spans="1:19" ht="14.25" customHeight="1" x14ac:dyDescent="0.2">
      <c r="A3771" s="1" t="s">
        <v>57</v>
      </c>
      <c r="B3771" s="7">
        <v>46112.942233796297</v>
      </c>
      <c r="C3771" s="7">
        <v>46112.953460648147</v>
      </c>
      <c r="D3771" s="8">
        <v>46112</v>
      </c>
      <c r="E3771" s="9">
        <v>0.95346064814657439</v>
      </c>
      <c r="F3771" s="10" t="s">
        <v>4099</v>
      </c>
      <c r="G3771" s="10" t="s">
        <v>21</v>
      </c>
      <c r="H3771" s="10" t="s">
        <v>2165</v>
      </c>
      <c r="I3771" s="10" t="s">
        <v>23</v>
      </c>
      <c r="J3771" s="11">
        <v>0.83</v>
      </c>
      <c r="K3771" s="12"/>
      <c r="L3771" s="12"/>
      <c r="M3771" s="12"/>
      <c r="N3771" s="12"/>
      <c r="O3771" s="12"/>
      <c r="P3771" s="12"/>
      <c r="Q3771" s="12"/>
      <c r="R3771" s="12"/>
      <c r="S3771" s="12"/>
    </row>
    <row r="3772" spans="1:19" ht="14.25" customHeight="1" x14ac:dyDescent="0.2">
      <c r="A3772" s="1" t="s">
        <v>42</v>
      </c>
      <c r="B3772" s="7">
        <v>46112.947928240741</v>
      </c>
      <c r="C3772" s="7">
        <v>46112.955752314818</v>
      </c>
      <c r="D3772" s="8">
        <v>46112</v>
      </c>
      <c r="E3772" s="9">
        <v>0.95575231481780065</v>
      </c>
      <c r="F3772" s="10" t="s">
        <v>4100</v>
      </c>
      <c r="G3772" s="10" t="s">
        <v>44</v>
      </c>
      <c r="H3772" s="10" t="s">
        <v>48</v>
      </c>
      <c r="I3772" s="10" t="s">
        <v>23</v>
      </c>
      <c r="J3772" s="11">
        <v>0.21</v>
      </c>
      <c r="K3772" s="12"/>
      <c r="L3772" s="12"/>
      <c r="M3772" s="12"/>
      <c r="N3772" s="12"/>
      <c r="O3772" s="12"/>
      <c r="P3772" s="12"/>
      <c r="Q3772" s="12"/>
      <c r="R3772" s="12"/>
      <c r="S3772" s="12"/>
    </row>
    <row r="3773" spans="1:19" ht="14.25" customHeight="1" x14ac:dyDescent="0.2">
      <c r="A3773" s="1" t="s">
        <v>57</v>
      </c>
      <c r="B3773" s="7">
        <v>46112.952731481484</v>
      </c>
      <c r="C3773" s="7">
        <v>46112.960879629631</v>
      </c>
      <c r="D3773" s="8">
        <v>46112</v>
      </c>
      <c r="E3773" s="9">
        <v>0.96087962963065365</v>
      </c>
      <c r="F3773" s="10" t="s">
        <v>4101</v>
      </c>
      <c r="G3773" s="10" t="s">
        <v>21</v>
      </c>
      <c r="H3773" s="10" t="s">
        <v>59</v>
      </c>
      <c r="I3773" s="10" t="s">
        <v>23</v>
      </c>
      <c r="J3773" s="11">
        <v>0.83</v>
      </c>
      <c r="K3773" s="12"/>
      <c r="L3773" s="12">
        <f>SUM(J3773:J3794)</f>
        <v>23.939999999999998</v>
      </c>
      <c r="M3773" s="13">
        <f>L3773*65</f>
        <v>1556.1</v>
      </c>
      <c r="N3773" s="14">
        <f>MAX(500,M3773)</f>
        <v>1556.1</v>
      </c>
      <c r="O3773" s="12"/>
      <c r="P3773" s="12"/>
      <c r="Q3773" s="12"/>
      <c r="R3773" s="12"/>
      <c r="S3773" s="12"/>
    </row>
    <row r="3774" spans="1:19" ht="14.25" customHeight="1" x14ac:dyDescent="0.2">
      <c r="A3774" s="1" t="s">
        <v>24</v>
      </c>
      <c r="B3774" s="7">
        <v>46112.94972222222</v>
      </c>
      <c r="C3774" s="7">
        <v>46112.961446759262</v>
      </c>
      <c r="D3774" s="8">
        <v>46112</v>
      </c>
      <c r="E3774" s="9">
        <v>0.96144675926188938</v>
      </c>
      <c r="F3774" s="10" t="s">
        <v>4102</v>
      </c>
      <c r="G3774" s="10" t="s">
        <v>21</v>
      </c>
      <c r="H3774" s="10" t="s">
        <v>41</v>
      </c>
      <c r="I3774" s="10" t="s">
        <v>23</v>
      </c>
      <c r="J3774" s="11">
        <v>1.77</v>
      </c>
      <c r="K3774" s="12"/>
      <c r="L3774" s="12"/>
      <c r="M3774" s="12"/>
      <c r="N3774" s="12"/>
      <c r="O3774" s="12"/>
      <c r="P3774" s="12"/>
      <c r="Q3774" s="12"/>
      <c r="R3774" s="12"/>
      <c r="S3774" s="12"/>
    </row>
    <row r="3775" spans="1:19" ht="14.25" customHeight="1" x14ac:dyDescent="0.2">
      <c r="A3775" s="1" t="s">
        <v>57</v>
      </c>
      <c r="B3775" s="7">
        <v>46112.954097222224</v>
      </c>
      <c r="C3775" s="7">
        <v>46112.961585648147</v>
      </c>
      <c r="D3775" s="8">
        <v>46112</v>
      </c>
      <c r="E3775" s="9">
        <v>0.96158564814686542</v>
      </c>
      <c r="F3775" s="10" t="s">
        <v>4103</v>
      </c>
      <c r="G3775" s="10" t="s">
        <v>21</v>
      </c>
      <c r="H3775" s="10" t="s">
        <v>710</v>
      </c>
      <c r="I3775" s="10" t="s">
        <v>23</v>
      </c>
      <c r="J3775" s="11">
        <v>0.98</v>
      </c>
      <c r="K3775" s="12"/>
      <c r="L3775" s="12"/>
      <c r="M3775" s="12"/>
      <c r="N3775" s="12"/>
      <c r="O3775" s="12"/>
      <c r="P3775" s="12"/>
      <c r="Q3775" s="12"/>
      <c r="R3775" s="12"/>
      <c r="S3775" s="12"/>
    </row>
    <row r="3776" spans="1:19" ht="14.25" customHeight="1" x14ac:dyDescent="0.2">
      <c r="A3776" s="1" t="s">
        <v>19</v>
      </c>
      <c r="B3776" s="19">
        <v>46112.914837962962</v>
      </c>
      <c r="C3776" s="19">
        <v>46112.961909722224</v>
      </c>
      <c r="D3776" s="20">
        <v>46112</v>
      </c>
      <c r="E3776" s="21">
        <v>0.96190972222393611</v>
      </c>
      <c r="F3776" s="1" t="s">
        <v>4104</v>
      </c>
      <c r="G3776" s="1" t="s">
        <v>21</v>
      </c>
      <c r="H3776" s="1" t="s">
        <v>2275</v>
      </c>
      <c r="I3776" s="1" t="s">
        <v>166</v>
      </c>
      <c r="J3776" s="12">
        <v>1.75</v>
      </c>
      <c r="K3776" s="12"/>
      <c r="L3776" s="12"/>
      <c r="M3776" s="12"/>
      <c r="N3776" s="12"/>
      <c r="O3776" s="12"/>
      <c r="P3776" s="12"/>
      <c r="Q3776" s="12"/>
      <c r="R3776" s="12"/>
      <c r="S3776" s="12"/>
    </row>
    <row r="3777" spans="1:19" ht="14.25" customHeight="1" x14ac:dyDescent="0.2">
      <c r="A3777" s="1" t="s">
        <v>42</v>
      </c>
      <c r="B3777" s="19">
        <v>46112.950590277775</v>
      </c>
      <c r="C3777" s="19">
        <v>46112.967835648145</v>
      </c>
      <c r="D3777" s="20">
        <v>46112</v>
      </c>
      <c r="E3777" s="21">
        <v>0.96783564814541023</v>
      </c>
      <c r="F3777" s="1" t="s">
        <v>4105</v>
      </c>
      <c r="G3777" s="1" t="s">
        <v>21</v>
      </c>
      <c r="H3777" s="1" t="s">
        <v>97</v>
      </c>
      <c r="I3777" s="1" t="s">
        <v>166</v>
      </c>
      <c r="J3777" s="12">
        <v>1.77</v>
      </c>
      <c r="K3777" s="12"/>
      <c r="L3777" s="12"/>
      <c r="M3777" s="12"/>
      <c r="N3777" s="12"/>
      <c r="O3777" s="12"/>
      <c r="P3777" s="12"/>
      <c r="Q3777" s="12"/>
      <c r="R3777" s="12"/>
      <c r="S3777" s="12"/>
    </row>
    <row r="3778" spans="1:19" ht="14.25" customHeight="1" x14ac:dyDescent="0.2">
      <c r="A3778" s="1" t="s">
        <v>33</v>
      </c>
      <c r="B3778" s="19">
        <v>46112.955625000002</v>
      </c>
      <c r="C3778" s="19">
        <v>46112.970462962963</v>
      </c>
      <c r="D3778" s="20">
        <v>46112</v>
      </c>
      <c r="E3778" s="21">
        <v>0.97046296296321088</v>
      </c>
      <c r="F3778" s="1" t="s">
        <v>4106</v>
      </c>
      <c r="G3778" s="1" t="s">
        <v>21</v>
      </c>
      <c r="H3778" s="1" t="s">
        <v>22</v>
      </c>
      <c r="I3778" s="1" t="s">
        <v>166</v>
      </c>
      <c r="J3778" s="12">
        <v>0.83</v>
      </c>
      <c r="K3778" s="12"/>
      <c r="L3778" s="12"/>
      <c r="M3778" s="12"/>
      <c r="N3778" s="12"/>
      <c r="O3778" s="12"/>
      <c r="P3778" s="12"/>
      <c r="Q3778" s="12"/>
      <c r="R3778" s="12"/>
      <c r="S3778" s="12"/>
    </row>
    <row r="3779" spans="1:19" ht="14.25" customHeight="1" x14ac:dyDescent="0.2">
      <c r="A3779" s="1" t="s">
        <v>33</v>
      </c>
      <c r="B3779" s="7">
        <v>46112.92523148148</v>
      </c>
      <c r="C3779" s="7">
        <v>46112.974652777775</v>
      </c>
      <c r="D3779" s="8">
        <v>46112</v>
      </c>
      <c r="E3779" s="9">
        <v>0.97465277777519077</v>
      </c>
      <c r="F3779" s="10" t="s">
        <v>4107</v>
      </c>
      <c r="G3779" s="10" t="s">
        <v>44</v>
      </c>
      <c r="H3779" s="10" t="s">
        <v>185</v>
      </c>
      <c r="I3779" s="10" t="s">
        <v>23</v>
      </c>
      <c r="J3779" s="11">
        <v>0.18</v>
      </c>
      <c r="K3779" s="12"/>
      <c r="L3779" s="12"/>
      <c r="M3779" s="12"/>
      <c r="N3779" s="12"/>
      <c r="O3779" s="12"/>
      <c r="P3779" s="12"/>
      <c r="Q3779" s="12"/>
      <c r="R3779" s="12"/>
      <c r="S3779" s="12"/>
    </row>
    <row r="3780" spans="1:19" ht="14.25" customHeight="1" x14ac:dyDescent="0.2">
      <c r="A3780" s="1" t="s">
        <v>28</v>
      </c>
      <c r="B3780" s="7">
        <v>46112.948888888888</v>
      </c>
      <c r="C3780" s="7">
        <v>46112.975462962961</v>
      </c>
      <c r="D3780" s="8">
        <v>46112</v>
      </c>
      <c r="E3780" s="9">
        <v>0.97546296296059154</v>
      </c>
      <c r="F3780" s="10" t="s">
        <v>4108</v>
      </c>
      <c r="G3780" s="10" t="s">
        <v>26</v>
      </c>
      <c r="H3780" s="10" t="s">
        <v>92</v>
      </c>
      <c r="I3780" s="10" t="s">
        <v>23</v>
      </c>
      <c r="J3780" s="11">
        <v>0.63</v>
      </c>
      <c r="K3780" s="12"/>
      <c r="L3780" s="12"/>
      <c r="M3780" s="12"/>
      <c r="N3780" s="12"/>
      <c r="O3780" s="12"/>
      <c r="P3780" s="12"/>
      <c r="Q3780" s="12"/>
      <c r="R3780" s="12"/>
      <c r="S3780" s="12"/>
    </row>
    <row r="3781" spans="1:19" ht="14.25" customHeight="1" x14ac:dyDescent="0.2">
      <c r="A3781" s="1" t="s">
        <v>95</v>
      </c>
      <c r="B3781" s="19">
        <v>46112.94427083333</v>
      </c>
      <c r="C3781" s="19">
        <v>46112.976909722223</v>
      </c>
      <c r="D3781" s="20">
        <v>46112</v>
      </c>
      <c r="E3781" s="21">
        <v>0.97690972222335404</v>
      </c>
      <c r="F3781" s="1" t="s">
        <v>4109</v>
      </c>
      <c r="G3781" s="1" t="s">
        <v>21</v>
      </c>
      <c r="H3781" s="1" t="s">
        <v>97</v>
      </c>
      <c r="I3781" s="1" t="s">
        <v>166</v>
      </c>
      <c r="J3781" s="12">
        <v>1.77</v>
      </c>
      <c r="K3781" s="12"/>
      <c r="L3781" s="12"/>
      <c r="M3781" s="12"/>
      <c r="N3781" s="12"/>
      <c r="O3781" s="12"/>
      <c r="P3781" s="12"/>
      <c r="Q3781" s="12"/>
      <c r="R3781" s="12"/>
      <c r="S3781" s="12"/>
    </row>
    <row r="3782" spans="1:19" ht="14.25" customHeight="1" x14ac:dyDescent="0.2">
      <c r="A3782" s="1" t="s">
        <v>19</v>
      </c>
      <c r="B3782" s="7">
        <v>46112.947384259256</v>
      </c>
      <c r="C3782" s="7">
        <v>46112.977962962963</v>
      </c>
      <c r="D3782" s="8">
        <v>46112</v>
      </c>
      <c r="E3782" s="9">
        <v>0.97796296296291985</v>
      </c>
      <c r="F3782" s="10" t="s">
        <v>4110</v>
      </c>
      <c r="G3782" s="10" t="s">
        <v>21</v>
      </c>
      <c r="H3782" s="10" t="s">
        <v>22</v>
      </c>
      <c r="I3782" s="10" t="s">
        <v>23</v>
      </c>
      <c r="J3782" s="11">
        <v>0.83</v>
      </c>
      <c r="K3782" s="12"/>
      <c r="L3782" s="12"/>
      <c r="M3782" s="12"/>
      <c r="N3782" s="12"/>
      <c r="O3782" s="12"/>
      <c r="P3782" s="12"/>
      <c r="Q3782" s="12"/>
      <c r="R3782" s="12"/>
      <c r="S3782" s="12"/>
    </row>
    <row r="3783" spans="1:19" ht="14.25" customHeight="1" x14ac:dyDescent="0.2">
      <c r="A3783" s="1" t="s">
        <v>42</v>
      </c>
      <c r="B3783" s="19">
        <v>46112.957488425927</v>
      </c>
      <c r="C3783" s="19">
        <v>46112.978495370371</v>
      </c>
      <c r="D3783" s="20">
        <v>46112</v>
      </c>
      <c r="E3783" s="21">
        <v>0.97849537037109258</v>
      </c>
      <c r="F3783" s="1" t="s">
        <v>4111</v>
      </c>
      <c r="G3783" s="1" t="s">
        <v>26</v>
      </c>
      <c r="H3783" s="1" t="s">
        <v>157</v>
      </c>
      <c r="I3783" s="1" t="s">
        <v>166</v>
      </c>
      <c r="J3783" s="12">
        <v>0.73</v>
      </c>
      <c r="K3783" s="12"/>
      <c r="L3783" s="12"/>
      <c r="M3783" s="12"/>
      <c r="N3783" s="12"/>
      <c r="O3783" s="12"/>
      <c r="P3783" s="12"/>
      <c r="Q3783" s="12"/>
      <c r="R3783" s="12"/>
      <c r="S3783" s="12"/>
    </row>
    <row r="3784" spans="1:19" ht="14.25" customHeight="1" x14ac:dyDescent="0.2">
      <c r="A3784" s="1" t="s">
        <v>42</v>
      </c>
      <c r="B3784" s="7">
        <v>46112.933287037034</v>
      </c>
      <c r="C3784" s="7">
        <v>46112.978576388887</v>
      </c>
      <c r="D3784" s="8">
        <v>46112</v>
      </c>
      <c r="E3784" s="9">
        <v>0.97857638888672227</v>
      </c>
      <c r="F3784" s="10" t="s">
        <v>4112</v>
      </c>
      <c r="G3784" s="10" t="s">
        <v>26</v>
      </c>
      <c r="H3784" s="10" t="s">
        <v>391</v>
      </c>
      <c r="I3784" s="10" t="s">
        <v>23</v>
      </c>
      <c r="J3784" s="11">
        <v>0.67</v>
      </c>
      <c r="K3784" s="12"/>
      <c r="L3784" s="12"/>
      <c r="M3784" s="12"/>
      <c r="N3784" s="12"/>
      <c r="O3784" s="12"/>
      <c r="P3784" s="12"/>
      <c r="Q3784" s="12"/>
      <c r="R3784" s="12"/>
      <c r="S3784" s="12"/>
    </row>
    <row r="3785" spans="1:19" ht="14.25" customHeight="1" x14ac:dyDescent="0.2">
      <c r="A3785" s="1" t="s">
        <v>57</v>
      </c>
      <c r="B3785" s="7">
        <v>46112.970069444447</v>
      </c>
      <c r="C3785" s="7">
        <v>46112.98364583333</v>
      </c>
      <c r="D3785" s="8">
        <v>46112</v>
      </c>
      <c r="E3785" s="9">
        <v>0.98364583333022892</v>
      </c>
      <c r="F3785" s="10" t="s">
        <v>4113</v>
      </c>
      <c r="G3785" s="10" t="s">
        <v>21</v>
      </c>
      <c r="H3785" s="10" t="s">
        <v>712</v>
      </c>
      <c r="I3785" s="10" t="s">
        <v>23</v>
      </c>
      <c r="J3785" s="11">
        <v>1.77</v>
      </c>
      <c r="K3785" s="12"/>
      <c r="L3785" s="12"/>
      <c r="M3785" s="12"/>
      <c r="N3785" s="12"/>
      <c r="O3785" s="12"/>
      <c r="P3785" s="12"/>
      <c r="Q3785" s="12"/>
      <c r="R3785" s="12"/>
      <c r="S3785" s="12"/>
    </row>
    <row r="3786" spans="1:19" ht="14.25" customHeight="1" x14ac:dyDescent="0.2">
      <c r="A3786" s="1" t="s">
        <v>28</v>
      </c>
      <c r="B3786" s="7">
        <v>46112.968969907408</v>
      </c>
      <c r="C3786" s="7">
        <v>46112.984652777777</v>
      </c>
      <c r="D3786" s="8">
        <v>46112</v>
      </c>
      <c r="E3786" s="9">
        <v>0.98465277777722804</v>
      </c>
      <c r="F3786" s="10" t="s">
        <v>4114</v>
      </c>
      <c r="G3786" s="10" t="s">
        <v>21</v>
      </c>
      <c r="H3786" s="10" t="s">
        <v>4115</v>
      </c>
      <c r="I3786" s="10" t="s">
        <v>23</v>
      </c>
      <c r="J3786" s="11">
        <v>1.1299999999999999</v>
      </c>
      <c r="K3786" s="12"/>
      <c r="L3786" s="12"/>
      <c r="M3786" s="12"/>
      <c r="N3786" s="12"/>
      <c r="O3786" s="12"/>
      <c r="P3786" s="12"/>
      <c r="Q3786" s="12"/>
      <c r="R3786" s="12"/>
      <c r="S3786" s="12"/>
    </row>
    <row r="3787" spans="1:19" ht="14.25" customHeight="1" x14ac:dyDescent="0.2">
      <c r="A3787" s="1" t="s">
        <v>42</v>
      </c>
      <c r="B3787" s="7">
        <v>46112.943090277775</v>
      </c>
      <c r="C3787" s="7">
        <v>46112.985601851855</v>
      </c>
      <c r="D3787" s="8">
        <v>46112</v>
      </c>
      <c r="E3787" s="9">
        <v>0.98560185185488081</v>
      </c>
      <c r="F3787" s="10" t="s">
        <v>4116</v>
      </c>
      <c r="G3787" s="10" t="s">
        <v>26</v>
      </c>
      <c r="H3787" s="10" t="s">
        <v>56</v>
      </c>
      <c r="I3787" s="10" t="s">
        <v>23</v>
      </c>
      <c r="J3787" s="11">
        <v>0.73</v>
      </c>
      <c r="K3787" s="12"/>
      <c r="L3787" s="12"/>
      <c r="M3787" s="12"/>
      <c r="N3787" s="12"/>
      <c r="O3787" s="12"/>
      <c r="P3787" s="12"/>
      <c r="Q3787" s="12"/>
      <c r="R3787" s="12"/>
      <c r="S3787" s="12"/>
    </row>
    <row r="3788" spans="1:19" ht="14.25" customHeight="1" x14ac:dyDescent="0.2">
      <c r="A3788" s="1" t="s">
        <v>95</v>
      </c>
      <c r="B3788" s="7">
        <v>46112.941979166666</v>
      </c>
      <c r="C3788" s="7">
        <v>46112.986192129632</v>
      </c>
      <c r="D3788" s="8">
        <v>46112</v>
      </c>
      <c r="E3788" s="9">
        <v>0.98619212963239988</v>
      </c>
      <c r="F3788" s="10" t="s">
        <v>4117</v>
      </c>
      <c r="G3788" s="10" t="s">
        <v>21</v>
      </c>
      <c r="H3788" s="10" t="s">
        <v>97</v>
      </c>
      <c r="I3788" s="10" t="s">
        <v>23</v>
      </c>
      <c r="J3788" s="11">
        <v>1.77</v>
      </c>
      <c r="K3788" s="12"/>
      <c r="L3788" s="12"/>
      <c r="M3788" s="12"/>
      <c r="N3788" s="12"/>
      <c r="O3788" s="12"/>
      <c r="P3788" s="12"/>
      <c r="Q3788" s="12"/>
      <c r="R3788" s="12"/>
      <c r="S3788" s="12"/>
    </row>
    <row r="3789" spans="1:19" ht="14.25" customHeight="1" x14ac:dyDescent="0.2">
      <c r="A3789" s="1" t="s">
        <v>95</v>
      </c>
      <c r="B3789" s="7">
        <v>46112.929583333331</v>
      </c>
      <c r="C3789" s="7">
        <v>46112.990868055553</v>
      </c>
      <c r="D3789" s="8">
        <v>46112</v>
      </c>
      <c r="E3789" s="9">
        <v>0.99086805555270985</v>
      </c>
      <c r="F3789" s="10" t="s">
        <v>4118</v>
      </c>
      <c r="G3789" s="10" t="s">
        <v>21</v>
      </c>
      <c r="H3789" s="10" t="s">
        <v>435</v>
      </c>
      <c r="I3789" s="10" t="s">
        <v>23</v>
      </c>
      <c r="J3789" s="11">
        <v>1.1299999999999999</v>
      </c>
      <c r="K3789" s="12"/>
      <c r="L3789" s="12"/>
      <c r="M3789" s="12"/>
      <c r="N3789" s="12"/>
      <c r="O3789" s="12"/>
      <c r="P3789" s="12"/>
      <c r="Q3789" s="12"/>
      <c r="R3789" s="12"/>
      <c r="S3789" s="12"/>
    </row>
    <row r="3790" spans="1:19" ht="14.25" customHeight="1" x14ac:dyDescent="0.2">
      <c r="A3790" s="1" t="s">
        <v>42</v>
      </c>
      <c r="B3790" s="7">
        <v>46112.980983796297</v>
      </c>
      <c r="C3790" s="7">
        <v>46112.991041666668</v>
      </c>
      <c r="D3790" s="8">
        <v>46112</v>
      </c>
      <c r="E3790" s="9">
        <v>0.99104166666802485</v>
      </c>
      <c r="F3790" s="10" t="s">
        <v>4119</v>
      </c>
      <c r="G3790" s="10" t="s">
        <v>44</v>
      </c>
      <c r="H3790" s="10" t="s">
        <v>48</v>
      </c>
      <c r="I3790" s="10" t="s">
        <v>23</v>
      </c>
      <c r="J3790" s="11">
        <v>0.21</v>
      </c>
      <c r="K3790" s="12"/>
      <c r="L3790" s="12"/>
      <c r="M3790" s="12"/>
      <c r="N3790" s="12"/>
      <c r="O3790" s="12"/>
      <c r="P3790" s="12"/>
      <c r="Q3790" s="12"/>
      <c r="R3790" s="12"/>
      <c r="S3790" s="12"/>
    </row>
    <row r="3791" spans="1:19" ht="14.25" customHeight="1" x14ac:dyDescent="0.2">
      <c r="A3791" s="1" t="s">
        <v>95</v>
      </c>
      <c r="B3791" s="7">
        <v>46112.957488425927</v>
      </c>
      <c r="C3791" s="7">
        <v>46112.991180555553</v>
      </c>
      <c r="D3791" s="8">
        <v>46112</v>
      </c>
      <c r="E3791" s="9">
        <v>0.99118055555300089</v>
      </c>
      <c r="F3791" s="10" t="s">
        <v>4120</v>
      </c>
      <c r="G3791" s="10" t="s">
        <v>21</v>
      </c>
      <c r="H3791" s="10" t="s">
        <v>110</v>
      </c>
      <c r="I3791" s="10" t="s">
        <v>23</v>
      </c>
      <c r="J3791" s="11">
        <v>0.83</v>
      </c>
      <c r="K3791" s="12"/>
      <c r="L3791" s="12"/>
      <c r="M3791" s="12"/>
      <c r="N3791" s="12"/>
      <c r="O3791" s="12"/>
      <c r="P3791" s="12"/>
      <c r="Q3791" s="12"/>
      <c r="R3791" s="12"/>
      <c r="S3791" s="12"/>
    </row>
    <row r="3792" spans="1:19" ht="14.25" customHeight="1" x14ac:dyDescent="0.2">
      <c r="A3792" s="1" t="s">
        <v>57</v>
      </c>
      <c r="B3792" s="19">
        <v>46112.968159722222</v>
      </c>
      <c r="C3792" s="19">
        <v>46112.991412037038</v>
      </c>
      <c r="D3792" s="20">
        <v>46112</v>
      </c>
      <c r="E3792" s="21">
        <v>0.99141203703766223</v>
      </c>
      <c r="F3792" s="1" t="s">
        <v>4121</v>
      </c>
      <c r="G3792" s="1" t="s">
        <v>21</v>
      </c>
      <c r="H3792" s="1" t="s">
        <v>59</v>
      </c>
      <c r="I3792" s="1" t="s">
        <v>166</v>
      </c>
      <c r="J3792" s="12">
        <v>0.83</v>
      </c>
      <c r="K3792" s="12"/>
      <c r="L3792" s="12"/>
      <c r="M3792" s="12"/>
      <c r="N3792" s="12"/>
      <c r="O3792" s="12"/>
      <c r="P3792" s="12"/>
      <c r="Q3792" s="12"/>
      <c r="R3792" s="12"/>
      <c r="S3792" s="12"/>
    </row>
    <row r="3793" spans="1:19" ht="14.25" customHeight="1" x14ac:dyDescent="0.2">
      <c r="A3793" s="1" t="s">
        <v>57</v>
      </c>
      <c r="B3793" s="7">
        <v>46112.985312500001</v>
      </c>
      <c r="C3793" s="7">
        <v>46112.991851851853</v>
      </c>
      <c r="D3793" s="8">
        <v>46112</v>
      </c>
      <c r="E3793" s="9">
        <v>0.99185185185342561</v>
      </c>
      <c r="F3793" s="10" t="s">
        <v>4122</v>
      </c>
      <c r="G3793" s="10" t="s">
        <v>21</v>
      </c>
      <c r="H3793" s="10" t="s">
        <v>656</v>
      </c>
      <c r="I3793" s="10" t="s">
        <v>23</v>
      </c>
      <c r="J3793" s="11">
        <v>1.7</v>
      </c>
      <c r="K3793" s="12"/>
      <c r="L3793" s="12"/>
      <c r="M3793" s="12"/>
      <c r="N3793" s="12"/>
      <c r="O3793" s="12"/>
      <c r="P3793" s="12"/>
      <c r="Q3793" s="12"/>
      <c r="R3793" s="12"/>
      <c r="S3793" s="12"/>
    </row>
    <row r="3794" spans="1:19" ht="14.25" customHeight="1" x14ac:dyDescent="0.2">
      <c r="A3794" s="1" t="s">
        <v>95</v>
      </c>
      <c r="B3794" s="7">
        <v>46112.964050925926</v>
      </c>
      <c r="C3794" s="7">
        <v>46112.995162037034</v>
      </c>
      <c r="D3794" s="8">
        <v>46112</v>
      </c>
      <c r="E3794" s="9">
        <v>0.99516203703387873</v>
      </c>
      <c r="F3794" s="10" t="s">
        <v>4123</v>
      </c>
      <c r="G3794" s="10" t="s">
        <v>21</v>
      </c>
      <c r="H3794" s="10" t="s">
        <v>813</v>
      </c>
      <c r="I3794" s="10" t="s">
        <v>23</v>
      </c>
      <c r="J3794" s="11">
        <v>1.1000000000000001</v>
      </c>
      <c r="K3794" s="12"/>
      <c r="L3794" s="12"/>
      <c r="M3794" s="12"/>
      <c r="N3794" s="12"/>
      <c r="O3794" s="12"/>
      <c r="P3794" s="12"/>
      <c r="Q3794" s="12"/>
      <c r="R3794" s="12"/>
      <c r="S3794" s="12"/>
    </row>
    <row r="3795" spans="1:19" ht="14.25" customHeight="1" x14ac:dyDescent="0.2">
      <c r="A3795" s="1" t="s">
        <v>28</v>
      </c>
      <c r="B3795" s="27">
        <v>46112.983148148145</v>
      </c>
      <c r="C3795" s="27">
        <v>46113.001481481479</v>
      </c>
      <c r="D3795" s="28">
        <v>46113</v>
      </c>
      <c r="E3795" s="29">
        <v>1.48148147854954E-3</v>
      </c>
      <c r="F3795" s="30" t="s">
        <v>4124</v>
      </c>
      <c r="G3795" s="30" t="s">
        <v>21</v>
      </c>
      <c r="H3795" s="30" t="s">
        <v>4125</v>
      </c>
      <c r="I3795" s="30" t="s">
        <v>166</v>
      </c>
      <c r="J3795" s="31">
        <v>1.1299999999999999</v>
      </c>
      <c r="K3795" s="12"/>
      <c r="L3795" s="12"/>
      <c r="M3795" s="12"/>
      <c r="N3795" s="12"/>
      <c r="O3795" s="12"/>
      <c r="P3795" s="12"/>
      <c r="Q3795" s="12"/>
      <c r="R3795" s="12"/>
      <c r="S3795" s="12"/>
    </row>
    <row r="3796" spans="1:19" ht="14.25" customHeight="1" x14ac:dyDescent="0.2">
      <c r="A3796" s="1" t="s">
        <v>95</v>
      </c>
      <c r="B3796" s="27">
        <v>46112.967106481483</v>
      </c>
      <c r="C3796" s="27">
        <v>46113.001493055555</v>
      </c>
      <c r="D3796" s="28">
        <v>46113</v>
      </c>
      <c r="E3796" s="29">
        <v>1.4930555553291924E-3</v>
      </c>
      <c r="F3796" s="30" t="s">
        <v>4126</v>
      </c>
      <c r="G3796" s="30" t="s">
        <v>21</v>
      </c>
      <c r="H3796" s="30" t="s">
        <v>97</v>
      </c>
      <c r="I3796" s="30" t="s">
        <v>23</v>
      </c>
      <c r="J3796" s="31">
        <v>1.77</v>
      </c>
      <c r="K3796" s="12"/>
      <c r="L3796" s="12"/>
      <c r="M3796" s="12"/>
      <c r="N3796" s="12"/>
      <c r="O3796" s="12"/>
      <c r="P3796" s="12"/>
      <c r="Q3796" s="12"/>
      <c r="R3796" s="12"/>
      <c r="S3796" s="12"/>
    </row>
    <row r="3797" spans="1:19" ht="14.25" customHeight="1" x14ac:dyDescent="0.2">
      <c r="A3797" s="1" t="s">
        <v>95</v>
      </c>
      <c r="B3797" s="27">
        <v>46112.975694444445</v>
      </c>
      <c r="C3797" s="27">
        <v>46113.002893518518</v>
      </c>
      <c r="D3797" s="28">
        <v>46113</v>
      </c>
      <c r="E3797" s="29">
        <v>2.8935185182490386E-3</v>
      </c>
      <c r="F3797" s="30" t="s">
        <v>4127</v>
      </c>
      <c r="G3797" s="30" t="s">
        <v>21</v>
      </c>
      <c r="H3797" s="30" t="s">
        <v>734</v>
      </c>
      <c r="I3797" s="30" t="s">
        <v>23</v>
      </c>
      <c r="J3797" s="31">
        <v>0.98</v>
      </c>
      <c r="K3797" s="12"/>
      <c r="L3797" s="12"/>
      <c r="M3797" s="12"/>
      <c r="N3797" s="12"/>
      <c r="O3797" s="12"/>
      <c r="P3797" s="12"/>
      <c r="Q3797" s="12"/>
      <c r="R3797" s="12"/>
      <c r="S3797" s="12"/>
    </row>
    <row r="3798" spans="1:19" ht="14.25" customHeight="1" x14ac:dyDescent="0.2">
      <c r="A3798" s="1" t="s">
        <v>42</v>
      </c>
      <c r="B3798" s="27">
        <v>46112.983564814815</v>
      </c>
      <c r="C3798" s="27">
        <v>46113.00986111111</v>
      </c>
      <c r="D3798" s="28">
        <v>46113</v>
      </c>
      <c r="E3798" s="29">
        <v>9.8611111097852699E-3</v>
      </c>
      <c r="F3798" s="30" t="s">
        <v>4128</v>
      </c>
      <c r="G3798" s="30" t="s">
        <v>44</v>
      </c>
      <c r="H3798" s="30" t="s">
        <v>45</v>
      </c>
      <c r="I3798" s="30" t="s">
        <v>23</v>
      </c>
      <c r="J3798" s="31">
        <v>0.18</v>
      </c>
      <c r="K3798" s="12"/>
      <c r="L3798" s="12"/>
      <c r="M3798" s="12"/>
      <c r="N3798" s="12"/>
      <c r="O3798" s="12"/>
      <c r="P3798" s="12"/>
      <c r="Q3798" s="12"/>
      <c r="R3798" s="12"/>
      <c r="S3798" s="12"/>
    </row>
    <row r="3799" spans="1:19" ht="14.25" customHeight="1" x14ac:dyDescent="0.2">
      <c r="A3799" s="1" t="s">
        <v>24</v>
      </c>
      <c r="B3799" s="27">
        <v>46112.986504629633</v>
      </c>
      <c r="C3799" s="27">
        <v>46113.010370370372</v>
      </c>
      <c r="D3799" s="28">
        <v>46113</v>
      </c>
      <c r="E3799" s="29">
        <v>1.0370370371674653E-2</v>
      </c>
      <c r="F3799" s="30" t="s">
        <v>4129</v>
      </c>
      <c r="G3799" s="30" t="s">
        <v>26</v>
      </c>
      <c r="H3799" s="30" t="s">
        <v>3562</v>
      </c>
      <c r="I3799" s="30" t="s">
        <v>23</v>
      </c>
      <c r="J3799" s="31">
        <v>0.78</v>
      </c>
      <c r="K3799" s="12"/>
      <c r="L3799" s="12"/>
      <c r="M3799" s="12"/>
      <c r="N3799" s="12"/>
      <c r="O3799" s="12"/>
      <c r="P3799" s="12"/>
      <c r="Q3799" s="12"/>
      <c r="R3799" s="12"/>
      <c r="S3799" s="12"/>
    </row>
    <row r="3800" spans="1:19" ht="14.25" customHeight="1" x14ac:dyDescent="0.2">
      <c r="A3800" s="1" t="s">
        <v>57</v>
      </c>
      <c r="B3800" s="27">
        <v>46112.998888888891</v>
      </c>
      <c r="C3800" s="27">
        <v>46113.013472222221</v>
      </c>
      <c r="D3800" s="28">
        <v>46113</v>
      </c>
      <c r="E3800" s="29">
        <v>1.3472222221025731E-2</v>
      </c>
      <c r="F3800" s="30" t="s">
        <v>4130</v>
      </c>
      <c r="G3800" s="30" t="s">
        <v>21</v>
      </c>
      <c r="H3800" s="30" t="s">
        <v>1444</v>
      </c>
      <c r="I3800" s="30" t="s">
        <v>166</v>
      </c>
      <c r="J3800" s="31">
        <v>1.71</v>
      </c>
      <c r="K3800" s="12"/>
      <c r="L3800" s="12"/>
      <c r="M3800" s="12"/>
      <c r="N3800" s="12"/>
      <c r="O3800" s="12"/>
      <c r="P3800" s="12"/>
      <c r="Q3800" s="12"/>
      <c r="R3800" s="12"/>
      <c r="S3800" s="12"/>
    </row>
    <row r="3801" spans="1:19" ht="14.25" customHeight="1" x14ac:dyDescent="0.2">
      <c r="A3801" s="1" t="s">
        <v>24</v>
      </c>
      <c r="B3801" s="27">
        <v>46112.983993055554</v>
      </c>
      <c r="C3801" s="27">
        <v>46113.019247685188</v>
      </c>
      <c r="D3801" s="28">
        <v>46113</v>
      </c>
      <c r="E3801" s="29">
        <v>1.9247685188020114E-2</v>
      </c>
      <c r="F3801" s="30" t="s">
        <v>4131</v>
      </c>
      <c r="G3801" s="30" t="s">
        <v>21</v>
      </c>
      <c r="H3801" s="30" t="s">
        <v>409</v>
      </c>
      <c r="I3801" s="30" t="s">
        <v>23</v>
      </c>
      <c r="J3801" s="31">
        <v>2.9</v>
      </c>
      <c r="K3801" s="12"/>
      <c r="L3801" s="12"/>
      <c r="M3801" s="12"/>
      <c r="N3801" s="12"/>
      <c r="O3801" s="12"/>
      <c r="P3801" s="12"/>
      <c r="Q3801" s="12"/>
      <c r="R3801" s="12"/>
      <c r="S3801" s="12"/>
    </row>
    <row r="3802" spans="1:19" ht="14.25" customHeight="1" x14ac:dyDescent="0.2">
      <c r="A3802" s="1" t="s">
        <v>24</v>
      </c>
      <c r="B3802" s="27">
        <v>46112.967407407406</v>
      </c>
      <c r="C3802" s="27">
        <v>46113.022557870368</v>
      </c>
      <c r="D3802" s="28">
        <v>46113</v>
      </c>
      <c r="E3802" s="29">
        <v>2.2557870368473232E-2</v>
      </c>
      <c r="F3802" s="30" t="s">
        <v>4132</v>
      </c>
      <c r="G3802" s="30" t="s">
        <v>21</v>
      </c>
      <c r="H3802" s="30" t="s">
        <v>409</v>
      </c>
      <c r="I3802" s="30" t="s">
        <v>23</v>
      </c>
      <c r="J3802" s="31">
        <v>2.9</v>
      </c>
      <c r="K3802" s="12"/>
      <c r="L3802" s="12"/>
      <c r="M3802" s="12"/>
      <c r="N3802" s="12"/>
      <c r="O3802" s="12"/>
      <c r="P3802" s="12"/>
      <c r="Q3802" s="12"/>
      <c r="R3802" s="12"/>
      <c r="S3802" s="12"/>
    </row>
    <row r="3803" spans="1:19" ht="14.25" customHeight="1" x14ac:dyDescent="0.2">
      <c r="A3803" s="1" t="s">
        <v>28</v>
      </c>
      <c r="B3803" s="27">
        <v>46113.001400462963</v>
      </c>
      <c r="C3803" s="27">
        <v>46113.022800925923</v>
      </c>
      <c r="D3803" s="28">
        <v>46113</v>
      </c>
      <c r="E3803" s="29">
        <v>2.2800925922638271E-2</v>
      </c>
      <c r="F3803" s="30" t="s">
        <v>4133</v>
      </c>
      <c r="G3803" s="30" t="s">
        <v>21</v>
      </c>
      <c r="H3803" s="30" t="s">
        <v>22</v>
      </c>
      <c r="I3803" s="30" t="s">
        <v>23</v>
      </c>
      <c r="J3803" s="31">
        <v>0.83</v>
      </c>
      <c r="K3803" s="12"/>
      <c r="L3803" s="12"/>
      <c r="M3803" s="12"/>
      <c r="N3803" s="12"/>
      <c r="O3803" s="12"/>
      <c r="P3803" s="12"/>
      <c r="Q3803" s="12"/>
      <c r="R3803" s="12"/>
      <c r="S3803" s="12"/>
    </row>
    <row r="3804" spans="1:19" ht="14.25" customHeight="1" x14ac:dyDescent="0.2">
      <c r="A3804" s="1" t="s">
        <v>24</v>
      </c>
      <c r="B3804" s="27">
        <v>46113.004652777781</v>
      </c>
      <c r="C3804" s="27">
        <v>46113.022997685184</v>
      </c>
      <c r="D3804" s="28">
        <v>46113</v>
      </c>
      <c r="E3804" s="29">
        <v>2.2997685184236616E-2</v>
      </c>
      <c r="F3804" s="30" t="s">
        <v>4134</v>
      </c>
      <c r="G3804" s="30" t="s">
        <v>21</v>
      </c>
      <c r="H3804" s="30" t="s">
        <v>22</v>
      </c>
      <c r="I3804" s="30" t="s">
        <v>23</v>
      </c>
      <c r="J3804" s="31">
        <v>0.83</v>
      </c>
      <c r="K3804" s="12"/>
      <c r="L3804" s="12"/>
      <c r="M3804" s="12"/>
      <c r="N3804" s="12"/>
      <c r="O3804" s="12"/>
      <c r="P3804" s="12"/>
      <c r="Q3804" s="12"/>
      <c r="R3804" s="12"/>
      <c r="S3804" s="12"/>
    </row>
    <row r="3805" spans="1:19" ht="14.25" customHeight="1" x14ac:dyDescent="0.2">
      <c r="A3805" s="1" t="s">
        <v>24</v>
      </c>
      <c r="B3805" s="27">
        <v>46112.994363425925</v>
      </c>
      <c r="C3805" s="27">
        <v>46113.023321759261</v>
      </c>
      <c r="D3805" s="28">
        <v>46113</v>
      </c>
      <c r="E3805" s="29">
        <v>2.3321759261307307E-2</v>
      </c>
      <c r="F3805" s="30" t="s">
        <v>4135</v>
      </c>
      <c r="G3805" s="30" t="s">
        <v>21</v>
      </c>
      <c r="H3805" s="30" t="s">
        <v>41</v>
      </c>
      <c r="I3805" s="30" t="s">
        <v>23</v>
      </c>
      <c r="J3805" s="31">
        <v>1.77</v>
      </c>
      <c r="K3805" s="12"/>
      <c r="L3805" s="12"/>
      <c r="M3805" s="12"/>
      <c r="N3805" s="12"/>
      <c r="O3805" s="12"/>
      <c r="P3805" s="12"/>
      <c r="Q3805" s="12"/>
      <c r="R3805" s="12"/>
      <c r="S3805" s="12"/>
    </row>
    <row r="3806" spans="1:19" ht="14.25" customHeight="1" x14ac:dyDescent="0.2">
      <c r="A3806" s="1" t="s">
        <v>95</v>
      </c>
      <c r="B3806" s="27">
        <v>46112.941006944442</v>
      </c>
      <c r="C3806" s="27">
        <v>46113.0237037037</v>
      </c>
      <c r="D3806" s="28">
        <v>46113</v>
      </c>
      <c r="E3806" s="29">
        <v>2.3703703700448386E-2</v>
      </c>
      <c r="F3806" s="30" t="s">
        <v>4136</v>
      </c>
      <c r="G3806" s="30" t="s">
        <v>180</v>
      </c>
      <c r="H3806" s="30" t="s">
        <v>181</v>
      </c>
      <c r="I3806" s="30" t="s">
        <v>23</v>
      </c>
      <c r="J3806" s="31">
        <v>2.23</v>
      </c>
      <c r="K3806" s="12"/>
      <c r="L3806" s="12"/>
      <c r="M3806" s="12"/>
      <c r="N3806" s="12"/>
      <c r="O3806" s="12"/>
      <c r="P3806" s="12"/>
      <c r="Q3806" s="12"/>
      <c r="R3806" s="12"/>
      <c r="S3806" s="12"/>
    </row>
    <row r="3807" spans="1:19" ht="14.25" customHeight="1" x14ac:dyDescent="0.2">
      <c r="A3807" s="1" t="s">
        <v>95</v>
      </c>
      <c r="B3807" s="27">
        <v>46112.941006944442</v>
      </c>
      <c r="C3807" s="27">
        <v>46113.024050925924</v>
      </c>
      <c r="D3807" s="28">
        <v>46113</v>
      </c>
      <c r="E3807" s="29">
        <v>2.4050925923802424E-2</v>
      </c>
      <c r="F3807" s="30" t="s">
        <v>4137</v>
      </c>
      <c r="G3807" s="30" t="s">
        <v>180</v>
      </c>
      <c r="H3807" s="30" t="s">
        <v>387</v>
      </c>
      <c r="I3807" s="30" t="s">
        <v>23</v>
      </c>
      <c r="J3807" s="31">
        <v>2.23</v>
      </c>
      <c r="K3807" s="12"/>
      <c r="L3807" s="12"/>
      <c r="M3807" s="12"/>
      <c r="N3807" s="12"/>
      <c r="O3807" s="12"/>
      <c r="P3807" s="12"/>
      <c r="Q3807" s="12"/>
      <c r="R3807" s="12"/>
      <c r="S3807" s="12"/>
    </row>
    <row r="3808" spans="1:19" ht="14.25" customHeight="1" x14ac:dyDescent="0.2">
      <c r="A3808" s="1" t="s">
        <v>24</v>
      </c>
      <c r="B3808" s="27">
        <v>46112.975347222222</v>
      </c>
      <c r="C3808" s="27">
        <v>46113.024155092593</v>
      </c>
      <c r="D3808" s="28">
        <v>46113</v>
      </c>
      <c r="E3808" s="29">
        <v>2.4155092592991423E-2</v>
      </c>
      <c r="F3808" s="30" t="s">
        <v>4138</v>
      </c>
      <c r="G3808" s="30" t="s">
        <v>21</v>
      </c>
      <c r="H3808" s="30" t="s">
        <v>41</v>
      </c>
      <c r="I3808" s="30" t="s">
        <v>166</v>
      </c>
      <c r="J3808" s="31">
        <v>1.77</v>
      </c>
      <c r="K3808" s="12"/>
      <c r="L3808" s="12"/>
      <c r="M3808" s="12"/>
      <c r="N3808" s="12"/>
      <c r="O3808" s="12"/>
      <c r="P3808" s="12"/>
      <c r="Q3808" s="12"/>
      <c r="R3808" s="12"/>
      <c r="S3808" s="12"/>
    </row>
    <row r="3809" spans="1:19" ht="14.25" customHeight="1" x14ac:dyDescent="0.2">
      <c r="A3809" s="1" t="s">
        <v>95</v>
      </c>
      <c r="B3809" s="27">
        <v>46112.941006944442</v>
      </c>
      <c r="C3809" s="27">
        <v>46113.024270833332</v>
      </c>
      <c r="D3809" s="28">
        <v>46113</v>
      </c>
      <c r="E3809" s="29">
        <v>2.4270833331684116E-2</v>
      </c>
      <c r="F3809" s="30" t="s">
        <v>4139</v>
      </c>
      <c r="G3809" s="30" t="s">
        <v>180</v>
      </c>
      <c r="H3809" s="30" t="s">
        <v>389</v>
      </c>
      <c r="I3809" s="30" t="s">
        <v>23</v>
      </c>
      <c r="J3809" s="31">
        <v>2.23</v>
      </c>
      <c r="K3809" s="12"/>
      <c r="L3809" s="12"/>
      <c r="M3809" s="12"/>
      <c r="N3809" s="12"/>
      <c r="O3809" s="12"/>
      <c r="P3809" s="12"/>
      <c r="Q3809" s="12"/>
      <c r="R3809" s="12"/>
      <c r="S3809" s="12"/>
    </row>
    <row r="3810" spans="1:19" ht="14.25" customHeight="1" x14ac:dyDescent="0.2">
      <c r="A3810" s="1" t="s">
        <v>95</v>
      </c>
      <c r="B3810" s="27">
        <v>46112.941006944442</v>
      </c>
      <c r="C3810" s="27">
        <v>46113.025000000001</v>
      </c>
      <c r="D3810" s="28">
        <v>46113</v>
      </c>
      <c r="E3810" s="29">
        <v>2.5000000001455192E-2</v>
      </c>
      <c r="F3810" s="30" t="s">
        <v>4140</v>
      </c>
      <c r="G3810" s="30" t="s">
        <v>180</v>
      </c>
      <c r="H3810" s="30" t="s">
        <v>385</v>
      </c>
      <c r="I3810" s="30" t="s">
        <v>23</v>
      </c>
      <c r="J3810" s="31">
        <v>2.23</v>
      </c>
      <c r="K3810" s="12"/>
      <c r="L3810" s="12"/>
      <c r="M3810" s="12"/>
      <c r="N3810" s="12"/>
      <c r="O3810" s="12"/>
      <c r="P3810" s="12"/>
      <c r="Q3810" s="12"/>
      <c r="R3810" s="12"/>
      <c r="S3810" s="12"/>
    </row>
    <row r="3811" spans="1:19" ht="14.25" customHeight="1" x14ac:dyDescent="0.2">
      <c r="A3811" s="1" t="s">
        <v>33</v>
      </c>
      <c r="B3811" s="27">
        <v>46112.875636574077</v>
      </c>
      <c r="C3811" s="27">
        <v>46113.031319444446</v>
      </c>
      <c r="D3811" s="28">
        <v>46113</v>
      </c>
      <c r="E3811" s="29">
        <v>3.1319444446125999E-2</v>
      </c>
      <c r="F3811" s="30" t="s">
        <v>4141</v>
      </c>
      <c r="G3811" s="30" t="s">
        <v>26</v>
      </c>
      <c r="H3811" s="30" t="s">
        <v>284</v>
      </c>
      <c r="I3811" s="30" t="s">
        <v>23</v>
      </c>
      <c r="J3811" s="31">
        <v>0.88</v>
      </c>
      <c r="K3811" s="12"/>
      <c r="L3811" s="12"/>
      <c r="M3811" s="12"/>
      <c r="N3811" s="12"/>
      <c r="O3811" s="12"/>
      <c r="P3811" s="12"/>
      <c r="Q3811" s="12"/>
      <c r="R3811" s="12"/>
      <c r="S3811" s="12"/>
    </row>
    <row r="3812" spans="1:19" ht="14.25" customHeight="1" x14ac:dyDescent="0.2">
      <c r="A3812" s="1" t="s">
        <v>28</v>
      </c>
      <c r="B3812" s="27">
        <v>46113.010625000003</v>
      </c>
      <c r="C3812" s="27">
        <v>46113.031805555554</v>
      </c>
      <c r="D3812" s="28">
        <v>46113</v>
      </c>
      <c r="E3812" s="29">
        <v>3.1805555554456078E-2</v>
      </c>
      <c r="F3812" s="30" t="s">
        <v>4142</v>
      </c>
      <c r="G3812" s="30" t="s">
        <v>26</v>
      </c>
      <c r="H3812" s="30" t="s">
        <v>205</v>
      </c>
      <c r="I3812" s="30" t="s">
        <v>23</v>
      </c>
      <c r="J3812" s="31">
        <v>0.57999999999999996</v>
      </c>
      <c r="K3812" s="12"/>
      <c r="L3812" s="12"/>
      <c r="M3812" s="12"/>
      <c r="N3812" s="12"/>
      <c r="O3812" s="12"/>
      <c r="P3812" s="12"/>
      <c r="Q3812" s="12"/>
      <c r="R3812" s="12"/>
      <c r="S3812" s="12"/>
    </row>
    <row r="3813" spans="1:19" ht="14.25" customHeight="1" x14ac:dyDescent="0.2">
      <c r="A3813" s="1" t="s">
        <v>24</v>
      </c>
      <c r="B3813" s="27">
        <v>46113.009340277778</v>
      </c>
      <c r="C3813" s="27">
        <v>46113.035150462965</v>
      </c>
      <c r="D3813" s="28">
        <v>46113</v>
      </c>
      <c r="E3813" s="29">
        <v>3.5150462965248153E-2</v>
      </c>
      <c r="F3813" s="30" t="s">
        <v>4143</v>
      </c>
      <c r="G3813" s="30" t="s">
        <v>21</v>
      </c>
      <c r="H3813" s="30" t="s">
        <v>22</v>
      </c>
      <c r="I3813" s="30" t="s">
        <v>166</v>
      </c>
      <c r="J3813" s="31">
        <v>0.83</v>
      </c>
      <c r="K3813" s="12"/>
      <c r="L3813" s="12"/>
      <c r="M3813" s="12"/>
      <c r="N3813" s="12"/>
      <c r="O3813" s="12"/>
      <c r="P3813" s="12"/>
      <c r="Q3813" s="12"/>
      <c r="R3813" s="12"/>
      <c r="S3813" s="12"/>
    </row>
    <row r="3814" spans="1:19" ht="14.25" customHeight="1" x14ac:dyDescent="0.2">
      <c r="A3814" s="1" t="s">
        <v>19</v>
      </c>
      <c r="B3814" s="27">
        <v>46113.001840277779</v>
      </c>
      <c r="C3814" s="27">
        <v>46113.03570601852</v>
      </c>
      <c r="D3814" s="28">
        <v>46113</v>
      </c>
      <c r="E3814" s="29">
        <v>3.570601851970423E-2</v>
      </c>
      <c r="F3814" s="30" t="s">
        <v>4144</v>
      </c>
      <c r="G3814" s="30" t="s">
        <v>21</v>
      </c>
      <c r="H3814" s="30" t="s">
        <v>2432</v>
      </c>
      <c r="I3814" s="30" t="s">
        <v>23</v>
      </c>
      <c r="J3814" s="31">
        <v>1.77</v>
      </c>
      <c r="K3814" s="12"/>
      <c r="L3814" s="12"/>
      <c r="M3814" s="12"/>
      <c r="N3814" s="12"/>
      <c r="O3814" s="12"/>
      <c r="P3814" s="12"/>
      <c r="Q3814" s="12"/>
      <c r="R3814" s="12"/>
      <c r="S3814" s="12"/>
    </row>
    <row r="3815" spans="1:19" ht="14.25" customHeight="1" x14ac:dyDescent="0.2">
      <c r="A3815" s="1" t="s">
        <v>42</v>
      </c>
      <c r="B3815" s="27">
        <v>46113.030486111114</v>
      </c>
      <c r="C3815" s="27">
        <v>46113.040648148148</v>
      </c>
      <c r="D3815" s="28">
        <v>46113</v>
      </c>
      <c r="E3815" s="29">
        <v>4.0648148147738539E-2</v>
      </c>
      <c r="F3815" s="30" t="s">
        <v>4145</v>
      </c>
      <c r="G3815" s="30" t="s">
        <v>44</v>
      </c>
      <c r="H3815" s="30" t="s">
        <v>48</v>
      </c>
      <c r="I3815" s="30" t="s">
        <v>166</v>
      </c>
      <c r="J3815" s="31">
        <v>0.21</v>
      </c>
      <c r="K3815" s="12"/>
      <c r="L3815" s="12"/>
      <c r="M3815" s="12"/>
      <c r="N3815" s="12"/>
      <c r="O3815" s="12"/>
      <c r="P3815" s="12"/>
      <c r="Q3815" s="12"/>
      <c r="R3815" s="12"/>
      <c r="S3815" s="12"/>
    </row>
    <row r="3816" spans="1:19" ht="14.25" customHeight="1" x14ac:dyDescent="0.2">
      <c r="A3816" s="1" t="s">
        <v>95</v>
      </c>
      <c r="B3816" s="27">
        <v>46113.029502314814</v>
      </c>
      <c r="C3816" s="27">
        <v>46113.044131944444</v>
      </c>
      <c r="D3816" s="28">
        <v>46113</v>
      </c>
      <c r="E3816" s="29">
        <v>4.4131944443506654E-2</v>
      </c>
      <c r="F3816" s="30" t="s">
        <v>4146</v>
      </c>
      <c r="G3816" s="30" t="s">
        <v>21</v>
      </c>
      <c r="H3816" s="30" t="s">
        <v>154</v>
      </c>
      <c r="I3816" s="30" t="s">
        <v>23</v>
      </c>
      <c r="J3816" s="31">
        <v>1.77</v>
      </c>
      <c r="K3816" s="12"/>
      <c r="L3816" s="12"/>
      <c r="M3816" s="12"/>
      <c r="N3816" s="12"/>
      <c r="O3816" s="12"/>
      <c r="P3816" s="12"/>
      <c r="Q3816" s="12"/>
      <c r="R3816" s="12"/>
      <c r="S3816" s="12"/>
    </row>
    <row r="3817" spans="1:19" ht="14.25" customHeight="1" x14ac:dyDescent="0.2">
      <c r="A3817" s="1" t="s">
        <v>63</v>
      </c>
      <c r="B3817" s="27">
        <v>46113.031030092592</v>
      </c>
      <c r="C3817" s="27">
        <v>46113.044745370367</v>
      </c>
      <c r="D3817" s="28">
        <v>46113</v>
      </c>
      <c r="E3817" s="29">
        <v>4.4745370367309079E-2</v>
      </c>
      <c r="F3817" s="30" t="s">
        <v>4147</v>
      </c>
      <c r="G3817" s="30" t="s">
        <v>21</v>
      </c>
      <c r="H3817" s="30" t="s">
        <v>1535</v>
      </c>
      <c r="I3817" s="30" t="s">
        <v>23</v>
      </c>
      <c r="J3817" s="31">
        <v>1.7</v>
      </c>
      <c r="K3817" s="12"/>
      <c r="L3817" s="12"/>
      <c r="M3817" s="12"/>
      <c r="N3817" s="12"/>
      <c r="O3817" s="12"/>
      <c r="P3817" s="12"/>
      <c r="Q3817" s="12"/>
      <c r="R3817" s="12"/>
      <c r="S3817" s="12"/>
    </row>
    <row r="3818" spans="1:19" ht="14.25" customHeight="1" x14ac:dyDescent="0.2">
      <c r="A3818" s="1" t="s">
        <v>19</v>
      </c>
      <c r="B3818" s="27">
        <v>46112.985914351855</v>
      </c>
      <c r="C3818" s="27">
        <v>46113.047303240739</v>
      </c>
      <c r="D3818" s="28">
        <v>46113</v>
      </c>
      <c r="E3818" s="29">
        <v>4.7303240738983732E-2</v>
      </c>
      <c r="F3818" s="30" t="s">
        <v>4148</v>
      </c>
      <c r="G3818" s="30" t="s">
        <v>26</v>
      </c>
      <c r="H3818" s="30" t="s">
        <v>1450</v>
      </c>
      <c r="I3818" s="30" t="s">
        <v>166</v>
      </c>
      <c r="J3818" s="31">
        <v>0.78</v>
      </c>
      <c r="K3818" s="12"/>
      <c r="L3818" s="12"/>
      <c r="M3818" s="12"/>
      <c r="N3818" s="12"/>
      <c r="O3818" s="12"/>
      <c r="P3818" s="12"/>
      <c r="Q3818" s="12"/>
      <c r="R3818" s="12"/>
      <c r="S3818" s="12"/>
    </row>
    <row r="3819" spans="1:19" ht="14.25" customHeight="1" x14ac:dyDescent="0.2">
      <c r="A3819" s="1" t="s">
        <v>33</v>
      </c>
      <c r="B3819" s="27">
        <v>46113.037673611114</v>
      </c>
      <c r="C3819" s="27">
        <v>46113.050775462965</v>
      </c>
      <c r="D3819" s="28">
        <v>46113</v>
      </c>
      <c r="E3819" s="29">
        <v>5.0775462965248153E-2</v>
      </c>
      <c r="F3819" s="30" t="s">
        <v>4149</v>
      </c>
      <c r="G3819" s="30" t="s">
        <v>21</v>
      </c>
      <c r="H3819" s="30" t="s">
        <v>39</v>
      </c>
      <c r="I3819" s="30" t="s">
        <v>23</v>
      </c>
      <c r="J3819" s="31">
        <v>1.77</v>
      </c>
      <c r="K3819" s="12"/>
      <c r="L3819" s="12"/>
      <c r="M3819" s="12"/>
      <c r="N3819" s="12"/>
      <c r="O3819" s="12"/>
      <c r="P3819" s="12"/>
      <c r="Q3819" s="12"/>
      <c r="R3819" s="12"/>
      <c r="S3819" s="12"/>
    </row>
    <row r="3820" spans="1:19" ht="14.25" customHeight="1" x14ac:dyDescent="0.2">
      <c r="A3820" s="1" t="s">
        <v>33</v>
      </c>
      <c r="B3820" s="27">
        <v>46113.037673611114</v>
      </c>
      <c r="C3820" s="27">
        <v>46113.057199074072</v>
      </c>
      <c r="D3820" s="28">
        <v>46113</v>
      </c>
      <c r="E3820" s="29">
        <v>5.7199074071832001E-2</v>
      </c>
      <c r="F3820" s="30" t="s">
        <v>4150</v>
      </c>
      <c r="G3820" s="30" t="s">
        <v>21</v>
      </c>
      <c r="H3820" s="30" t="s">
        <v>41</v>
      </c>
      <c r="I3820" s="30" t="s">
        <v>166</v>
      </c>
      <c r="J3820" s="31">
        <v>1.77</v>
      </c>
      <c r="K3820" s="12"/>
      <c r="L3820" s="12"/>
      <c r="M3820" s="12"/>
      <c r="N3820" s="12"/>
      <c r="O3820" s="12"/>
      <c r="P3820" s="12"/>
      <c r="Q3820" s="12"/>
      <c r="R3820" s="12"/>
      <c r="S3820" s="12"/>
    </row>
    <row r="3821" spans="1:19" ht="14.25" customHeight="1" x14ac:dyDescent="0.2">
      <c r="A3821" s="1" t="s">
        <v>57</v>
      </c>
      <c r="B3821" s="27">
        <v>46113.04587962963</v>
      </c>
      <c r="C3821" s="27">
        <v>46113.059953703705</v>
      </c>
      <c r="D3821" s="28">
        <v>46113</v>
      </c>
      <c r="E3821" s="29">
        <v>5.9953703705104999E-2</v>
      </c>
      <c r="F3821" s="30" t="s">
        <v>4151</v>
      </c>
      <c r="G3821" s="30" t="s">
        <v>26</v>
      </c>
      <c r="H3821" s="30" t="s">
        <v>3636</v>
      </c>
      <c r="I3821" s="30" t="s">
        <v>166</v>
      </c>
      <c r="J3821" s="31">
        <v>0.44</v>
      </c>
      <c r="K3821" s="12"/>
      <c r="L3821" s="12"/>
      <c r="M3821" s="12"/>
      <c r="N3821" s="12"/>
      <c r="O3821" s="12"/>
      <c r="P3821" s="12"/>
      <c r="Q3821" s="12"/>
      <c r="R3821" s="12"/>
      <c r="S3821" s="12"/>
    </row>
    <row r="3822" spans="1:19" ht="14.25" customHeight="1" x14ac:dyDescent="0.2">
      <c r="A3822" s="1" t="s">
        <v>28</v>
      </c>
      <c r="B3822" s="27">
        <v>46112.909351851849</v>
      </c>
      <c r="C3822" s="27">
        <v>46113.060983796298</v>
      </c>
      <c r="D3822" s="28">
        <v>46113</v>
      </c>
      <c r="E3822" s="29">
        <v>6.098379629838746E-2</v>
      </c>
      <c r="F3822" s="30" t="s">
        <v>4152</v>
      </c>
      <c r="G3822" s="30" t="s">
        <v>26</v>
      </c>
      <c r="H3822" s="30" t="s">
        <v>92</v>
      </c>
      <c r="I3822" s="30" t="s">
        <v>23</v>
      </c>
      <c r="J3822" s="31">
        <v>0.63</v>
      </c>
      <c r="K3822" s="12"/>
      <c r="L3822" s="12"/>
      <c r="M3822" s="12"/>
      <c r="N3822" s="12"/>
      <c r="O3822" s="12"/>
      <c r="P3822" s="12"/>
      <c r="Q3822" s="12"/>
      <c r="R3822" s="12"/>
      <c r="S3822" s="12"/>
    </row>
    <row r="3823" spans="1:19" ht="14.25" customHeight="1" x14ac:dyDescent="0.2">
      <c r="A3823" s="1" t="s">
        <v>95</v>
      </c>
      <c r="B3823" s="27">
        <v>46113.058136574073</v>
      </c>
      <c r="C3823" s="27">
        <v>46113.067384259259</v>
      </c>
      <c r="D3823" s="28">
        <v>46113</v>
      </c>
      <c r="E3823" s="29">
        <v>6.7384259258687962E-2</v>
      </c>
      <c r="F3823" s="30" t="s">
        <v>4153</v>
      </c>
      <c r="G3823" s="30" t="s">
        <v>21</v>
      </c>
      <c r="H3823" s="30" t="s">
        <v>97</v>
      </c>
      <c r="I3823" s="30" t="s">
        <v>23</v>
      </c>
      <c r="J3823" s="31">
        <v>1.77</v>
      </c>
      <c r="K3823" s="12"/>
      <c r="L3823" s="12"/>
      <c r="M3823" s="12"/>
      <c r="N3823" s="12"/>
      <c r="O3823" s="12"/>
      <c r="P3823" s="12"/>
      <c r="Q3823" s="12"/>
      <c r="R3823" s="12"/>
      <c r="S3823" s="12"/>
    </row>
    <row r="3824" spans="1:19" ht="14.25" customHeight="1" x14ac:dyDescent="0.2">
      <c r="A3824" s="1" t="s">
        <v>57</v>
      </c>
      <c r="B3824" s="27">
        <v>46113.053587962961</v>
      </c>
      <c r="C3824" s="27">
        <v>46113.069710648146</v>
      </c>
      <c r="D3824" s="28">
        <v>46113</v>
      </c>
      <c r="E3824" s="29">
        <v>6.9710648145701271E-2</v>
      </c>
      <c r="F3824" s="30" t="s">
        <v>4154</v>
      </c>
      <c r="G3824" s="30" t="s">
        <v>21</v>
      </c>
      <c r="H3824" s="30" t="s">
        <v>133</v>
      </c>
      <c r="I3824" s="30" t="s">
        <v>23</v>
      </c>
      <c r="J3824" s="31">
        <v>0.98</v>
      </c>
      <c r="K3824" s="12"/>
      <c r="L3824" s="12"/>
      <c r="M3824" s="12"/>
      <c r="N3824" s="12"/>
      <c r="O3824" s="12"/>
      <c r="P3824" s="12"/>
      <c r="Q3824" s="12"/>
      <c r="R3824" s="12"/>
      <c r="S3824" s="12"/>
    </row>
    <row r="3825" spans="1:19" ht="14.25" customHeight="1" x14ac:dyDescent="0.2">
      <c r="A3825" s="1" t="s">
        <v>57</v>
      </c>
      <c r="B3825" s="27">
        <v>46113.061712962961</v>
      </c>
      <c r="C3825" s="27">
        <v>46113.069826388892</v>
      </c>
      <c r="D3825" s="28">
        <v>46113</v>
      </c>
      <c r="E3825" s="29">
        <v>6.9826388891669922E-2</v>
      </c>
      <c r="F3825" s="30" t="s">
        <v>4155</v>
      </c>
      <c r="G3825" s="30" t="s">
        <v>21</v>
      </c>
      <c r="H3825" s="30" t="s">
        <v>1442</v>
      </c>
      <c r="I3825" s="30" t="s">
        <v>23</v>
      </c>
      <c r="J3825" s="31">
        <v>0.83</v>
      </c>
      <c r="K3825" s="12"/>
      <c r="L3825" s="12"/>
      <c r="M3825" s="12"/>
      <c r="N3825" s="12"/>
      <c r="O3825" s="12"/>
      <c r="P3825" s="12"/>
      <c r="Q3825" s="12"/>
      <c r="R3825" s="12"/>
      <c r="S3825" s="12"/>
    </row>
    <row r="3826" spans="1:19" ht="14.25" customHeight="1" x14ac:dyDescent="0.2">
      <c r="A3826" s="1" t="s">
        <v>95</v>
      </c>
      <c r="B3826" s="27">
        <v>46113.053530092591</v>
      </c>
      <c r="C3826" s="27">
        <v>46113.070150462961</v>
      </c>
      <c r="D3826" s="28">
        <v>46113</v>
      </c>
      <c r="E3826" s="29">
        <v>7.0150462961464655E-2</v>
      </c>
      <c r="F3826" s="30" t="s">
        <v>4156</v>
      </c>
      <c r="G3826" s="30" t="s">
        <v>21</v>
      </c>
      <c r="H3826" s="30" t="s">
        <v>110</v>
      </c>
      <c r="I3826" s="30" t="s">
        <v>23</v>
      </c>
      <c r="J3826" s="31">
        <v>0.83</v>
      </c>
      <c r="K3826" s="12"/>
      <c r="L3826" s="12"/>
      <c r="M3826" s="12"/>
      <c r="N3826" s="12"/>
      <c r="O3826" s="12"/>
      <c r="P3826" s="12"/>
      <c r="Q3826" s="12"/>
      <c r="R3826" s="12"/>
      <c r="S3826" s="12"/>
    </row>
    <row r="3827" spans="1:19" ht="14.25" customHeight="1" x14ac:dyDescent="0.2">
      <c r="A3827" s="1" t="s">
        <v>42</v>
      </c>
      <c r="B3827" s="27">
        <v>46113.042280092595</v>
      </c>
      <c r="C3827" s="27">
        <v>46113.079872685186</v>
      </c>
      <c r="D3827" s="28">
        <v>46113</v>
      </c>
      <c r="E3827" s="29">
        <v>7.9872685186273884E-2</v>
      </c>
      <c r="F3827" s="30" t="s">
        <v>4157</v>
      </c>
      <c r="G3827" s="30" t="s">
        <v>26</v>
      </c>
      <c r="H3827" s="30" t="s">
        <v>56</v>
      </c>
      <c r="I3827" s="30" t="s">
        <v>23</v>
      </c>
      <c r="J3827" s="31">
        <v>0.73</v>
      </c>
      <c r="K3827" s="12"/>
      <c r="L3827" s="12"/>
      <c r="M3827" s="12"/>
      <c r="N3827" s="12"/>
      <c r="O3827" s="12"/>
      <c r="P3827" s="12"/>
      <c r="Q3827" s="12"/>
      <c r="R3827" s="12"/>
      <c r="S3827" s="12"/>
    </row>
    <row r="3828" spans="1:19" ht="14.25" customHeight="1" x14ac:dyDescent="0.2">
      <c r="A3828" s="1" t="s">
        <v>24</v>
      </c>
      <c r="B3828" s="27">
        <v>46113.060798611114</v>
      </c>
      <c r="C3828" s="27">
        <v>46113.083136574074</v>
      </c>
      <c r="D3828" s="28">
        <v>46113</v>
      </c>
      <c r="E3828" s="29">
        <v>8.3136574074160308E-2</v>
      </c>
      <c r="F3828" s="30" t="s">
        <v>4158</v>
      </c>
      <c r="G3828" s="30" t="s">
        <v>21</v>
      </c>
      <c r="H3828" s="30" t="s">
        <v>41</v>
      </c>
      <c r="I3828" s="30" t="s">
        <v>166</v>
      </c>
      <c r="J3828" s="31">
        <v>1.77</v>
      </c>
      <c r="K3828" s="12"/>
      <c r="L3828" s="12"/>
      <c r="M3828" s="12"/>
      <c r="N3828" s="12"/>
      <c r="O3828" s="12"/>
      <c r="P3828" s="12"/>
      <c r="Q3828" s="12"/>
      <c r="R3828" s="12"/>
      <c r="S3828" s="12"/>
    </row>
    <row r="3829" spans="1:19" ht="14.25" customHeight="1" x14ac:dyDescent="0.2">
      <c r="A3829" s="1" t="s">
        <v>42</v>
      </c>
      <c r="B3829" s="27">
        <v>46113.040011574078</v>
      </c>
      <c r="C3829" s="27">
        <v>46113.087766203702</v>
      </c>
      <c r="D3829" s="28">
        <v>46113</v>
      </c>
      <c r="E3829" s="29">
        <v>8.7766203701903578E-2</v>
      </c>
      <c r="F3829" s="30" t="s">
        <v>4159</v>
      </c>
      <c r="G3829" s="30" t="s">
        <v>26</v>
      </c>
      <c r="H3829" s="30" t="s">
        <v>56</v>
      </c>
      <c r="I3829" s="30" t="s">
        <v>23</v>
      </c>
      <c r="J3829" s="31">
        <v>0.73</v>
      </c>
      <c r="K3829" s="12"/>
      <c r="L3829" s="12"/>
      <c r="M3829" s="12"/>
      <c r="N3829" s="12"/>
      <c r="O3829" s="12"/>
      <c r="P3829" s="12"/>
      <c r="Q3829" s="12"/>
      <c r="R3829" s="12"/>
      <c r="S3829" s="12"/>
    </row>
    <row r="3830" spans="1:19" ht="14.25" customHeight="1" x14ac:dyDescent="0.2">
      <c r="A3830" s="1" t="s">
        <v>19</v>
      </c>
      <c r="B3830" s="27">
        <v>46113.07712962963</v>
      </c>
      <c r="C3830" s="27">
        <v>46113.08865740741</v>
      </c>
      <c r="D3830" s="28">
        <v>46113</v>
      </c>
      <c r="E3830" s="29">
        <v>8.8657407410209998E-2</v>
      </c>
      <c r="F3830" s="30" t="s">
        <v>4160</v>
      </c>
      <c r="G3830" s="30" t="s">
        <v>21</v>
      </c>
      <c r="H3830" s="30" t="s">
        <v>101</v>
      </c>
      <c r="I3830" s="30" t="s">
        <v>166</v>
      </c>
      <c r="J3830" s="31">
        <v>1.7</v>
      </c>
      <c r="K3830" s="12"/>
      <c r="L3830" s="12"/>
      <c r="M3830" s="12"/>
      <c r="N3830" s="12"/>
      <c r="O3830" s="12"/>
      <c r="P3830" s="12"/>
      <c r="Q3830" s="12"/>
      <c r="R3830" s="12"/>
      <c r="S3830" s="12"/>
    </row>
    <row r="3831" spans="1:19" ht="14.25" customHeight="1" x14ac:dyDescent="0.2">
      <c r="A3831" s="1" t="s">
        <v>95</v>
      </c>
      <c r="B3831" s="27">
        <v>46113.068912037037</v>
      </c>
      <c r="C3831" s="27">
        <v>46113.090474537035</v>
      </c>
      <c r="D3831" s="28">
        <v>46113</v>
      </c>
      <c r="E3831" s="29">
        <v>9.0474537035333924E-2</v>
      </c>
      <c r="F3831" s="30" t="s">
        <v>4161</v>
      </c>
      <c r="G3831" s="30" t="s">
        <v>21</v>
      </c>
      <c r="H3831" s="30" t="s">
        <v>216</v>
      </c>
      <c r="I3831" s="30" t="s">
        <v>23</v>
      </c>
      <c r="J3831" s="31">
        <v>0.98</v>
      </c>
      <c r="K3831" s="12"/>
      <c r="L3831" s="12"/>
      <c r="M3831" s="12"/>
      <c r="N3831" s="12"/>
      <c r="O3831" s="12"/>
      <c r="P3831" s="12"/>
      <c r="Q3831" s="12"/>
      <c r="R3831" s="12"/>
      <c r="S3831" s="12"/>
    </row>
    <row r="3832" spans="1:19" ht="14.25" customHeight="1" x14ac:dyDescent="0.2">
      <c r="A3832" s="1" t="s">
        <v>63</v>
      </c>
      <c r="B3832" s="27">
        <v>46113.086215277777</v>
      </c>
      <c r="C3832" s="27">
        <v>46113.102256944447</v>
      </c>
      <c r="D3832" s="28">
        <v>46113</v>
      </c>
      <c r="E3832" s="29">
        <v>0.10225694444670808</v>
      </c>
      <c r="F3832" s="30" t="s">
        <v>4162</v>
      </c>
      <c r="G3832" s="30" t="s">
        <v>21</v>
      </c>
      <c r="H3832" s="30" t="s">
        <v>1535</v>
      </c>
      <c r="I3832" s="30" t="s">
        <v>23</v>
      </c>
      <c r="J3832" s="31">
        <v>1.7</v>
      </c>
      <c r="K3832" s="12"/>
      <c r="L3832" s="12"/>
      <c r="M3832" s="12"/>
      <c r="N3832" s="12"/>
      <c r="O3832" s="12"/>
      <c r="P3832" s="12"/>
      <c r="Q3832" s="12"/>
      <c r="R3832" s="12"/>
      <c r="S3832" s="12"/>
    </row>
    <row r="3833" spans="1:19" ht="14.25" customHeight="1" x14ac:dyDescent="0.2">
      <c r="A3833" s="1" t="s">
        <v>63</v>
      </c>
      <c r="B3833" s="27">
        <v>46113.084722222222</v>
      </c>
      <c r="C3833" s="27">
        <v>46113.102407407408</v>
      </c>
      <c r="D3833" s="28">
        <v>46113</v>
      </c>
      <c r="E3833" s="29">
        <v>0.10240740740846377</v>
      </c>
      <c r="F3833" s="30" t="s">
        <v>4163</v>
      </c>
      <c r="G3833" s="30" t="s">
        <v>21</v>
      </c>
      <c r="H3833" s="30" t="s">
        <v>110</v>
      </c>
      <c r="I3833" s="30" t="s">
        <v>23</v>
      </c>
      <c r="J3833" s="31">
        <v>0.83</v>
      </c>
      <c r="K3833" s="12"/>
      <c r="L3833" s="12"/>
      <c r="M3833" s="12"/>
      <c r="N3833" s="12"/>
      <c r="O3833" s="12"/>
      <c r="P3833" s="12"/>
      <c r="Q3833" s="12"/>
      <c r="R3833" s="12"/>
      <c r="S3833" s="12"/>
    </row>
    <row r="3834" spans="1:19" ht="14.25" customHeight="1" x14ac:dyDescent="0.2">
      <c r="A3834" s="1" t="s">
        <v>95</v>
      </c>
      <c r="B3834" s="27">
        <v>46113.092638888891</v>
      </c>
      <c r="C3834" s="27">
        <v>46113.107662037037</v>
      </c>
      <c r="D3834" s="28">
        <v>46113</v>
      </c>
      <c r="E3834" s="29">
        <v>0.10766203703678912</v>
      </c>
      <c r="F3834" s="30" t="s">
        <v>4164</v>
      </c>
      <c r="G3834" s="30" t="s">
        <v>21</v>
      </c>
      <c r="H3834" s="30" t="s">
        <v>189</v>
      </c>
      <c r="I3834" s="30" t="s">
        <v>166</v>
      </c>
      <c r="J3834" s="31">
        <v>0.83</v>
      </c>
      <c r="K3834" s="12"/>
      <c r="L3834" s="12"/>
      <c r="M3834" s="12"/>
      <c r="N3834" s="12"/>
      <c r="O3834" s="12"/>
      <c r="P3834" s="12"/>
      <c r="Q3834" s="12"/>
      <c r="R3834" s="12"/>
      <c r="S3834" s="12"/>
    </row>
    <row r="3835" spans="1:19" ht="14.25" customHeight="1" x14ac:dyDescent="0.2">
      <c r="A3835" s="1" t="s">
        <v>57</v>
      </c>
      <c r="B3835" s="27">
        <v>46113.099409722221</v>
      </c>
      <c r="C3835" s="27">
        <v>46113.113958333335</v>
      </c>
      <c r="D3835" s="28">
        <v>46113</v>
      </c>
      <c r="E3835" s="29">
        <v>0.11395833333517658</v>
      </c>
      <c r="F3835" s="30" t="s">
        <v>4165</v>
      </c>
      <c r="G3835" s="30" t="s">
        <v>21</v>
      </c>
      <c r="H3835" s="30" t="s">
        <v>59</v>
      </c>
      <c r="I3835" s="30" t="s">
        <v>166</v>
      </c>
      <c r="J3835" s="31">
        <v>0.83</v>
      </c>
      <c r="K3835" s="12"/>
      <c r="L3835" s="12"/>
      <c r="M3835" s="12"/>
      <c r="N3835" s="12"/>
      <c r="O3835" s="12"/>
      <c r="P3835" s="12"/>
      <c r="Q3835" s="12"/>
      <c r="R3835" s="12"/>
      <c r="S3835" s="12"/>
    </row>
    <row r="3836" spans="1:19" ht="14.25" customHeight="1" x14ac:dyDescent="0.2">
      <c r="A3836" s="1" t="s">
        <v>33</v>
      </c>
      <c r="B3836" s="27">
        <v>46113.075486111113</v>
      </c>
      <c r="C3836" s="27">
        <v>46113.124861111108</v>
      </c>
      <c r="D3836" s="28">
        <v>46113</v>
      </c>
      <c r="E3836" s="29">
        <v>0.124861111107748</v>
      </c>
      <c r="F3836" s="30" t="s">
        <v>4166</v>
      </c>
      <c r="G3836" s="30" t="s">
        <v>26</v>
      </c>
      <c r="H3836" s="30" t="s">
        <v>4167</v>
      </c>
      <c r="I3836" s="30" t="s">
        <v>166</v>
      </c>
      <c r="J3836" s="31">
        <v>0.88</v>
      </c>
      <c r="K3836" s="12"/>
      <c r="L3836" s="12"/>
      <c r="M3836" s="12"/>
      <c r="N3836" s="12"/>
      <c r="O3836" s="12"/>
      <c r="P3836" s="12"/>
      <c r="Q3836" s="12"/>
      <c r="R3836" s="12"/>
      <c r="S3836" s="12"/>
    </row>
    <row r="3837" spans="1:19" ht="14.25" customHeight="1" x14ac:dyDescent="0.2">
      <c r="A3837" s="1" t="s">
        <v>19</v>
      </c>
      <c r="B3837" s="27">
        <v>46113.103391203702</v>
      </c>
      <c r="C3837" s="27">
        <v>46113.127847222226</v>
      </c>
      <c r="D3837" s="28">
        <v>46113</v>
      </c>
      <c r="E3837" s="29">
        <v>0.12784722222568234</v>
      </c>
      <c r="F3837" s="30" t="s">
        <v>4168</v>
      </c>
      <c r="G3837" s="30" t="s">
        <v>21</v>
      </c>
      <c r="H3837" s="30" t="s">
        <v>101</v>
      </c>
      <c r="I3837" s="30" t="s">
        <v>23</v>
      </c>
      <c r="J3837" s="31">
        <v>1.7</v>
      </c>
      <c r="K3837" s="12"/>
      <c r="L3837" s="12"/>
      <c r="M3837" s="12"/>
      <c r="N3837" s="12"/>
      <c r="O3837" s="12"/>
      <c r="P3837" s="12"/>
      <c r="Q3837" s="12"/>
      <c r="R3837" s="12"/>
      <c r="S3837" s="12"/>
    </row>
    <row r="3838" spans="1:19" ht="14.25" customHeight="1" x14ac:dyDescent="0.2">
      <c r="A3838" s="1" t="s">
        <v>28</v>
      </c>
      <c r="B3838" s="27">
        <v>46113.117476851854</v>
      </c>
      <c r="C3838" s="27">
        <v>46113.129155092596</v>
      </c>
      <c r="D3838" s="28">
        <v>46113</v>
      </c>
      <c r="E3838" s="29">
        <v>0.12915509259619284</v>
      </c>
      <c r="F3838" s="30" t="s">
        <v>4169</v>
      </c>
      <c r="G3838" s="30" t="s">
        <v>21</v>
      </c>
      <c r="H3838" s="30" t="s">
        <v>409</v>
      </c>
      <c r="I3838" s="30" t="s">
        <v>23</v>
      </c>
      <c r="J3838" s="31">
        <v>2.9</v>
      </c>
      <c r="K3838" s="12"/>
      <c r="L3838" s="12"/>
      <c r="M3838" s="12"/>
      <c r="N3838" s="12"/>
      <c r="O3838" s="12"/>
      <c r="P3838" s="12"/>
      <c r="Q3838" s="12"/>
      <c r="R3838" s="12"/>
      <c r="S3838" s="12"/>
    </row>
    <row r="3839" spans="1:19" ht="14.25" customHeight="1" x14ac:dyDescent="0.2">
      <c r="A3839" s="1" t="s">
        <v>24</v>
      </c>
      <c r="B3839" s="27">
        <v>46113.114537037036</v>
      </c>
      <c r="C3839" s="27">
        <v>46113.139305555553</v>
      </c>
      <c r="D3839" s="28">
        <v>46113</v>
      </c>
      <c r="E3839" s="29">
        <v>0.13930555555270985</v>
      </c>
      <c r="F3839" s="30" t="s">
        <v>4170</v>
      </c>
      <c r="G3839" s="30" t="s">
        <v>21</v>
      </c>
      <c r="H3839" s="30" t="s">
        <v>216</v>
      </c>
      <c r="I3839" s="30" t="s">
        <v>23</v>
      </c>
      <c r="J3839" s="31">
        <v>0.98</v>
      </c>
      <c r="K3839" s="12"/>
      <c r="L3839" s="12"/>
      <c r="M3839" s="12"/>
      <c r="N3839" s="12"/>
      <c r="O3839" s="12"/>
      <c r="P3839" s="12"/>
      <c r="Q3839" s="12"/>
      <c r="R3839" s="12"/>
      <c r="S3839" s="12"/>
    </row>
    <row r="3840" spans="1:19" ht="14.25" customHeight="1" x14ac:dyDescent="0.2">
      <c r="A3840" s="1" t="s">
        <v>95</v>
      </c>
      <c r="B3840" s="27">
        <v>46113.124062499999</v>
      </c>
      <c r="C3840" s="27">
        <v>46113.139525462961</v>
      </c>
      <c r="D3840" s="28">
        <v>46113</v>
      </c>
      <c r="E3840" s="29">
        <v>0.13952546296059154</v>
      </c>
      <c r="F3840" s="30" t="s">
        <v>4171</v>
      </c>
      <c r="G3840" s="30" t="s">
        <v>44</v>
      </c>
      <c r="H3840" s="30" t="s">
        <v>45</v>
      </c>
      <c r="I3840" s="30" t="s">
        <v>23</v>
      </c>
      <c r="J3840" s="31">
        <v>0.18</v>
      </c>
      <c r="K3840" s="12"/>
      <c r="L3840" s="12"/>
      <c r="M3840" s="12"/>
      <c r="N3840" s="12"/>
      <c r="O3840" s="12"/>
      <c r="P3840" s="12"/>
      <c r="Q3840" s="12"/>
      <c r="R3840" s="12"/>
      <c r="S3840" s="12"/>
    </row>
    <row r="3841" spans="1:19" ht="14.25" customHeight="1" x14ac:dyDescent="0.2">
      <c r="A3841" s="1" t="s">
        <v>33</v>
      </c>
      <c r="B3841" s="27">
        <v>46113.135324074072</v>
      </c>
      <c r="C3841" s="27">
        <v>46113.146724537037</v>
      </c>
      <c r="D3841" s="28">
        <v>46113</v>
      </c>
      <c r="E3841" s="29">
        <v>0.14672453703678912</v>
      </c>
      <c r="F3841" s="30" t="s">
        <v>4172</v>
      </c>
      <c r="G3841" s="30" t="s">
        <v>21</v>
      </c>
      <c r="H3841" s="30" t="s">
        <v>101</v>
      </c>
      <c r="I3841" s="30" t="s">
        <v>23</v>
      </c>
      <c r="J3841" s="31">
        <v>1.7</v>
      </c>
      <c r="K3841" s="12"/>
      <c r="L3841" s="12"/>
      <c r="M3841" s="12"/>
      <c r="N3841" s="12"/>
      <c r="O3841" s="12"/>
      <c r="P3841" s="12"/>
      <c r="Q3841" s="12"/>
      <c r="R3841" s="12"/>
      <c r="S3841" s="12"/>
    </row>
    <row r="3842" spans="1:19" ht="14.25" customHeight="1" x14ac:dyDescent="0.2">
      <c r="A3842" s="1" t="s">
        <v>148</v>
      </c>
      <c r="B3842" s="27">
        <v>46113.133090277777</v>
      </c>
      <c r="C3842" s="27">
        <v>46113.14702546296</v>
      </c>
      <c r="D3842" s="28">
        <v>46113</v>
      </c>
      <c r="E3842" s="29">
        <v>0.1470254629603005</v>
      </c>
      <c r="F3842" s="30" t="s">
        <v>4173</v>
      </c>
      <c r="G3842" s="30" t="s">
        <v>21</v>
      </c>
      <c r="H3842" s="30" t="s">
        <v>258</v>
      </c>
      <c r="I3842" s="30" t="s">
        <v>23</v>
      </c>
      <c r="J3842" s="31">
        <v>0.83</v>
      </c>
      <c r="K3842" s="12"/>
      <c r="L3842" s="12"/>
      <c r="M3842" s="12"/>
      <c r="N3842" s="12"/>
      <c r="O3842" s="12"/>
      <c r="P3842" s="12"/>
      <c r="Q3842" s="12"/>
      <c r="R3842" s="12"/>
      <c r="S3842" s="12"/>
    </row>
    <row r="3843" spans="1:19" ht="14.25" customHeight="1" x14ac:dyDescent="0.2">
      <c r="A3843" s="1" t="s">
        <v>24</v>
      </c>
      <c r="B3843" s="27">
        <v>46113.143043981479</v>
      </c>
      <c r="C3843" s="27">
        <v>46113.161099537036</v>
      </c>
      <c r="D3843" s="28">
        <v>46113</v>
      </c>
      <c r="E3843" s="29">
        <v>0.16109953703562496</v>
      </c>
      <c r="F3843" s="30" t="s">
        <v>4174</v>
      </c>
      <c r="G3843" s="30" t="s">
        <v>21</v>
      </c>
      <c r="H3843" s="30" t="s">
        <v>460</v>
      </c>
      <c r="I3843" s="30" t="s">
        <v>23</v>
      </c>
      <c r="J3843" s="31">
        <v>1.1299999999999999</v>
      </c>
      <c r="K3843" s="12"/>
      <c r="L3843" s="12"/>
      <c r="M3843" s="12"/>
      <c r="N3843" s="12"/>
      <c r="O3843" s="12"/>
      <c r="P3843" s="12"/>
      <c r="Q3843" s="12"/>
      <c r="R3843" s="12"/>
      <c r="S3843" s="12"/>
    </row>
    <row r="3844" spans="1:19" ht="14.25" customHeight="1" x14ac:dyDescent="0.2">
      <c r="A3844" s="1" t="s">
        <v>42</v>
      </c>
      <c r="B3844" s="27">
        <v>46113.14565972222</v>
      </c>
      <c r="C3844" s="27">
        <v>46113.170636574076</v>
      </c>
      <c r="D3844" s="28">
        <v>46113</v>
      </c>
      <c r="E3844" s="29">
        <v>0.1706365740756155</v>
      </c>
      <c r="F3844" s="30" t="s">
        <v>4175</v>
      </c>
      <c r="G3844" s="30" t="s">
        <v>21</v>
      </c>
      <c r="H3844" s="30" t="s">
        <v>97</v>
      </c>
      <c r="I3844" s="30" t="s">
        <v>23</v>
      </c>
      <c r="J3844" s="31">
        <v>1.77</v>
      </c>
      <c r="K3844" s="12"/>
      <c r="L3844" s="12"/>
      <c r="M3844" s="12"/>
      <c r="N3844" s="12"/>
      <c r="O3844" s="12"/>
      <c r="P3844" s="12"/>
      <c r="Q3844" s="12"/>
      <c r="R3844" s="12"/>
      <c r="S3844" s="12"/>
    </row>
    <row r="3845" spans="1:19" ht="14.25" customHeight="1" x14ac:dyDescent="0.2">
      <c r="A3845" s="1" t="s">
        <v>24</v>
      </c>
      <c r="B3845" s="27">
        <v>46113.171111111114</v>
      </c>
      <c r="C3845" s="27">
        <v>46113.182349537034</v>
      </c>
      <c r="D3845" s="28">
        <v>46113</v>
      </c>
      <c r="E3845" s="29">
        <v>0.18234953703358769</v>
      </c>
      <c r="F3845" s="30" t="s">
        <v>4176</v>
      </c>
      <c r="G3845" s="30" t="s">
        <v>21</v>
      </c>
      <c r="H3845" s="30" t="s">
        <v>22</v>
      </c>
      <c r="I3845" s="30" t="s">
        <v>23</v>
      </c>
      <c r="J3845" s="31">
        <v>0.83</v>
      </c>
      <c r="K3845" s="12"/>
      <c r="L3845" s="12"/>
      <c r="M3845" s="12"/>
      <c r="N3845" s="12"/>
      <c r="O3845" s="12"/>
      <c r="P3845" s="12"/>
      <c r="Q3845" s="12"/>
      <c r="R3845" s="12"/>
      <c r="S3845" s="12"/>
    </row>
    <row r="3846" spans="1:19" ht="14.25" customHeight="1" x14ac:dyDescent="0.2">
      <c r="A3846" s="1" t="s">
        <v>95</v>
      </c>
      <c r="B3846" s="27">
        <v>46113.165775462963</v>
      </c>
      <c r="C3846" s="27">
        <v>46113.193599537037</v>
      </c>
      <c r="D3846" s="28">
        <v>46113</v>
      </c>
      <c r="E3846" s="29">
        <v>0.19359953703678912</v>
      </c>
      <c r="F3846" s="30" t="s">
        <v>4177</v>
      </c>
      <c r="G3846" s="30" t="s">
        <v>44</v>
      </c>
      <c r="H3846" s="30" t="s">
        <v>45</v>
      </c>
      <c r="I3846" s="30" t="s">
        <v>23</v>
      </c>
      <c r="J3846" s="31">
        <v>0.18</v>
      </c>
      <c r="K3846" s="12"/>
      <c r="L3846" s="12"/>
      <c r="M3846" s="12"/>
      <c r="N3846" s="12"/>
      <c r="O3846" s="12"/>
      <c r="P3846" s="12"/>
      <c r="Q3846" s="12"/>
      <c r="R3846" s="12"/>
      <c r="S3846" s="12"/>
    </row>
    <row r="3847" spans="1:19" ht="14.25" customHeight="1" x14ac:dyDescent="0.2">
      <c r="A3847" s="1" t="s">
        <v>95</v>
      </c>
      <c r="B3847" s="27">
        <v>46113.131990740738</v>
      </c>
      <c r="C3847" s="27">
        <v>46113.194247685184</v>
      </c>
      <c r="D3847" s="28">
        <v>46113</v>
      </c>
      <c r="E3847" s="29">
        <v>0.19424768518365454</v>
      </c>
      <c r="F3847" s="30" t="s">
        <v>4178</v>
      </c>
      <c r="G3847" s="30" t="s">
        <v>21</v>
      </c>
      <c r="H3847" s="30" t="s">
        <v>1382</v>
      </c>
      <c r="I3847" s="30" t="s">
        <v>23</v>
      </c>
      <c r="J3847" s="31">
        <v>1.77</v>
      </c>
      <c r="K3847" s="12"/>
      <c r="L3847" s="12"/>
      <c r="M3847" s="12"/>
      <c r="N3847" s="12"/>
      <c r="O3847" s="12"/>
      <c r="P3847" s="12"/>
      <c r="Q3847" s="12"/>
      <c r="R3847" s="12"/>
      <c r="S3847" s="12"/>
    </row>
    <row r="3848" spans="1:19" ht="14.25" customHeight="1" x14ac:dyDescent="0.2">
      <c r="A3848" s="1" t="s">
        <v>95</v>
      </c>
      <c r="B3848" s="27">
        <v>46113.178668981483</v>
      </c>
      <c r="C3848" s="27">
        <v>46113.19458333333</v>
      </c>
      <c r="D3848" s="28">
        <v>46113</v>
      </c>
      <c r="E3848" s="29">
        <v>0.19458333333022892</v>
      </c>
      <c r="F3848" s="30" t="s">
        <v>4179</v>
      </c>
      <c r="G3848" s="30" t="s">
        <v>21</v>
      </c>
      <c r="H3848" s="30" t="s">
        <v>97</v>
      </c>
      <c r="I3848" s="30" t="s">
        <v>23</v>
      </c>
      <c r="J3848" s="31">
        <v>1.77</v>
      </c>
      <c r="K3848" s="12"/>
      <c r="L3848" s="12"/>
      <c r="M3848" s="12"/>
      <c r="N3848" s="12"/>
      <c r="O3848" s="12"/>
      <c r="P3848" s="12"/>
      <c r="Q3848" s="12"/>
      <c r="R3848" s="12"/>
      <c r="S3848" s="12"/>
    </row>
    <row r="3849" spans="1:19" ht="14.25" customHeight="1" x14ac:dyDescent="0.2">
      <c r="A3849" s="1" t="s">
        <v>24</v>
      </c>
      <c r="B3849" s="27">
        <v>46113.172731481478</v>
      </c>
      <c r="C3849" s="27">
        <v>46113.200914351852</v>
      </c>
      <c r="D3849" s="28">
        <v>46113</v>
      </c>
      <c r="E3849" s="29">
        <v>0.20091435185167938</v>
      </c>
      <c r="F3849" s="30" t="s">
        <v>4180</v>
      </c>
      <c r="G3849" s="30" t="s">
        <v>21</v>
      </c>
      <c r="H3849" s="30" t="s">
        <v>39</v>
      </c>
      <c r="I3849" s="30" t="s">
        <v>23</v>
      </c>
      <c r="J3849" s="31">
        <v>1.77</v>
      </c>
      <c r="K3849" s="12"/>
      <c r="L3849" s="12"/>
      <c r="M3849" s="12"/>
      <c r="N3849" s="12"/>
      <c r="O3849" s="12"/>
      <c r="P3849" s="12"/>
      <c r="Q3849" s="12"/>
      <c r="R3849" s="12"/>
      <c r="S3849" s="12"/>
    </row>
    <row r="3850" spans="1:19" ht="14.25" customHeight="1" x14ac:dyDescent="0.2">
      <c r="A3850" s="1" t="s">
        <v>57</v>
      </c>
      <c r="B3850" s="27">
        <v>46113.19494212963</v>
      </c>
      <c r="C3850" s="27">
        <v>46113.206689814811</v>
      </c>
      <c r="D3850" s="28">
        <v>46113</v>
      </c>
      <c r="E3850" s="29">
        <v>0.20668981481139781</v>
      </c>
      <c r="F3850" s="30" t="s">
        <v>4181</v>
      </c>
      <c r="G3850" s="30" t="s">
        <v>21</v>
      </c>
      <c r="H3850" s="30" t="s">
        <v>303</v>
      </c>
      <c r="I3850" s="30" t="s">
        <v>23</v>
      </c>
      <c r="J3850" s="31">
        <v>1.77</v>
      </c>
      <c r="K3850" s="12"/>
      <c r="L3850" s="12"/>
      <c r="M3850" s="12"/>
      <c r="N3850" s="12"/>
      <c r="O3850" s="12"/>
      <c r="P3850" s="12"/>
      <c r="Q3850" s="12"/>
      <c r="R3850" s="12"/>
      <c r="S3850" s="12"/>
    </row>
    <row r="3851" spans="1:19" ht="14.25" customHeight="1" x14ac:dyDescent="0.2">
      <c r="A3851" s="1" t="s">
        <v>24</v>
      </c>
      <c r="B3851" s="27">
        <v>46113.179930555554</v>
      </c>
      <c r="C3851" s="27">
        <v>46113.207071759258</v>
      </c>
      <c r="D3851" s="28">
        <v>46113</v>
      </c>
      <c r="E3851" s="29">
        <v>0.20707175925781485</v>
      </c>
      <c r="F3851" s="30" t="s">
        <v>4182</v>
      </c>
      <c r="G3851" s="30" t="s">
        <v>21</v>
      </c>
      <c r="H3851" s="30" t="s">
        <v>460</v>
      </c>
      <c r="I3851" s="30" t="s">
        <v>23</v>
      </c>
      <c r="J3851" s="31">
        <v>1.1299999999999999</v>
      </c>
      <c r="K3851" s="12"/>
      <c r="L3851" s="12"/>
      <c r="M3851" s="12"/>
      <c r="N3851" s="12"/>
      <c r="O3851" s="12"/>
      <c r="P3851" s="12"/>
      <c r="Q3851" s="12"/>
      <c r="R3851" s="12"/>
      <c r="S3851" s="12"/>
    </row>
    <row r="3852" spans="1:19" ht="14.25" customHeight="1" x14ac:dyDescent="0.2">
      <c r="A3852" s="1" t="s">
        <v>42</v>
      </c>
      <c r="B3852" s="27">
        <v>46113.19127314815</v>
      </c>
      <c r="C3852" s="27">
        <v>46113.211296296293</v>
      </c>
      <c r="D3852" s="28">
        <v>46113</v>
      </c>
      <c r="E3852" s="29">
        <v>0.21129629629285773</v>
      </c>
      <c r="F3852" s="30" t="s">
        <v>4183</v>
      </c>
      <c r="G3852" s="30" t="s">
        <v>26</v>
      </c>
      <c r="H3852" s="30" t="s">
        <v>125</v>
      </c>
      <c r="I3852" s="30" t="s">
        <v>23</v>
      </c>
      <c r="J3852" s="31">
        <v>0.63</v>
      </c>
      <c r="K3852" s="12"/>
      <c r="L3852" s="12"/>
      <c r="M3852" s="12"/>
      <c r="N3852" s="12"/>
      <c r="O3852" s="12"/>
      <c r="P3852" s="12"/>
      <c r="Q3852" s="12"/>
      <c r="R3852" s="12"/>
      <c r="S3852" s="12"/>
    </row>
    <row r="3853" spans="1:19" ht="14.25" customHeight="1" x14ac:dyDescent="0.2">
      <c r="A3853" s="1" t="s">
        <v>33</v>
      </c>
      <c r="B3853" s="27">
        <v>46113.206712962965</v>
      </c>
      <c r="C3853" s="27">
        <v>46113.222662037035</v>
      </c>
      <c r="D3853" s="28">
        <v>46113</v>
      </c>
      <c r="E3853" s="29">
        <v>0.22266203703475185</v>
      </c>
      <c r="F3853" s="30" t="s">
        <v>4184</v>
      </c>
      <c r="G3853" s="30" t="s">
        <v>21</v>
      </c>
      <c r="H3853" s="30" t="s">
        <v>530</v>
      </c>
      <c r="I3853" s="30" t="s">
        <v>23</v>
      </c>
      <c r="J3853" s="31">
        <v>1.25</v>
      </c>
      <c r="K3853" s="12"/>
      <c r="L3853" s="12"/>
      <c r="M3853" s="12"/>
      <c r="N3853" s="12"/>
      <c r="O3853" s="12"/>
      <c r="P3853" s="12"/>
      <c r="Q3853" s="12"/>
      <c r="R3853" s="12"/>
      <c r="S3853" s="12"/>
    </row>
    <row r="3854" spans="1:19" ht="14.25" customHeight="1" x14ac:dyDescent="0.2">
      <c r="A3854" s="1" t="s">
        <v>33</v>
      </c>
      <c r="B3854" s="27">
        <v>46113.206712962965</v>
      </c>
      <c r="C3854" s="27">
        <v>46113.223182870373</v>
      </c>
      <c r="D3854" s="28">
        <v>46113</v>
      </c>
      <c r="E3854" s="29">
        <v>0.22318287037342088</v>
      </c>
      <c r="F3854" s="30" t="s">
        <v>4185</v>
      </c>
      <c r="G3854" s="30" t="s">
        <v>21</v>
      </c>
      <c r="H3854" s="30" t="s">
        <v>101</v>
      </c>
      <c r="I3854" s="30" t="s">
        <v>23</v>
      </c>
      <c r="J3854" s="31">
        <v>1.7</v>
      </c>
      <c r="K3854" s="12"/>
      <c r="L3854" s="12"/>
      <c r="M3854" s="12"/>
      <c r="N3854" s="12"/>
      <c r="O3854" s="12"/>
      <c r="P3854" s="12"/>
      <c r="Q3854" s="12"/>
      <c r="R3854" s="12"/>
      <c r="S3854" s="12"/>
    </row>
    <row r="3855" spans="1:19" ht="14.25" customHeight="1" x14ac:dyDescent="0.2">
      <c r="A3855" s="1" t="s">
        <v>95</v>
      </c>
      <c r="B3855" s="27">
        <v>46113.239560185182</v>
      </c>
      <c r="C3855" s="27">
        <v>46113.249201388891</v>
      </c>
      <c r="D3855" s="28">
        <v>46113</v>
      </c>
      <c r="E3855" s="29">
        <v>0.24920138889137888</v>
      </c>
      <c r="F3855" s="30" t="s">
        <v>4186</v>
      </c>
      <c r="G3855" s="30" t="s">
        <v>21</v>
      </c>
      <c r="H3855" s="30" t="s">
        <v>110</v>
      </c>
      <c r="I3855" s="30" t="s">
        <v>23</v>
      </c>
      <c r="J3855" s="31">
        <v>0.83</v>
      </c>
      <c r="K3855" s="12"/>
      <c r="L3855" s="12"/>
      <c r="M3855" s="12"/>
      <c r="N3855" s="12"/>
      <c r="O3855" s="12"/>
      <c r="P3855" s="12"/>
      <c r="Q3855" s="12"/>
      <c r="R3855" s="12"/>
      <c r="S3855" s="12"/>
    </row>
  </sheetData>
  <autoFilter ref="A1:S3855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evelyn rosuman</cp:lastModifiedBy>
  <dcterms:created xsi:type="dcterms:W3CDTF">2026-04-01T21:45:37Z</dcterms:created>
  <dcterms:modified xsi:type="dcterms:W3CDTF">2026-05-07T08:07:08Z</dcterms:modified>
</cp:coreProperties>
</file>